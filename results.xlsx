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cto/Downloads/dwave/new/"/>
    </mc:Choice>
  </mc:AlternateContent>
  <xr:revisionPtr revIDLastSave="0" documentId="13_ncr:1_{03B0A912-33C6-0A4F-9243-F34CCA1BB014}" xr6:coauthVersionLast="47" xr6:coauthVersionMax="47" xr10:uidLastSave="{00000000-0000-0000-0000-000000000000}"/>
  <bookViews>
    <workbookView xWindow="760" yWindow="2880" windowWidth="33800" windowHeight="19460" activeTab="1" xr2:uid="{25A68A39-AA82-E045-893C-11DFF857454C}"/>
  </bookViews>
  <sheets>
    <sheet name="Sheet1" sheetId="1" r:id="rId1"/>
    <sheet name="Suggestion1" sheetId="3" r:id="rId2"/>
    <sheet name="logicalqubits" sheetId="25" r:id="rId3"/>
    <sheet name="fe ne" sheetId="22" r:id="rId4"/>
    <sheet name="npzq" sheetId="24" r:id="rId5"/>
    <sheet name="npzw" sheetId="18" r:id="rId6"/>
    <sheet name="npzr" sheetId="17" r:id="rId7"/>
    <sheet name="npzp" sheetId="16" r:id="rId8"/>
    <sheet name="fpzw" sheetId="14" r:id="rId9"/>
    <sheet name="fpzr" sheetId="13" r:id="rId10"/>
    <sheet name="fpzp" sheetId="12" r:id="rId11"/>
    <sheet name="fpzn" sheetId="15" r:id="rId12"/>
    <sheet name="fpzq" sheetId="23" r:id="rId13"/>
  </sheets>
  <definedNames>
    <definedName name="_xlnm._FilterDatabase" localSheetId="0" hidden="1">Sheet1!$A$1:$O$3502</definedName>
  </definedNames>
  <calcPr calcId="191029"/>
  <pivotCaches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25" l="1"/>
  <c r="F2" i="25"/>
  <c r="H71" i="25"/>
  <c r="H29" i="25"/>
  <c r="H2" i="25"/>
  <c r="G3" i="25"/>
  <c r="G4" i="25"/>
  <c r="G5" i="25"/>
  <c r="G6" i="25"/>
  <c r="G7" i="25"/>
  <c r="G8" i="25"/>
  <c r="G9" i="25"/>
  <c r="G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28" i="25"/>
  <c r="G29" i="25"/>
  <c r="G30" i="25"/>
  <c r="G31" i="25"/>
  <c r="G32" i="25"/>
  <c r="G33" i="25"/>
  <c r="G34" i="25"/>
  <c r="G35" i="25"/>
  <c r="G36" i="25"/>
  <c r="G37" i="25"/>
  <c r="G38" i="25"/>
  <c r="G39" i="25"/>
  <c r="G40" i="25"/>
  <c r="G41" i="25"/>
  <c r="G42" i="25"/>
  <c r="G43" i="25"/>
  <c r="G44" i="25"/>
  <c r="G45" i="25"/>
  <c r="G46" i="25"/>
  <c r="G47" i="25"/>
  <c r="G48" i="25"/>
  <c r="G49" i="25"/>
  <c r="G50" i="25"/>
  <c r="G51" i="25"/>
  <c r="G52" i="25"/>
  <c r="G53" i="25"/>
  <c r="G54" i="25"/>
  <c r="G55" i="25"/>
  <c r="G56" i="25"/>
  <c r="G57" i="25"/>
  <c r="G58" i="25"/>
  <c r="G59" i="25"/>
  <c r="G60" i="25"/>
  <c r="G61" i="25"/>
  <c r="G62" i="25"/>
  <c r="G63" i="25"/>
  <c r="G64" i="25"/>
  <c r="G65" i="25"/>
  <c r="G66" i="25"/>
  <c r="G67" i="25"/>
  <c r="G68" i="25"/>
  <c r="G69" i="25"/>
  <c r="G70" i="25"/>
  <c r="G71" i="25"/>
  <c r="G72" i="25"/>
  <c r="G73" i="25"/>
  <c r="G74" i="25"/>
  <c r="G75" i="25"/>
  <c r="G76" i="25"/>
  <c r="G77" i="25"/>
  <c r="G78" i="25"/>
  <c r="G79" i="25"/>
  <c r="G80" i="25"/>
  <c r="G81" i="25"/>
  <c r="G82" i="25"/>
  <c r="G83" i="25"/>
  <c r="G84" i="25"/>
  <c r="G85" i="25"/>
  <c r="G86" i="25"/>
  <c r="G87" i="25"/>
  <c r="G88" i="25"/>
  <c r="G89" i="25"/>
  <c r="G90" i="25"/>
  <c r="G91" i="25"/>
  <c r="G92" i="25"/>
  <c r="G93" i="25"/>
  <c r="G94" i="25"/>
  <c r="G95" i="25"/>
  <c r="G96" i="25"/>
  <c r="G97" i="25"/>
  <c r="G98" i="25"/>
  <c r="G99" i="25"/>
  <c r="G100" i="25"/>
  <c r="G2" i="25"/>
  <c r="F71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30" i="25"/>
  <c r="E31" i="25"/>
  <c r="E32" i="25"/>
  <c r="E33" i="25"/>
  <c r="E34" i="25"/>
  <c r="E35" i="25"/>
  <c r="E36" i="25"/>
  <c r="E37" i="25"/>
  <c r="E38" i="25"/>
  <c r="E39" i="25"/>
  <c r="E40" i="25"/>
  <c r="E41" i="25"/>
  <c r="E42" i="25"/>
  <c r="E43" i="25"/>
  <c r="E44" i="25"/>
  <c r="E45" i="25"/>
  <c r="E46" i="25"/>
  <c r="E47" i="25"/>
  <c r="E48" i="25"/>
  <c r="E49" i="25"/>
  <c r="E50" i="25"/>
  <c r="E51" i="25"/>
  <c r="E52" i="25"/>
  <c r="E53" i="25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29" i="25"/>
  <c r="E28" i="25"/>
  <c r="E3" i="25"/>
  <c r="E4" i="25"/>
  <c r="E5" i="25"/>
  <c r="E6" i="25"/>
  <c r="E7" i="25"/>
  <c r="E8" i="25"/>
  <c r="E9" i="25"/>
  <c r="E10" i="25"/>
  <c r="E11" i="25"/>
  <c r="E12" i="25"/>
  <c r="E13" i="25"/>
  <c r="E14" i="25"/>
  <c r="E15" i="25"/>
  <c r="E16" i="25"/>
  <c r="E17" i="25"/>
  <c r="E18" i="25"/>
  <c r="E19" i="25"/>
  <c r="E20" i="25"/>
  <c r="E21" i="25"/>
  <c r="E22" i="25"/>
  <c r="E23" i="25"/>
  <c r="E24" i="25"/>
  <c r="E25" i="25"/>
  <c r="E26" i="25"/>
  <c r="E27" i="25"/>
  <c r="E2" i="25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736" i="1"/>
  <c r="N151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473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23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63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03" i="1"/>
  <c r="N3077" i="1"/>
  <c r="N3078" i="1"/>
  <c r="N3079" i="1"/>
  <c r="N3080" i="1"/>
  <c r="N3081" i="1"/>
  <c r="N308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483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11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1823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781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5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732" i="1"/>
  <c r="N733" i="1"/>
  <c r="N734" i="1"/>
  <c r="N735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2" i="1"/>
  <c r="N731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04" i="1"/>
</calcChain>
</file>

<file path=xl/sharedStrings.xml><?xml version="1.0" encoding="utf-8"?>
<sst xmlns="http://schemas.openxmlformats.org/spreadsheetml/2006/main" count="10680" uniqueCount="68">
  <si>
    <t>a</t>
  </si>
  <si>
    <t>d</t>
  </si>
  <si>
    <t>Node_num</t>
  </si>
  <si>
    <t>Edge_num</t>
  </si>
  <si>
    <t>N</t>
  </si>
  <si>
    <t>Y</t>
  </si>
  <si>
    <t>Solver</t>
  </si>
  <si>
    <t>Vertex labeled</t>
  </si>
  <si>
    <t>Pegasus</t>
  </si>
  <si>
    <t>Optimal</t>
  </si>
  <si>
    <t>num_reads</t>
  </si>
  <si>
    <t>qpu_time</t>
  </si>
  <si>
    <t>annealing_time</t>
  </si>
  <si>
    <t>qubo_formulation_time</t>
  </si>
  <si>
    <t>total_time</t>
  </si>
  <si>
    <t>embedding_time</t>
  </si>
  <si>
    <t>Zephyr</t>
  </si>
  <si>
    <t>graph_num</t>
  </si>
  <si>
    <t>MIP</t>
  </si>
  <si>
    <t>time_limit</t>
  </si>
  <si>
    <t>Hybrid</t>
  </si>
  <si>
    <t>Grand Total</t>
  </si>
  <si>
    <t>1000 Total</t>
  </si>
  <si>
    <t>2000 Total</t>
  </si>
  <si>
    <t>3000 Total</t>
  </si>
  <si>
    <t>5000 Total</t>
  </si>
  <si>
    <t>4 Total</t>
  </si>
  <si>
    <t>5 Total</t>
  </si>
  <si>
    <t>6 Total</t>
  </si>
  <si>
    <t>4000 Total</t>
  </si>
  <si>
    <t>labeled</t>
  </si>
  <si>
    <t>percentage optimal</t>
  </si>
  <si>
    <t>pz</t>
  </si>
  <si>
    <t>runtime</t>
  </si>
  <si>
    <t>runtime - optimal</t>
  </si>
  <si>
    <t>runtime - non-optimal</t>
  </si>
  <si>
    <t xml:space="preserve">labeled </t>
  </si>
  <si>
    <t>fix annealing</t>
  </si>
  <si>
    <t>see num_reads</t>
  </si>
  <si>
    <t>/</t>
  </si>
  <si>
    <t>percentage of optimal solution</t>
  </si>
  <si>
    <t>not fixed</t>
  </si>
  <si>
    <t>optimal</t>
  </si>
  <si>
    <t xml:space="preserve">runtime </t>
  </si>
  <si>
    <t>percentage of Optimal</t>
  </si>
  <si>
    <t>percentage of optimal</t>
  </si>
  <si>
    <t>embedding time</t>
  </si>
  <si>
    <t>fixed</t>
  </si>
  <si>
    <t>qpu_time / µm</t>
  </si>
  <si>
    <t>qpu time</t>
  </si>
  <si>
    <t>logical qubits</t>
  </si>
  <si>
    <t>Average number of logical qubits</t>
  </si>
  <si>
    <t>Nodes number</t>
  </si>
  <si>
    <t>Advantage</t>
  </si>
  <si>
    <t>Advantage2</t>
  </si>
  <si>
    <t>Fixed Vertex Labeled APGLP</t>
  </si>
  <si>
    <t>APGLP</t>
  </si>
  <si>
    <t>Advantage_system_6.3</t>
  </si>
  <si>
    <t>Advantage2_Prototype2.2</t>
  </si>
  <si>
    <t>Num_reads</t>
  </si>
  <si>
    <t>Runtime - optimal</t>
  </si>
  <si>
    <t>Runtime - non-optimal</t>
  </si>
  <si>
    <t>Annealing_time</t>
  </si>
  <si>
    <t xml:space="preserve">Embedding time </t>
  </si>
  <si>
    <t>Embedding time / µm</t>
  </si>
  <si>
    <t>Pegasus Total</t>
  </si>
  <si>
    <t>Zephyr Total</t>
  </si>
  <si>
    <t>Average of embedding_time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</si>
</sst>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6" tint="0.79998168889431442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1" xfId="0" applyFont="1" applyFill="1" applyBorder="1"/>
    <xf numFmtId="0" fontId="0" fillId="0" borderId="0" xfId="0" pivotButton="1"/>
    <xf numFmtId="0" fontId="1" fillId="2" borderId="0" xfId="0" applyFont="1" applyFill="1"/>
    <xf numFmtId="10" fontId="0" fillId="0" borderId="0" xfId="0" applyNumberFormat="1"/>
    <xf numFmtId="0" fontId="1" fillId="0" borderId="0" xfId="0" applyFont="1"/>
    <xf numFmtId="1" fontId="3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1" fillId="3" borderId="4" xfId="0" applyFont="1" applyFill="1" applyBorder="1"/>
    <xf numFmtId="0" fontId="1" fillId="3" borderId="5" xfId="0" applyFont="1" applyFill="1" applyBorder="1"/>
    <xf numFmtId="0" fontId="0" fillId="4" borderId="5" xfId="0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0" fillId="4" borderId="8" xfId="0" applyFill="1" applyBorder="1"/>
    <xf numFmtId="10" fontId="0" fillId="4" borderId="8" xfId="0" applyNumberFormat="1" applyFill="1" applyBorder="1"/>
    <xf numFmtId="10" fontId="0" fillId="4" borderId="9" xfId="0" applyNumberFormat="1" applyFill="1" applyBorder="1"/>
    <xf numFmtId="0" fontId="1" fillId="5" borderId="7" xfId="0" applyFont="1" applyFill="1" applyBorder="1"/>
    <xf numFmtId="0" fontId="1" fillId="5" borderId="8" xfId="0" applyFont="1" applyFill="1" applyBorder="1"/>
    <xf numFmtId="10" fontId="1" fillId="5" borderId="8" xfId="0" applyNumberFormat="1" applyFont="1" applyFill="1" applyBorder="1"/>
    <xf numFmtId="10" fontId="1" fillId="5" borderId="9" xfId="0" applyNumberFormat="1" applyFont="1" applyFill="1" applyBorder="1"/>
    <xf numFmtId="10" fontId="1" fillId="4" borderId="8" xfId="0" applyNumberFormat="1" applyFont="1" applyFill="1" applyBorder="1"/>
    <xf numFmtId="10" fontId="1" fillId="4" borderId="9" xfId="0" applyNumberFormat="1" applyFont="1" applyFill="1" applyBorder="1"/>
    <xf numFmtId="0" fontId="0" fillId="5" borderId="8" xfId="0" applyFill="1" applyBorder="1"/>
    <xf numFmtId="10" fontId="0" fillId="5" borderId="8" xfId="0" applyNumberFormat="1" applyFill="1" applyBorder="1"/>
    <xf numFmtId="10" fontId="0" fillId="5" borderId="9" xfId="0" applyNumberForma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10" fontId="1" fillId="3" borderId="11" xfId="0" applyNumberFormat="1" applyFont="1" applyFill="1" applyBorder="1"/>
    <xf numFmtId="10" fontId="1" fillId="3" borderId="12" xfId="0" applyNumberFormat="1" applyFont="1" applyFill="1" applyBorder="1"/>
    <xf numFmtId="0" fontId="1" fillId="3" borderId="0" xfId="0" applyFont="1" applyFill="1"/>
    <xf numFmtId="0" fontId="1" fillId="3" borderId="1" xfId="0" applyFont="1" applyFill="1" applyBorder="1"/>
    <xf numFmtId="0" fontId="1" fillId="6" borderId="0" xfId="0" applyFont="1" applyFill="1"/>
    <xf numFmtId="0" fontId="0" fillId="6" borderId="0" xfId="0" applyFill="1"/>
    <xf numFmtId="0" fontId="1" fillId="6" borderId="1" xfId="0" applyFont="1" applyFill="1" applyBorder="1"/>
    <xf numFmtId="0" fontId="1" fillId="6" borderId="3" xfId="0" applyFont="1" applyFill="1" applyBorder="1"/>
    <xf numFmtId="0" fontId="1" fillId="3" borderId="2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0" fillId="6" borderId="8" xfId="0" applyFill="1" applyBorder="1"/>
    <xf numFmtId="10" fontId="0" fillId="6" borderId="8" xfId="0" applyNumberFormat="1" applyFill="1" applyBorder="1"/>
    <xf numFmtId="10" fontId="0" fillId="6" borderId="9" xfId="0" applyNumberFormat="1" applyFill="1" applyBorder="1"/>
    <xf numFmtId="10" fontId="1" fillId="6" borderId="8" xfId="0" applyNumberFormat="1" applyFont="1" applyFill="1" applyBorder="1"/>
    <xf numFmtId="10" fontId="1" fillId="6" borderId="9" xfId="0" applyNumberFormat="1" applyFont="1" applyFill="1" applyBorder="1"/>
    <xf numFmtId="0" fontId="0" fillId="0" borderId="8" xfId="0" applyBorder="1"/>
    <xf numFmtId="0" fontId="0" fillId="6" borderId="4" xfId="0" applyFill="1" applyBorder="1"/>
    <xf numFmtId="0" fontId="0" fillId="6" borderId="7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[results.xlsx]Suggestion1!PivotTable2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'time_limit' by 'd' and 'Vertex labeled'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Suggestion1!$C$4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Suggestion1!$A$5:$B$11</c:f>
              <c:multiLvlStrCache>
                <c:ptCount val="4"/>
                <c:lvl>
                  <c:pt idx="0">
                    <c:v>4</c:v>
                  </c:pt>
                  <c:pt idx="1">
                    <c:v>5</c:v>
                  </c:pt>
                  <c:pt idx="2">
                    <c:v>4</c:v>
                  </c:pt>
                  <c:pt idx="3">
                    <c:v>5</c:v>
                  </c:pt>
                </c:lvl>
                <c:lvl>
                  <c:pt idx="0">
                    <c:v>Pegasus</c:v>
                  </c:pt>
                  <c:pt idx="2">
                    <c:v>Zephyr</c:v>
                  </c:pt>
                </c:lvl>
              </c:multiLvlStrCache>
            </c:multiLvlStrRef>
          </c:cat>
          <c:val>
            <c:numRef>
              <c:f>Suggestion1!$C$5:$C$11</c:f>
              <c:numCache>
                <c:formatCode>General</c:formatCode>
                <c:ptCount val="4"/>
                <c:pt idx="0">
                  <c:v>532067.62962962966</c:v>
                </c:pt>
                <c:pt idx="1">
                  <c:v>1337367.2142857143</c:v>
                </c:pt>
                <c:pt idx="2">
                  <c:v>250202.8148148247</c:v>
                </c:pt>
                <c:pt idx="3">
                  <c:v>792486.90476190217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F-E846-A9BF-A79694639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30"/>
        <c:axId val="938146096"/>
        <c:axId val="951680960"/>
      </c:barChart>
      <c:catAx>
        <c:axId val="93814609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680960"/>
        <c:crosses val="autoZero"/>
        <c:auto val="1"/>
        <c:lblAlgn val="ctr"/>
        <c:lblOffset val="100"/>
        <c:noMultiLvlLbl val="0"/>
      </c:catAx>
      <c:valAx>
        <c:axId val="95168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time_limit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46096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 ne'!$H$1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'fe ne'!$G$2:$G$7</c:f>
              <c:strCache>
                <c:ptCount val="6"/>
                <c:pt idx="0">
                  <c:v>Node_num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'fe ne'!$H$2:$H$7</c:f>
              <c:numCache>
                <c:formatCode>General</c:formatCode>
                <c:ptCount val="6"/>
                <c:pt idx="0">
                  <c:v>0</c:v>
                </c:pt>
                <c:pt idx="1">
                  <c:v>66938.51851851854</c:v>
                </c:pt>
                <c:pt idx="2">
                  <c:v>220242.78571428571</c:v>
                </c:pt>
                <c:pt idx="3">
                  <c:v>1151164.9999999921</c:v>
                </c:pt>
                <c:pt idx="4">
                  <c:v>1913402.6333333168</c:v>
                </c:pt>
                <c:pt idx="5">
                  <c:v>1118559.4999999769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A-1F47-9E3F-86974379D754}"/>
            </c:ext>
          </c:extLst>
        </c:ser>
        <c:ser>
          <c:idx val="1"/>
          <c:order val="1"/>
          <c:tx>
            <c:strRef>
              <c:f>'fe ne'!$I$1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'fe ne'!$G$2:$G$7</c:f>
              <c:strCache>
                <c:ptCount val="6"/>
                <c:pt idx="0">
                  <c:v>Node_num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'fe ne'!$I$2:$I$7</c:f>
              <c:numCache>
                <c:formatCode>General</c:formatCode>
                <c:ptCount val="6"/>
                <c:pt idx="0">
                  <c:v>0</c:v>
                </c:pt>
                <c:pt idx="1">
                  <c:v>39102.185185186034</c:v>
                </c:pt>
                <c:pt idx="2">
                  <c:v>118229.47619047652</c:v>
                </c:pt>
                <c:pt idx="3">
                  <c:v>483671.4666666686</c:v>
                </c:pt>
                <c:pt idx="4">
                  <c:v>1915065.7666666422</c:v>
                </c:pt>
                <c:pt idx="5">
                  <c:v>1108757.8999999778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CA-1F47-9E3F-86974379D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250943"/>
        <c:axId val="808266687"/>
      </c:barChart>
      <c:catAx>
        <c:axId val="80825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266687"/>
        <c:crosses val="autoZero"/>
        <c:auto val="1"/>
        <c:lblAlgn val="ctr"/>
        <c:lblOffset val="100"/>
        <c:tickLblSkip val="1"/>
        <c:noMultiLvlLbl val="0"/>
      </c:catAx>
      <c:valAx>
        <c:axId val="8082666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Embedding time /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25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'fe ne'!$L$16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'fe ne'!$K$17:$K$22</c:f>
              <c:strCache>
                <c:ptCount val="6"/>
                <c:pt idx="0">
                  <c:v>Node_num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'fe ne'!$L$17:$L$22</c:f>
              <c:numCache>
                <c:formatCode>General</c:formatCode>
                <c:ptCount val="6"/>
                <c:pt idx="0">
                  <c:v>0</c:v>
                </c:pt>
                <c:pt idx="1">
                  <c:v>532067.62962962978</c:v>
                </c:pt>
                <c:pt idx="2">
                  <c:v>1337367.2142857146</c:v>
                </c:pt>
                <c:pt idx="3">
                  <c:v>5905265.5666666683</c:v>
                </c:pt>
                <c:pt idx="4">
                  <c:v>12850378.566666674</c:v>
                </c:pt>
                <c:pt idx="5">
                  <c:v>14309795.766666641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9-3140-BA41-7C9B29440BCF}"/>
            </c:ext>
          </c:extLst>
        </c:ser>
        <c:ser>
          <c:idx val="1"/>
          <c:order val="1"/>
          <c:tx>
            <c:strRef>
              <c:f>'fe ne'!$M$16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'fe ne'!$K$17:$K$22</c:f>
              <c:strCache>
                <c:ptCount val="6"/>
                <c:pt idx="0">
                  <c:v>Node_num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'fe ne'!$M$17:$M$22</c:f>
              <c:numCache>
                <c:formatCode>General</c:formatCode>
                <c:ptCount val="6"/>
                <c:pt idx="0">
                  <c:v>0</c:v>
                </c:pt>
                <c:pt idx="1">
                  <c:v>250202.81481482487</c:v>
                </c:pt>
                <c:pt idx="2">
                  <c:v>792486.90476190171</c:v>
                </c:pt>
                <c:pt idx="3">
                  <c:v>2278585.8999999971</c:v>
                </c:pt>
                <c:pt idx="4">
                  <c:v>11672604.033333333</c:v>
                </c:pt>
                <c:pt idx="5">
                  <c:v>15852899.566666668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9-3140-BA41-7C9B29440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354175"/>
        <c:axId val="630908735"/>
      </c:barChart>
      <c:catAx>
        <c:axId val="63035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908735"/>
        <c:crosses val="autoZero"/>
        <c:auto val="1"/>
        <c:lblAlgn val="ctr"/>
        <c:lblOffset val="100"/>
        <c:tickLblSkip val="1"/>
        <c:noMultiLvlLbl val="0"/>
      </c:catAx>
      <c:valAx>
        <c:axId val="630908735"/>
        <c:scaling>
          <c:orientation val="minMax"/>
          <c:max val="18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Embedding time /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35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npzq!$D$1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npzq!$A$2:$C$20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npzq!$D$2:$D$20</c:f>
              <c:numCache>
                <c:formatCode>General</c:formatCode>
                <c:ptCount val="19"/>
                <c:pt idx="0">
                  <c:v>0</c:v>
                </c:pt>
                <c:pt idx="1">
                  <c:v>402794.19222222222</c:v>
                </c:pt>
                <c:pt idx="2">
                  <c:v>602791.14037037035</c:v>
                </c:pt>
                <c:pt idx="3">
                  <c:v>802791.1403703707</c:v>
                </c:pt>
                <c:pt idx="4">
                  <c:v>229660.82925925925</c:v>
                </c:pt>
                <c:pt idx="5">
                  <c:v>389663.55518518528</c:v>
                </c:pt>
                <c:pt idx="6">
                  <c:v>589662.14777777775</c:v>
                </c:pt>
                <c:pt idx="7">
                  <c:v>789661.88111111126</c:v>
                </c:pt>
                <c:pt idx="8">
                  <c:v>336528.23666666669</c:v>
                </c:pt>
                <c:pt idx="9">
                  <c:v>576530.08851851849</c:v>
                </c:pt>
                <c:pt idx="10">
                  <c:v>603398.75518518523</c:v>
                </c:pt>
                <c:pt idx="11">
                  <c:v>550263.05148148141</c:v>
                </c:pt>
                <c:pt idx="12">
                  <c:v>616847.69380952383</c:v>
                </c:pt>
                <c:pt idx="13">
                  <c:v>816845.37</c:v>
                </c:pt>
                <c:pt idx="14">
                  <c:v>617768.64619047625</c:v>
                </c:pt>
                <c:pt idx="15">
                  <c:v>817767.75095238094</c:v>
                </c:pt>
                <c:pt idx="16">
                  <c:v>378691.76047619048</c:v>
                </c:pt>
                <c:pt idx="17">
                  <c:v>618689.59857142856</c:v>
                </c:pt>
                <c:pt idx="18">
                  <c:v>620532.75095238106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D-AC46-9BF5-24FC08F15219}"/>
            </c:ext>
          </c:extLst>
        </c:ser>
        <c:ser>
          <c:idx val="1"/>
          <c:order val="1"/>
          <c:tx>
            <c:strRef>
              <c:f>npzq!$E$1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npzq!$A$2:$C$20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npzq!$E$2:$E$20</c:f>
              <c:numCache>
                <c:formatCode>General</c:formatCode>
                <c:ptCount val="19"/>
                <c:pt idx="0">
                  <c:v>0</c:v>
                </c:pt>
                <c:pt idx="1">
                  <c:v>394409.52111111121</c:v>
                </c:pt>
                <c:pt idx="2">
                  <c:v>594409.92111111106</c:v>
                </c:pt>
                <c:pt idx="3">
                  <c:v>794409.52111111116</c:v>
                </c:pt>
                <c:pt idx="4">
                  <c:v>209592.1581481481</c:v>
                </c:pt>
                <c:pt idx="5">
                  <c:v>369592.14333333331</c:v>
                </c:pt>
                <c:pt idx="6">
                  <c:v>569591.7433333334</c:v>
                </c:pt>
                <c:pt idx="7">
                  <c:v>769591.74333333329</c:v>
                </c:pt>
                <c:pt idx="8">
                  <c:v>304774.38037037035</c:v>
                </c:pt>
                <c:pt idx="9">
                  <c:v>544773.96555555554</c:v>
                </c:pt>
                <c:pt idx="10">
                  <c:v>559956.60259259259</c:v>
                </c:pt>
                <c:pt idx="11">
                  <c:v>495138.82481481484</c:v>
                </c:pt>
                <c:pt idx="12">
                  <c:v>605468.33380952384</c:v>
                </c:pt>
                <c:pt idx="13">
                  <c:v>805468.32428571419</c:v>
                </c:pt>
                <c:pt idx="14">
                  <c:v>591709.28619047615</c:v>
                </c:pt>
                <c:pt idx="15">
                  <c:v>791709.27666666673</c:v>
                </c:pt>
                <c:pt idx="16">
                  <c:v>337950.6385714286</c:v>
                </c:pt>
                <c:pt idx="17">
                  <c:v>577950.23857142869</c:v>
                </c:pt>
                <c:pt idx="18">
                  <c:v>550432.54333333333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D-AC46-9BF5-24FC08F15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2799487"/>
        <c:axId val="752801199"/>
      </c:barChart>
      <c:catAx>
        <c:axId val="75279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801199"/>
        <c:crosses val="autoZero"/>
        <c:auto val="1"/>
        <c:lblAlgn val="ctr"/>
        <c:lblOffset val="100"/>
        <c:noMultiLvlLbl val="0"/>
      </c:catAx>
      <c:valAx>
        <c:axId val="75280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QPU_time /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79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npzr!$D$1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npzr!$A$2:$C$20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npzr!$D$2:$D$20</c:f>
              <c:numCache>
                <c:formatCode>General</c:formatCode>
                <c:ptCount val="19"/>
                <c:pt idx="0">
                  <c:v>0</c:v>
                </c:pt>
                <c:pt idx="1">
                  <c:v>584146.43666666665</c:v>
                </c:pt>
                <c:pt idx="2">
                  <c:v>810143.76999999897</c:v>
                </c:pt>
                <c:pt idx="3">
                  <c:v>980456.41999999946</c:v>
                </c:pt>
                <c:pt idx="4">
                  <c:v>432254.96999999904</c:v>
                </c:pt>
                <c:pt idx="5">
                  <c:v>592258.36999999906</c:v>
                </c:pt>
                <c:pt idx="6">
                  <c:v>764978.10333333293</c:v>
                </c:pt>
                <c:pt idx="7">
                  <c:v>996337.00333333248</c:v>
                </c:pt>
                <c:pt idx="8">
                  <c:v>530503.51999999874</c:v>
                </c:pt>
                <c:pt idx="9">
                  <c:v>780659.42714285676</c:v>
                </c:pt>
                <c:pt idx="10">
                  <c:v>825482.64999999921</c:v>
                </c:pt>
                <c:pt idx="11">
                  <c:v>777388.72999999917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D-AD4A-8144-A48D70A0F6A2}"/>
            </c:ext>
          </c:extLst>
        </c:ser>
        <c:ser>
          <c:idx val="1"/>
          <c:order val="1"/>
          <c:tx>
            <c:strRef>
              <c:f>npzr!$E$1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npzr!$A$2:$C$20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npzr!$E$2:$E$20</c:f>
              <c:numCache>
                <c:formatCode>General</c:formatCode>
                <c:ptCount val="19"/>
                <c:pt idx="0">
                  <c:v>0</c:v>
                </c:pt>
                <c:pt idx="1">
                  <c:v>464232.06000001146</c:v>
                </c:pt>
                <c:pt idx="2">
                  <c:v>703015.47666667867</c:v>
                </c:pt>
                <c:pt idx="3">
                  <c:v>910326.21000001405</c:v>
                </c:pt>
                <c:pt idx="4">
                  <c:v>285349.03857144236</c:v>
                </c:pt>
                <c:pt idx="5">
                  <c:v>476208.63222224213</c:v>
                </c:pt>
                <c:pt idx="6">
                  <c:v>662318.09888890525</c:v>
                </c:pt>
                <c:pt idx="7">
                  <c:v>866519.75285715389</c:v>
                </c:pt>
                <c:pt idx="8">
                  <c:v>404305.35285715893</c:v>
                </c:pt>
                <c:pt idx="9">
                  <c:v>652405.61000001465</c:v>
                </c:pt>
                <c:pt idx="10">
                  <c:v>679815.53727273934</c:v>
                </c:pt>
                <c:pt idx="11">
                  <c:v>575224.78500001784</c:v>
                </c:pt>
                <c:pt idx="13">
                  <c:v>973883.00999998022</c:v>
                </c:pt>
                <c:pt idx="15">
                  <c:v>938243.00999998022</c:v>
                </c:pt>
                <c:pt idx="17">
                  <c:v>702603.00999998022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5D-AD4A-8144-A48D70A0F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234495"/>
        <c:axId val="131047359"/>
      </c:barChart>
      <c:catAx>
        <c:axId val="57623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47359"/>
        <c:crosses val="autoZero"/>
        <c:auto val="1"/>
        <c:lblAlgn val="ctr"/>
        <c:lblOffset val="100"/>
        <c:noMultiLvlLbl val="0"/>
      </c:catAx>
      <c:valAx>
        <c:axId val="131047359"/>
        <c:scaling>
          <c:orientation val="minMax"/>
          <c:max val="2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Runtim - optimal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  µm 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234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50054603428033"/>
          <c:y val="5.9493119624229714E-2"/>
          <c:w val="0.19425124558033313"/>
          <c:h val="0.126749473595714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npzr!$J$25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npzr!$G$26:$I$44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npzr!$J$26:$J$44</c:f>
              <c:numCache>
                <c:formatCode>General</c:formatCode>
                <c:ptCount val="19"/>
                <c:pt idx="0">
                  <c:v>0</c:v>
                </c:pt>
                <c:pt idx="1">
                  <c:v>979106.9450000003</c:v>
                </c:pt>
                <c:pt idx="2">
                  <c:v>1209100.2154545458</c:v>
                </c:pt>
                <c:pt idx="3">
                  <c:v>1396917.3004347829</c:v>
                </c:pt>
                <c:pt idx="4">
                  <c:v>819451.53521739168</c:v>
                </c:pt>
                <c:pt idx="5">
                  <c:v>979454.14391304401</c:v>
                </c:pt>
                <c:pt idx="6">
                  <c:v>1166729.436666667</c:v>
                </c:pt>
                <c:pt idx="7">
                  <c:v>1415162.4557142863</c:v>
                </c:pt>
                <c:pt idx="8">
                  <c:v>927817.87434782658</c:v>
                </c:pt>
                <c:pt idx="9">
                  <c:v>1223862.9600000004</c:v>
                </c:pt>
                <c:pt idx="10">
                  <c:v>1206359.8154545459</c:v>
                </c:pt>
                <c:pt idx="11">
                  <c:v>1152078.2518181822</c:v>
                </c:pt>
                <c:pt idx="12">
                  <c:v>1954689.4509523809</c:v>
                </c:pt>
                <c:pt idx="13">
                  <c:v>2154687.1271428578</c:v>
                </c:pt>
                <c:pt idx="14">
                  <c:v>1955610.4033333333</c:v>
                </c:pt>
                <c:pt idx="15">
                  <c:v>2155609.5080952374</c:v>
                </c:pt>
                <c:pt idx="16">
                  <c:v>1716533.5176190471</c:v>
                </c:pt>
                <c:pt idx="17">
                  <c:v>1956531.3557142857</c:v>
                </c:pt>
                <c:pt idx="18">
                  <c:v>1958374.5080952381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9-CD41-A012-62F143188E20}"/>
            </c:ext>
          </c:extLst>
        </c:ser>
        <c:ser>
          <c:idx val="1"/>
          <c:order val="1"/>
          <c:tx>
            <c:strRef>
              <c:f>npzr!$K$25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npzr!$G$26:$I$44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npzr!$K$26:$K$44</c:f>
              <c:numCache>
                <c:formatCode>General</c:formatCode>
                <c:ptCount val="19"/>
                <c:pt idx="0">
                  <c:v>0</c:v>
                </c:pt>
                <c:pt idx="1">
                  <c:v>676406.15782609675</c:v>
                </c:pt>
                <c:pt idx="2">
                  <c:v>885532.75285715237</c:v>
                </c:pt>
                <c:pt idx="3">
                  <c:v>1101666.3257894823</c:v>
                </c:pt>
                <c:pt idx="4">
                  <c:v>521337.8900000088</c:v>
                </c:pt>
                <c:pt idx="5">
                  <c:v>692129.0544444496</c:v>
                </c:pt>
                <c:pt idx="6">
                  <c:v>899073.72111111798</c:v>
                </c:pt>
                <c:pt idx="7">
                  <c:v>1073927.5800000099</c:v>
                </c:pt>
                <c:pt idx="8">
                  <c:v>608199.18000000797</c:v>
                </c:pt>
                <c:pt idx="9">
                  <c:v>879414.9276470663</c:v>
                </c:pt>
                <c:pt idx="10">
                  <c:v>900379.38500000874</c:v>
                </c:pt>
                <c:pt idx="11">
                  <c:v>817482.25210526993</c:v>
                </c:pt>
                <c:pt idx="12">
                  <c:v>1398429.7814285685</c:v>
                </c:pt>
                <c:pt idx="13">
                  <c:v>1613662.6197560951</c:v>
                </c:pt>
                <c:pt idx="14">
                  <c:v>1384670.733809521</c:v>
                </c:pt>
                <c:pt idx="15">
                  <c:v>1600437.2539024365</c:v>
                </c:pt>
                <c:pt idx="16">
                  <c:v>1130912.0861904731</c:v>
                </c:pt>
                <c:pt idx="17">
                  <c:v>1387211.8978048756</c:v>
                </c:pt>
                <c:pt idx="18">
                  <c:v>1343393.9909523779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9-CD41-A012-62F143188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9272671"/>
        <c:axId val="599140527"/>
      </c:barChart>
      <c:catAx>
        <c:axId val="5992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140527"/>
        <c:crosses val="autoZero"/>
        <c:auto val="1"/>
        <c:lblAlgn val="ctr"/>
        <c:lblOffset val="100"/>
        <c:noMultiLvlLbl val="0"/>
      </c:catAx>
      <c:valAx>
        <c:axId val="599140527"/>
        <c:scaling>
          <c:orientation val="minMax"/>
          <c:max val="2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Runtime - non-optimal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  µm 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2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50997096493273"/>
          <c:y val="7.4322364659380011E-2"/>
          <c:w val="0.19018334406122939"/>
          <c:h val="0.121452418551285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npzp!$D$1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npzp!$A$2:$C$20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npzp!$D$2:$D$20</c:f>
              <c:numCache>
                <c:formatCode>0.00%</c:formatCode>
                <c:ptCount val="19"/>
                <c:pt idx="0" formatCode="General">
                  <c:v>0</c:v>
                </c:pt>
                <c:pt idx="1">
                  <c:v>0.1111111111111111</c:v>
                </c:pt>
                <c:pt idx="2">
                  <c:v>0.18518518518518517</c:v>
                </c:pt>
                <c:pt idx="3">
                  <c:v>0.14814814814814814</c:v>
                </c:pt>
                <c:pt idx="4">
                  <c:v>0.14814814814814814</c:v>
                </c:pt>
                <c:pt idx="5">
                  <c:v>0.14814814814814814</c:v>
                </c:pt>
                <c:pt idx="6">
                  <c:v>0.1111111111111111</c:v>
                </c:pt>
                <c:pt idx="7">
                  <c:v>0.22222222222222221</c:v>
                </c:pt>
                <c:pt idx="8">
                  <c:v>0.14814814814814814</c:v>
                </c:pt>
                <c:pt idx="9">
                  <c:v>0.25925925925925924</c:v>
                </c:pt>
                <c:pt idx="10">
                  <c:v>0.18518518518518517</c:v>
                </c:pt>
                <c:pt idx="11">
                  <c:v>0.18518518518518517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C-1E45-9BFC-FB4EE47055AF}"/>
            </c:ext>
          </c:extLst>
        </c:ser>
        <c:ser>
          <c:idx val="1"/>
          <c:order val="1"/>
          <c:tx>
            <c:strRef>
              <c:f>npzp!$E$1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npzp!$A$2:$C$20</c:f>
              <c:multiLvlStrCache>
                <c:ptCount val="19"/>
                <c:lvl>
                  <c:pt idx="0">
                    <c:v>annealing_time</c:v>
                  </c:pt>
                  <c:pt idx="1">
                    <c:v>300</c:v>
                  </c:pt>
                  <c:pt idx="2">
                    <c:v>500</c:v>
                  </c:pt>
                  <c:pt idx="3">
                    <c:v>700</c:v>
                  </c:pt>
                  <c:pt idx="4">
                    <c:v>20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20</c:v>
                  </c:pt>
                  <c:pt idx="9">
                    <c:v>100</c:v>
                  </c:pt>
                  <c:pt idx="10">
                    <c:v>60</c:v>
                  </c:pt>
                  <c:pt idx="11">
                    <c:v>20</c:v>
                  </c:pt>
                  <c:pt idx="12">
                    <c:v>500</c:v>
                  </c:pt>
                  <c:pt idx="13">
                    <c:v>700</c:v>
                  </c:pt>
                  <c:pt idx="14">
                    <c:v>200</c:v>
                  </c:pt>
                  <c:pt idx="15">
                    <c:v>300</c:v>
                  </c:pt>
                  <c:pt idx="16">
                    <c:v>20</c:v>
                  </c:pt>
                  <c:pt idx="17">
                    <c:v>100</c:v>
                  </c:pt>
                  <c:pt idx="18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4">
                    <c:v>2000</c:v>
                  </c:pt>
                  <c:pt idx="8">
                    <c:v>3000</c:v>
                  </c:pt>
                  <c:pt idx="10">
                    <c:v>4000</c:v>
                  </c:pt>
                  <c:pt idx="11">
                    <c:v>5000</c:v>
                  </c:pt>
                  <c:pt idx="12">
                    <c:v>1000</c:v>
                  </c:pt>
                  <c:pt idx="14">
                    <c:v>2000</c:v>
                  </c:pt>
                  <c:pt idx="16">
                    <c:v>3000</c:v>
                  </c:pt>
                  <c:pt idx="18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12">
                    <c:v>5</c:v>
                  </c:pt>
                </c:lvl>
              </c:multiLvlStrCache>
            </c:multiLvlStrRef>
          </c:cat>
          <c:val>
            <c:numRef>
              <c:f>npzp!$E$2:$E$20</c:f>
              <c:numCache>
                <c:formatCode>0.00%</c:formatCode>
                <c:ptCount val="19"/>
                <c:pt idx="0" formatCode="General">
                  <c:v>0</c:v>
                </c:pt>
                <c:pt idx="1">
                  <c:v>0.14814814814814814</c:v>
                </c:pt>
                <c:pt idx="2">
                  <c:v>0.22222222222222221</c:v>
                </c:pt>
                <c:pt idx="3">
                  <c:v>0.29629629629629628</c:v>
                </c:pt>
                <c:pt idx="4">
                  <c:v>0.25925925925925924</c:v>
                </c:pt>
                <c:pt idx="5">
                  <c:v>0.33333333333333331</c:v>
                </c:pt>
                <c:pt idx="6">
                  <c:v>0.33333333333333331</c:v>
                </c:pt>
                <c:pt idx="7">
                  <c:v>0.25925925925925924</c:v>
                </c:pt>
                <c:pt idx="8">
                  <c:v>0.25925925925925924</c:v>
                </c:pt>
                <c:pt idx="9">
                  <c:v>0.37037037037037035</c:v>
                </c:pt>
                <c:pt idx="10">
                  <c:v>0.40740740740740738</c:v>
                </c:pt>
                <c:pt idx="11">
                  <c:v>0.29629629629629628</c:v>
                </c:pt>
                <c:pt idx="12">
                  <c:v>0</c:v>
                </c:pt>
                <c:pt idx="13">
                  <c:v>2.3809523809523808E-2</c:v>
                </c:pt>
                <c:pt idx="14">
                  <c:v>0</c:v>
                </c:pt>
                <c:pt idx="15">
                  <c:v>2.3809523809523808E-2</c:v>
                </c:pt>
                <c:pt idx="16">
                  <c:v>0</c:v>
                </c:pt>
                <c:pt idx="17">
                  <c:v>2.3809523809523808E-2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C-1E45-9BFC-FB4EE4705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405199"/>
        <c:axId val="1073301648"/>
      </c:barChart>
      <c:catAx>
        <c:axId val="13640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301648"/>
        <c:crosses val="autoZero"/>
        <c:auto val="1"/>
        <c:lblAlgn val="ctr"/>
        <c:lblOffset val="100"/>
        <c:noMultiLvlLbl val="0"/>
      </c:catAx>
      <c:valAx>
        <c:axId val="10733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optimal</a:t>
                </a:r>
                <a:r>
                  <a:rPr lang="en-US" baseline="0"/>
                  <a:t> solution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86939557954646"/>
          <c:y val="7.459356128339327E-2"/>
          <c:w val="0.22581277525989313"/>
          <c:h val="0.138960523581913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fpzr!$J$31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fpzr!$G$32:$I$59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fpzr!$J$32:$J$59</c:f>
              <c:numCache>
                <c:formatCode>General</c:formatCode>
                <c:ptCount val="28"/>
                <c:pt idx="0">
                  <c:v>0</c:v>
                </c:pt>
                <c:pt idx="1">
                  <c:v>204088.77000000031</c:v>
                </c:pt>
                <c:pt idx="2">
                  <c:v>544578.04999999993</c:v>
                </c:pt>
                <c:pt idx="3">
                  <c:v>610495.08111111086</c:v>
                </c:pt>
                <c:pt idx="4">
                  <c:v>895218.85888888862</c:v>
                </c:pt>
                <c:pt idx="5">
                  <c:v>1015941.4007692306</c:v>
                </c:pt>
                <c:pt idx="6">
                  <c:v>1257299.8609090911</c:v>
                </c:pt>
                <c:pt idx="7">
                  <c:v>718263.52999999991</c:v>
                </c:pt>
                <c:pt idx="8">
                  <c:v>867255.70999999973</c:v>
                </c:pt>
                <c:pt idx="9">
                  <c:v>1040616.284285714</c:v>
                </c:pt>
                <c:pt idx="10">
                  <c:v>1293904.6200000001</c:v>
                </c:pt>
                <c:pt idx="11">
                  <c:v>868933.76999999979</c:v>
                </c:pt>
                <c:pt idx="12">
                  <c:v>1053539.027142857</c:v>
                </c:pt>
                <c:pt idx="14">
                  <c:v>1131690.8033333335</c:v>
                </c:pt>
                <c:pt idx="15">
                  <c:v>1369658.7107407402</c:v>
                </c:pt>
                <c:pt idx="16">
                  <c:v>1358682.0633333256</c:v>
                </c:pt>
                <c:pt idx="17">
                  <c:v>1580177.2182758516</c:v>
                </c:pt>
                <c:pt idx="18">
                  <c:v>1779871.3286206811</c:v>
                </c:pt>
                <c:pt idx="19">
                  <c:v>1980177.2182758516</c:v>
                </c:pt>
                <c:pt idx="20">
                  <c:v>1469834.4588888844</c:v>
                </c:pt>
                <c:pt idx="21">
                  <c:v>1549784.6366666595</c:v>
                </c:pt>
                <c:pt idx="22">
                  <c:v>1805322.7199999967</c:v>
                </c:pt>
                <c:pt idx="23">
                  <c:v>1981291.5079310292</c:v>
                </c:pt>
                <c:pt idx="24">
                  <c:v>1629312.7469230751</c:v>
                </c:pt>
                <c:pt idx="25">
                  <c:v>1772690.8872413717</c:v>
                </c:pt>
                <c:pt idx="27">
                  <c:v>1845362.1546153794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6-2241-8C20-23D1573C058A}"/>
            </c:ext>
          </c:extLst>
        </c:ser>
        <c:ser>
          <c:idx val="1"/>
          <c:order val="1"/>
          <c:tx>
            <c:strRef>
              <c:f>fpzr!$K$31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fpzr!$G$32:$I$59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fpzr!$K$32:$K$59</c:f>
              <c:numCache>
                <c:formatCode>General</c:formatCode>
                <c:ptCount val="28"/>
                <c:pt idx="0">
                  <c:v>0</c:v>
                </c:pt>
                <c:pt idx="1">
                  <c:v>242285.30999999627</c:v>
                </c:pt>
                <c:pt idx="2">
                  <c:v>337510.74333333527</c:v>
                </c:pt>
                <c:pt idx="3">
                  <c:v>403092.31000000128</c:v>
                </c:pt>
                <c:pt idx="4">
                  <c:v>654471.69333333732</c:v>
                </c:pt>
                <c:pt idx="5">
                  <c:v>884322.49000000278</c:v>
                </c:pt>
                <c:pt idx="6">
                  <c:v>1054042.8433333354</c:v>
                </c:pt>
                <c:pt idx="7">
                  <c:v>446379.59000000043</c:v>
                </c:pt>
                <c:pt idx="8">
                  <c:v>628378.76000000408</c:v>
                </c:pt>
                <c:pt idx="9">
                  <c:v>845976.16000000306</c:v>
                </c:pt>
                <c:pt idx="10">
                  <c:v>1018228.2869230787</c:v>
                </c:pt>
                <c:pt idx="11">
                  <c:v>542365.61000000208</c:v>
                </c:pt>
                <c:pt idx="12">
                  <c:v>797961.19000000146</c:v>
                </c:pt>
                <c:pt idx="13">
                  <c:v>1105514.0433333341</c:v>
                </c:pt>
                <c:pt idx="14">
                  <c:v>758631.18777777988</c:v>
                </c:pt>
                <c:pt idx="15">
                  <c:v>618295.50655172649</c:v>
                </c:pt>
                <c:pt idx="16">
                  <c:v>683420.1300000021</c:v>
                </c:pt>
                <c:pt idx="17">
                  <c:v>891620.07428571698</c:v>
                </c:pt>
                <c:pt idx="18">
                  <c:v>1083420.130000002</c:v>
                </c:pt>
                <c:pt idx="19">
                  <c:v>1283420.130000002</c:v>
                </c:pt>
                <c:pt idx="20">
                  <c:v>812524.06517241569</c:v>
                </c:pt>
                <c:pt idx="21">
                  <c:v>878896.472068968</c:v>
                </c:pt>
                <c:pt idx="22">
                  <c:v>1073725.5893103464</c:v>
                </c:pt>
                <c:pt idx="23">
                  <c:v>1300387.3729629652</c:v>
                </c:pt>
                <c:pt idx="24">
                  <c:v>830568.8242857164</c:v>
                </c:pt>
                <c:pt idx="25">
                  <c:v>1043489.4633333354</c:v>
                </c:pt>
                <c:pt idx="26">
                  <c:v>1380726.6322222247</c:v>
                </c:pt>
                <c:pt idx="27">
                  <c:v>1003559.1966666688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6-2241-8C20-23D1573C0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523829952"/>
        <c:axId val="1523831664"/>
      </c:barChart>
      <c:catAx>
        <c:axId val="15238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31664"/>
        <c:crosses val="autoZero"/>
        <c:auto val="1"/>
        <c:lblAlgn val="ctr"/>
        <c:lblOffset val="100"/>
        <c:noMultiLvlLbl val="0"/>
      </c:catAx>
      <c:valAx>
        <c:axId val="1523831664"/>
        <c:scaling>
          <c:orientation val="minMax"/>
          <c:max val="2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Runtime</a:t>
                </a:r>
                <a:r>
                  <a:rPr lang="en-US" sz="1000" baseline="0"/>
                  <a:t> - non-optimal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  µm </a:t>
                </a:r>
                <a:endParaRPr lang="en-US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2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12822945460129"/>
          <c:y val="7.7918458045505054E-2"/>
          <c:w val="0.16735273294265193"/>
          <c:h val="0.12933774922808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fpzr!$D$1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fpzr!$A$2:$C$29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fpzr!$D$2:$D$29</c:f>
              <c:numCache>
                <c:formatCode>General</c:formatCode>
                <c:ptCount val="28"/>
                <c:pt idx="0">
                  <c:v>0</c:v>
                </c:pt>
                <c:pt idx="1">
                  <c:v>177233.30846153852</c:v>
                </c:pt>
                <c:pt idx="2">
                  <c:v>271587.4262499999</c:v>
                </c:pt>
                <c:pt idx="3">
                  <c:v>363703.0306060607</c:v>
                </c:pt>
                <c:pt idx="4">
                  <c:v>540593.34575757571</c:v>
                </c:pt>
                <c:pt idx="5">
                  <c:v>727215.99758620677</c:v>
                </c:pt>
                <c:pt idx="6">
                  <c:v>931171.57645161275</c:v>
                </c:pt>
                <c:pt idx="7">
                  <c:v>348751.61375000008</c:v>
                </c:pt>
                <c:pt idx="8">
                  <c:v>512186.76999999996</c:v>
                </c:pt>
                <c:pt idx="9">
                  <c:v>747951.90142857132</c:v>
                </c:pt>
                <c:pt idx="10">
                  <c:v>926805.35235294106</c:v>
                </c:pt>
                <c:pt idx="11">
                  <c:v>458741.66999999993</c:v>
                </c:pt>
                <c:pt idx="12">
                  <c:v>721539.5014285713</c:v>
                </c:pt>
                <c:pt idx="14">
                  <c:v>671399.6922222221</c:v>
                </c:pt>
                <c:pt idx="15">
                  <c:v>459863.70333325956</c:v>
                </c:pt>
                <c:pt idx="17">
                  <c:v>935250.97000008391</c:v>
                </c:pt>
                <c:pt idx="18">
                  <c:v>1144193.3700000267</c:v>
                </c:pt>
                <c:pt idx="19">
                  <c:v>1335250.970000084</c:v>
                </c:pt>
                <c:pt idx="20">
                  <c:v>669290.90333329409</c:v>
                </c:pt>
                <c:pt idx="22">
                  <c:v>972217.06999993324</c:v>
                </c:pt>
                <c:pt idx="23">
                  <c:v>1036060.9699999122</c:v>
                </c:pt>
                <c:pt idx="24">
                  <c:v>666115.91999994917</c:v>
                </c:pt>
                <c:pt idx="25">
                  <c:v>818583.37000000209</c:v>
                </c:pt>
                <c:pt idx="27">
                  <c:v>928327.56999997678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B43-A326-39A3DE255103}"/>
            </c:ext>
          </c:extLst>
        </c:ser>
        <c:ser>
          <c:idx val="1"/>
          <c:order val="1"/>
          <c:tx>
            <c:strRef>
              <c:f>fpzr!$E$1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fpzr!$A$2:$C$29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fpzr!$E$2:$E$29</c:f>
              <c:numCache>
                <c:formatCode>General</c:formatCode>
                <c:ptCount val="28"/>
                <c:pt idx="0">
                  <c:v>0</c:v>
                </c:pt>
                <c:pt idx="1">
                  <c:v>133261.70600000134</c:v>
                </c:pt>
                <c:pt idx="2">
                  <c:v>163997.23222222173</c:v>
                </c:pt>
                <c:pt idx="3">
                  <c:v>257402.75999999983</c:v>
                </c:pt>
                <c:pt idx="4">
                  <c:v>446563.6299999989</c:v>
                </c:pt>
                <c:pt idx="5">
                  <c:v>650230.03499999957</c:v>
                </c:pt>
                <c:pt idx="6">
                  <c:v>846735.72999999975</c:v>
                </c:pt>
                <c:pt idx="7">
                  <c:v>272895.92875000031</c:v>
                </c:pt>
                <c:pt idx="8">
                  <c:v>412530.69666666549</c:v>
                </c:pt>
                <c:pt idx="9">
                  <c:v>633784.02176470566</c:v>
                </c:pt>
                <c:pt idx="10">
                  <c:v>809637.87206896511</c:v>
                </c:pt>
                <c:pt idx="11">
                  <c:v>352784.64225806424</c:v>
                </c:pt>
                <c:pt idx="12">
                  <c:v>593834.92874999996</c:v>
                </c:pt>
                <c:pt idx="13">
                  <c:v>877205.35666666692</c:v>
                </c:pt>
                <c:pt idx="14">
                  <c:v>529891.66454545443</c:v>
                </c:pt>
                <c:pt idx="15">
                  <c:v>172046.60999998855</c:v>
                </c:pt>
                <c:pt idx="17">
                  <c:v>768620.9099999927</c:v>
                </c:pt>
                <c:pt idx="20">
                  <c:v>541498.01000000606</c:v>
                </c:pt>
                <c:pt idx="21">
                  <c:v>415646.20999998855</c:v>
                </c:pt>
                <c:pt idx="22">
                  <c:v>765601.81000001321</c:v>
                </c:pt>
                <c:pt idx="23">
                  <c:v>931065.47666666692</c:v>
                </c:pt>
                <c:pt idx="24">
                  <c:v>424384.41000000091</c:v>
                </c:pt>
                <c:pt idx="26">
                  <c:v>1008358.8100000002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6-4B43-A326-39A3DE255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235112351"/>
        <c:axId val="235119999"/>
      </c:barChart>
      <c:catAx>
        <c:axId val="23511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19999"/>
        <c:crosses val="autoZero"/>
        <c:auto val="1"/>
        <c:lblAlgn val="ctr"/>
        <c:lblOffset val="100"/>
        <c:noMultiLvlLbl val="0"/>
      </c:catAx>
      <c:valAx>
        <c:axId val="235119999"/>
        <c:scaling>
          <c:orientation val="minMax"/>
          <c:max val="2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- optimal /</a:t>
                </a:r>
                <a:r>
                  <a:rPr lang="en-US" baseline="0"/>
                  <a:t>  µm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11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900720702665787"/>
          <c:y val="3.1141932567289341E-2"/>
          <c:w val="0.15947003717959082"/>
          <c:h val="0.133747762526224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fpzp!$D$1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fpzp!$A$2:$C$29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fpzp!$D$2:$D$29</c:f>
              <c:numCache>
                <c:formatCode>0.00%</c:formatCode>
                <c:ptCount val="28"/>
                <c:pt idx="0" formatCode="General">
                  <c:v>0</c:v>
                </c:pt>
                <c:pt idx="1">
                  <c:v>0.96296296296296291</c:v>
                </c:pt>
                <c:pt idx="2">
                  <c:v>0.76190476190476186</c:v>
                </c:pt>
                <c:pt idx="3">
                  <c:v>0.7857142857142857</c:v>
                </c:pt>
                <c:pt idx="4">
                  <c:v>0.7857142857142857</c:v>
                </c:pt>
                <c:pt idx="5">
                  <c:v>0.69047619047619047</c:v>
                </c:pt>
                <c:pt idx="6">
                  <c:v>0.73809523809523814</c:v>
                </c:pt>
                <c:pt idx="7">
                  <c:v>0.76190476190476186</c:v>
                </c:pt>
                <c:pt idx="8">
                  <c:v>0.76190476190476186</c:v>
                </c:pt>
                <c:pt idx="9">
                  <c:v>0.83333333333333337</c:v>
                </c:pt>
                <c:pt idx="10">
                  <c:v>0.80952380952380953</c:v>
                </c:pt>
                <c:pt idx="11">
                  <c:v>0.80952380952380953</c:v>
                </c:pt>
                <c:pt idx="12">
                  <c:v>0.83333333333333337</c:v>
                </c:pt>
                <c:pt idx="14">
                  <c:v>0.8571428571428571</c:v>
                </c:pt>
                <c:pt idx="15">
                  <c:v>0.1</c:v>
                </c:pt>
                <c:pt idx="16">
                  <c:v>0</c:v>
                </c:pt>
                <c:pt idx="17">
                  <c:v>3.3333333333333333E-2</c:v>
                </c:pt>
                <c:pt idx="18">
                  <c:v>3.3333333333333333E-2</c:v>
                </c:pt>
                <c:pt idx="19">
                  <c:v>3.3333333333333333E-2</c:v>
                </c:pt>
                <c:pt idx="20">
                  <c:v>0.1</c:v>
                </c:pt>
                <c:pt idx="21">
                  <c:v>0</c:v>
                </c:pt>
                <c:pt idx="22">
                  <c:v>6.6666666666666666E-2</c:v>
                </c:pt>
                <c:pt idx="23">
                  <c:v>3.3333333333333333E-2</c:v>
                </c:pt>
                <c:pt idx="24">
                  <c:v>0.13333333333333333</c:v>
                </c:pt>
                <c:pt idx="25">
                  <c:v>3.3333333333333333E-2</c:v>
                </c:pt>
                <c:pt idx="27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C-0C49-817B-A82B9F6D3D90}"/>
            </c:ext>
          </c:extLst>
        </c:ser>
        <c:ser>
          <c:idx val="1"/>
          <c:order val="1"/>
          <c:tx>
            <c:strRef>
              <c:f>fpzp!$E$1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fpzp!$A$2:$C$29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fpzp!$E$2:$E$29</c:f>
              <c:numCache>
                <c:formatCode>0.00%</c:formatCode>
                <c:ptCount val="28"/>
                <c:pt idx="0" formatCode="General">
                  <c:v>0</c:v>
                </c:pt>
                <c:pt idx="1">
                  <c:v>0.92592592592592593</c:v>
                </c:pt>
                <c:pt idx="2">
                  <c:v>0.6428571428571429</c:v>
                </c:pt>
                <c:pt idx="3">
                  <c:v>0.66666666666666663</c:v>
                </c:pt>
                <c:pt idx="4">
                  <c:v>0.7142857142857143</c:v>
                </c:pt>
                <c:pt idx="5">
                  <c:v>0.76190476190476186</c:v>
                </c:pt>
                <c:pt idx="6">
                  <c:v>0.7142857142857143</c:v>
                </c:pt>
                <c:pt idx="7">
                  <c:v>0.76190476190476186</c:v>
                </c:pt>
                <c:pt idx="8">
                  <c:v>0.7142857142857143</c:v>
                </c:pt>
                <c:pt idx="9">
                  <c:v>0.80952380952380953</c:v>
                </c:pt>
                <c:pt idx="10">
                  <c:v>0.69047619047619047</c:v>
                </c:pt>
                <c:pt idx="11">
                  <c:v>0.73809523809523814</c:v>
                </c:pt>
                <c:pt idx="12">
                  <c:v>0.76190476190476186</c:v>
                </c:pt>
                <c:pt idx="13">
                  <c:v>0.7142857142857143</c:v>
                </c:pt>
                <c:pt idx="14">
                  <c:v>0.7857142857142857</c:v>
                </c:pt>
                <c:pt idx="15">
                  <c:v>3.3333333333333333E-2</c:v>
                </c:pt>
                <c:pt idx="16">
                  <c:v>0</c:v>
                </c:pt>
                <c:pt idx="17">
                  <c:v>6.6666666666666666E-2</c:v>
                </c:pt>
                <c:pt idx="18">
                  <c:v>0</c:v>
                </c:pt>
                <c:pt idx="19">
                  <c:v>0</c:v>
                </c:pt>
                <c:pt idx="20">
                  <c:v>3.3333333333333333E-2</c:v>
                </c:pt>
                <c:pt idx="21">
                  <c:v>3.3333333333333333E-2</c:v>
                </c:pt>
                <c:pt idx="22">
                  <c:v>3.3333333333333333E-2</c:v>
                </c:pt>
                <c:pt idx="23">
                  <c:v>0.1</c:v>
                </c:pt>
                <c:pt idx="24">
                  <c:v>6.6666666666666666E-2</c:v>
                </c:pt>
                <c:pt idx="25">
                  <c:v>0</c:v>
                </c:pt>
                <c:pt idx="26">
                  <c:v>0.1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1C-0C49-817B-A82B9F6D3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1925718304"/>
        <c:axId val="1926054224"/>
      </c:barChart>
      <c:catAx>
        <c:axId val="192571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54224"/>
        <c:crosses val="autoZero"/>
        <c:auto val="1"/>
        <c:lblAlgn val="ctr"/>
        <c:lblOffset val="100"/>
        <c:noMultiLvlLbl val="0"/>
      </c:catAx>
      <c:valAx>
        <c:axId val="192605422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optimal solution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71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14306062351965"/>
          <c:y val="3.7654948214460741E-2"/>
          <c:w val="0.1187310351449971"/>
          <c:h val="8.67839056425000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62024315158647"/>
          <c:y val="8.5301581229686105E-2"/>
          <c:w val="0.56711319762551005"/>
          <c:h val="0.774952871436092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fpzn!$G$11:$G$12</c:f>
              <c:strCache>
                <c:ptCount val="2"/>
                <c:pt idx="0">
                  <c:v>Advantage_system_6.3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fpzn!$F$13:$F$15</c:f>
              <c:numCache>
                <c:formatCode>General</c:formatCode>
                <c:ptCount val="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</c:numCache>
            </c:numRef>
          </c:xVal>
          <c:yVal>
            <c:numRef>
              <c:f>fpzn!$G$13:$G$15</c:f>
              <c:numCache>
                <c:formatCode>0.00%</c:formatCode>
                <c:ptCount val="3"/>
                <c:pt idx="0">
                  <c:v>0.7857142857142857</c:v>
                </c:pt>
                <c:pt idx="1">
                  <c:v>0.76190476190476186</c:v>
                </c:pt>
                <c:pt idx="2">
                  <c:v>0.83333333333333337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FF-0142-B019-10B3A170A482}"/>
            </c:ext>
          </c:extLst>
        </c:ser>
        <c:ser>
          <c:idx val="1"/>
          <c:order val="1"/>
          <c:tx>
            <c:strRef>
              <c:f>fpzn!$H$11:$H$12</c:f>
              <c:strCache>
                <c:ptCount val="2"/>
                <c:pt idx="0">
                  <c:v>Advantage2_Prototype2.2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fpzn!$F$13:$F$15</c:f>
              <c:numCache>
                <c:formatCode>General</c:formatCode>
                <c:ptCount val="3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</c:numCache>
            </c:numRef>
          </c:xVal>
          <c:yVal>
            <c:numRef>
              <c:f>fpzn!$H$13:$H$15</c:f>
              <c:numCache>
                <c:formatCode>0.00%</c:formatCode>
                <c:ptCount val="3"/>
                <c:pt idx="0">
                  <c:v>0.66666666666666663</c:v>
                </c:pt>
                <c:pt idx="1">
                  <c:v>0.7142857142857143</c:v>
                </c:pt>
                <c:pt idx="2">
                  <c:v>0.76190476190476186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FF-0142-B019-10B3A170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557263"/>
        <c:axId val="599558975"/>
      </c:scatterChart>
      <c:valAx>
        <c:axId val="59955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Num_reads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58975"/>
        <c:crosses val="autoZero"/>
        <c:crossBetween val="midCat"/>
      </c:valAx>
      <c:valAx>
        <c:axId val="59955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optimal solution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557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350061336967678"/>
          <c:y val="0.38522859792226571"/>
          <c:w val="0.35553453132780521"/>
          <c:h val="0.185630628506765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44696910571286"/>
          <c:y val="0.11684811490011755"/>
          <c:w val="0.56378523064510233"/>
          <c:h val="0.7767664830240279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fpzn!$J$21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65000"/>
                  <a:lumOff val="35000"/>
                </a:schemeClr>
              </a:solidFill>
              <a:ln w="0">
                <a:solidFill>
                  <a:schemeClr val="tx1"/>
                </a:solidFill>
              </a:ln>
              <a:effectLst/>
            </c:spPr>
          </c:marker>
          <c:xVal>
            <c:numRef>
              <c:f>fpzn!$I$22:$I$25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5000</c:v>
                </c:pt>
              </c:numCache>
            </c:numRef>
          </c:xVal>
          <c:yVal>
            <c:numRef>
              <c:f>fpzn!$J$22:$J$25</c:f>
              <c:numCache>
                <c:formatCode>0.00%</c:formatCode>
                <c:ptCount val="4"/>
                <c:pt idx="0">
                  <c:v>0.76190476190476186</c:v>
                </c:pt>
                <c:pt idx="1">
                  <c:v>0.76190476190476186</c:v>
                </c:pt>
                <c:pt idx="2">
                  <c:v>0.80952380952380953</c:v>
                </c:pt>
                <c:pt idx="3">
                  <c:v>0.8571428571428571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09-D047-853C-0B8E0BFC3098}"/>
            </c:ext>
          </c:extLst>
        </c:ser>
        <c:ser>
          <c:idx val="1"/>
          <c:order val="1"/>
          <c:tx>
            <c:strRef>
              <c:f>fpzn!$K$21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ln w="1270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fpzn!$I$22:$I$25</c:f>
              <c:numCache>
                <c:formatCode>General</c:formatCode>
                <c:ptCount val="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5000</c:v>
                </c:pt>
              </c:numCache>
            </c:numRef>
          </c:xVal>
          <c:yVal>
            <c:numRef>
              <c:f>fpzn!$K$22:$K$25</c:f>
              <c:numCache>
                <c:formatCode>0.00%</c:formatCode>
                <c:ptCount val="4"/>
                <c:pt idx="0">
                  <c:v>0.6428571428571429</c:v>
                </c:pt>
                <c:pt idx="1">
                  <c:v>0.76190476190476186</c:v>
                </c:pt>
                <c:pt idx="2">
                  <c:v>0.73809523809523814</c:v>
                </c:pt>
                <c:pt idx="3">
                  <c:v>0.7857142857142857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09-D047-853C-0B8E0BFC3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629040"/>
        <c:axId val="95273711"/>
      </c:scatterChart>
      <c:valAx>
        <c:axId val="1925629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Num_reads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73711"/>
        <c:crosses val="autoZero"/>
        <c:crossBetween val="midCat"/>
      </c:valAx>
      <c:valAx>
        <c:axId val="9527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of optimal solution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62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19135860838283"/>
          <c:y val="0.42129956055802176"/>
          <c:w val="0.35828359660638393"/>
          <c:h val="0.188671093260919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fpzq!$D$1</c:f>
              <c:strCache>
                <c:ptCount val="1"/>
                <c:pt idx="0">
                  <c:v>Advantage_system_6.3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fpzq!$A$2:$C$29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fpzq!$D$2:$D$29</c:f>
              <c:numCache>
                <c:formatCode>General</c:formatCode>
                <c:ptCount val="28"/>
                <c:pt idx="0">
                  <c:v>0</c:v>
                </c:pt>
                <c:pt idx="1">
                  <c:v>111046.39962962967</c:v>
                </c:pt>
                <c:pt idx="2">
                  <c:v>116069.09380952382</c:v>
                </c:pt>
                <c:pt idx="3">
                  <c:v>196070.94142857136</c:v>
                </c:pt>
                <c:pt idx="4">
                  <c:v>396068.42714285711</c:v>
                </c:pt>
                <c:pt idx="5">
                  <c:v>596067.28428571438</c:v>
                </c:pt>
                <c:pt idx="6">
                  <c:v>796070.0271428572</c:v>
                </c:pt>
                <c:pt idx="7">
                  <c:v>216214.54142857139</c:v>
                </c:pt>
                <c:pt idx="8">
                  <c:v>376210.89380952384</c:v>
                </c:pt>
                <c:pt idx="9">
                  <c:v>576213.19857142877</c:v>
                </c:pt>
                <c:pt idx="10">
                  <c:v>776212.92238095251</c:v>
                </c:pt>
                <c:pt idx="11">
                  <c:v>316357.39857142855</c:v>
                </c:pt>
                <c:pt idx="12">
                  <c:v>556356.65571428568</c:v>
                </c:pt>
                <c:pt idx="14">
                  <c:v>516639.4652380952</c:v>
                </c:pt>
                <c:pt idx="15">
                  <c:v>127028.01000000004</c:v>
                </c:pt>
                <c:pt idx="16">
                  <c:v>207030.86333333331</c:v>
                </c:pt>
                <c:pt idx="17">
                  <c:v>407028.47666666663</c:v>
                </c:pt>
                <c:pt idx="18">
                  <c:v>607030.8633333334</c:v>
                </c:pt>
                <c:pt idx="19">
                  <c:v>807028.47666666657</c:v>
                </c:pt>
                <c:pt idx="20">
                  <c:v>238128.90333333329</c:v>
                </c:pt>
                <c:pt idx="21">
                  <c:v>398133.43666666659</c:v>
                </c:pt>
                <c:pt idx="22">
                  <c:v>598131.14333333331</c:v>
                </c:pt>
                <c:pt idx="23">
                  <c:v>798132.62333333341</c:v>
                </c:pt>
                <c:pt idx="24">
                  <c:v>349235.3033333334</c:v>
                </c:pt>
                <c:pt idx="25">
                  <c:v>589236.10333333327</c:v>
                </c:pt>
                <c:pt idx="27">
                  <c:v>571439.67666666664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6-D94C-B586-789BE6102C71}"/>
            </c:ext>
          </c:extLst>
        </c:ser>
        <c:ser>
          <c:idx val="1"/>
          <c:order val="1"/>
          <c:tx>
            <c:strRef>
              <c:f>fpzq!$E$1</c:f>
              <c:strCache>
                <c:ptCount val="1"/>
                <c:pt idx="0">
                  <c:v>Advantage2_Prototype2.2</c:v>
                </c:pt>
              </c:strCache>
            </c:strRef>
          </c:tx>
          <c:spPr>
            <a:pattFill prst="ltUpDiag">
              <a:fgClr>
                <a:schemeClr val="tx1">
                  <a:lumMod val="65000"/>
                  <a:lumOff val="35000"/>
                </a:schemeClr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multiLvlStrRef>
              <c:f>fpzq!$A$2:$C$29</c:f>
              <c:multiLvlStrCache>
                <c:ptCount val="28"/>
                <c:lvl>
                  <c:pt idx="0">
                    <c:v>Annealing_time</c:v>
                  </c:pt>
                  <c:pt idx="1">
                    <c:v>20</c:v>
                  </c:pt>
                  <c:pt idx="2">
                    <c:v>20</c:v>
                  </c:pt>
                  <c:pt idx="3">
                    <c:v>100</c:v>
                  </c:pt>
                  <c:pt idx="4">
                    <c:v>300</c:v>
                  </c:pt>
                  <c:pt idx="5">
                    <c:v>500</c:v>
                  </c:pt>
                  <c:pt idx="6">
                    <c:v>700</c:v>
                  </c:pt>
                  <c:pt idx="7">
                    <c:v>20</c:v>
                  </c:pt>
                  <c:pt idx="8">
                    <c:v>100</c:v>
                  </c:pt>
                  <c:pt idx="9">
                    <c:v>200</c:v>
                  </c:pt>
                  <c:pt idx="10">
                    <c:v>300</c:v>
                  </c:pt>
                  <c:pt idx="11">
                    <c:v>20</c:v>
                  </c:pt>
                  <c:pt idx="12">
                    <c:v>100</c:v>
                  </c:pt>
                  <c:pt idx="13">
                    <c:v>200</c:v>
                  </c:pt>
                  <c:pt idx="14">
                    <c:v>20</c:v>
                  </c:pt>
                  <c:pt idx="15">
                    <c:v>20</c:v>
                  </c:pt>
                  <c:pt idx="16">
                    <c:v>100</c:v>
                  </c:pt>
                  <c:pt idx="17">
                    <c:v>300</c:v>
                  </c:pt>
                  <c:pt idx="18">
                    <c:v>500</c:v>
                  </c:pt>
                  <c:pt idx="19">
                    <c:v>700</c:v>
                  </c:pt>
                  <c:pt idx="20">
                    <c:v>20</c:v>
                  </c:pt>
                  <c:pt idx="21">
                    <c:v>100</c:v>
                  </c:pt>
                  <c:pt idx="22">
                    <c:v>200</c:v>
                  </c:pt>
                  <c:pt idx="23">
                    <c:v>300</c:v>
                  </c:pt>
                  <c:pt idx="24">
                    <c:v>20</c:v>
                  </c:pt>
                  <c:pt idx="25">
                    <c:v>100</c:v>
                  </c:pt>
                  <c:pt idx="26">
                    <c:v>200</c:v>
                  </c:pt>
                  <c:pt idx="27">
                    <c:v>20</c:v>
                  </c:pt>
                </c:lvl>
                <c:lvl>
                  <c:pt idx="0">
                    <c:v>Num_reads</c:v>
                  </c:pt>
                  <c:pt idx="1">
                    <c:v>1000</c:v>
                  </c:pt>
                  <c:pt idx="2">
                    <c:v>1000</c:v>
                  </c:pt>
                  <c:pt idx="7">
                    <c:v>2000</c:v>
                  </c:pt>
                  <c:pt idx="11">
                    <c:v>3000</c:v>
                  </c:pt>
                  <c:pt idx="14">
                    <c:v>5000</c:v>
                  </c:pt>
                  <c:pt idx="15">
                    <c:v>1000</c:v>
                  </c:pt>
                  <c:pt idx="20">
                    <c:v>2000</c:v>
                  </c:pt>
                  <c:pt idx="24">
                    <c:v>3000</c:v>
                  </c:pt>
                  <c:pt idx="27">
                    <c:v>5000</c:v>
                  </c:pt>
                </c:lvl>
                <c:lvl>
                  <c:pt idx="0">
                    <c:v>Node_num</c:v>
                  </c:pt>
                  <c:pt idx="1">
                    <c:v>4</c:v>
                  </c:pt>
                  <c:pt idx="2">
                    <c:v>5</c:v>
                  </c:pt>
                  <c:pt idx="15">
                    <c:v>6</c:v>
                  </c:pt>
                </c:lvl>
              </c:multiLvlStrCache>
            </c:multiLvlStrRef>
          </c:cat>
          <c:val>
            <c:numRef>
              <c:f>fpzq!$E$2:$E$29</c:f>
              <c:numCache>
                <c:formatCode>General</c:formatCode>
                <c:ptCount val="28"/>
                <c:pt idx="0">
                  <c:v>0</c:v>
                </c:pt>
                <c:pt idx="1">
                  <c:v>101992.3062962963</c:v>
                </c:pt>
                <c:pt idx="2">
                  <c:v>107463.55285714283</c:v>
                </c:pt>
                <c:pt idx="3">
                  <c:v>187463.15285714285</c:v>
                </c:pt>
                <c:pt idx="4">
                  <c:v>387463.14333333331</c:v>
                </c:pt>
                <c:pt idx="5">
                  <c:v>587463.54333333333</c:v>
                </c:pt>
                <c:pt idx="6">
                  <c:v>787463.54333333357</c:v>
                </c:pt>
                <c:pt idx="7">
                  <c:v>195698.77190476184</c:v>
                </c:pt>
                <c:pt idx="8">
                  <c:v>355698.7814285715</c:v>
                </c:pt>
                <c:pt idx="9">
                  <c:v>555698.78142857156</c:v>
                </c:pt>
                <c:pt idx="10">
                  <c:v>755698.78142857167</c:v>
                </c:pt>
                <c:pt idx="11">
                  <c:v>283934.01000000007</c:v>
                </c:pt>
                <c:pt idx="12">
                  <c:v>523933.62904761906</c:v>
                </c:pt>
                <c:pt idx="13">
                  <c:v>823933.61952380941</c:v>
                </c:pt>
                <c:pt idx="14">
                  <c:v>460404.48619047622</c:v>
                </c:pt>
                <c:pt idx="15">
                  <c:v>119262.87666666666</c:v>
                </c:pt>
                <c:pt idx="16">
                  <c:v>199262.46333333335</c:v>
                </c:pt>
                <c:pt idx="17">
                  <c:v>399262.4633333332</c:v>
                </c:pt>
                <c:pt idx="18">
                  <c:v>599262.46333333326</c:v>
                </c:pt>
                <c:pt idx="19">
                  <c:v>799262.46333333326</c:v>
                </c:pt>
                <c:pt idx="20">
                  <c:v>319332.1966666666</c:v>
                </c:pt>
                <c:pt idx="21">
                  <c:v>379297.12999999995</c:v>
                </c:pt>
                <c:pt idx="22">
                  <c:v>579297.13</c:v>
                </c:pt>
                <c:pt idx="23">
                  <c:v>779297.51666666684</c:v>
                </c:pt>
                <c:pt idx="24">
                  <c:v>319332.1966666666</c:v>
                </c:pt>
                <c:pt idx="25">
                  <c:v>559331.79666666663</c:v>
                </c:pt>
                <c:pt idx="26">
                  <c:v>859332.18333333358</c:v>
                </c:pt>
                <c:pt idx="27">
                  <c:v>519401.52999999997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66-D94C-B586-789BE6102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84143"/>
        <c:axId val="556288671"/>
      </c:barChart>
      <c:catAx>
        <c:axId val="28928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288671"/>
        <c:crosses val="autoZero"/>
        <c:auto val="1"/>
        <c:lblAlgn val="ctr"/>
        <c:lblOffset val="100"/>
        <c:noMultiLvlLbl val="0"/>
      </c:catAx>
      <c:valAx>
        <c:axId val="55628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QPU_time / µm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28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3294811896707"/>
          <c:y val="4.2728561768801174E-2"/>
          <c:w val="0.11573006269238088"/>
          <c:h val="0.122062509057533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165100</xdr:colOff>
      <xdr:row>0</xdr:row>
      <xdr:rowOff>0</xdr:rowOff>
    </xdr:from>
    <xdr:to>
      <xdr:col>33</xdr:col>
      <xdr:colOff>152400</xdr:colOff>
      <xdr:row>13</xdr:row>
      <xdr:rowOff>101600</xdr:rowOff>
    </xdr:to>
    <xdr:graphicFrame macro="">
      <xdr:nvGraphicFramePr>
        <xdr:cNvPr id="2" name="Chart 1" descr="Chart type: Clustered Bar. 'time_limit' by 'd' and 'Vertex labeled'&#10;&#10;Description automatically generated">
          <a:extLst>
            <a:ext uri="{FF2B5EF4-FFF2-40B4-BE49-F238E27FC236}">
              <a16:creationId xmlns:a16="http://schemas.microsoft.com/office/drawing/2014/main" id="{1BA6935F-AAF2-6273-64D0-FDB7C4011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660399</xdr:colOff>
      <xdr:row>2</xdr:row>
      <xdr:rowOff>196850</xdr:rowOff>
    </xdr:from>
    <xdr:to>
      <xdr:col>20</xdr:col>
      <xdr:colOff>8466</xdr:colOff>
      <xdr:row>21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3801EF-8B3A-5DD9-E15F-C74FA2D7C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190500</xdr:colOff>
      <xdr:row>8</xdr:row>
      <xdr:rowOff>139700</xdr:rowOff>
    </xdr:from>
    <xdr:to>
      <xdr:col>27</xdr:col>
      <xdr:colOff>546100</xdr:colOff>
      <xdr:row>27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BE76DD-5330-F31E-EB3E-C444DEEC4D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2</xdr:row>
      <xdr:rowOff>69850</xdr:rowOff>
    </xdr:from>
    <xdr:to>
      <xdr:col>14</xdr:col>
      <xdr:colOff>723900</xdr:colOff>
      <xdr:row>23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09337E-482B-56BA-696F-E47CA96A3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575734</xdr:colOff>
      <xdr:row>1</xdr:row>
      <xdr:rowOff>10583</xdr:rowOff>
    </xdr:from>
    <xdr:to>
      <xdr:col>23</xdr:col>
      <xdr:colOff>677334</xdr:colOff>
      <xdr:row>23</xdr:row>
      <xdr:rowOff>42333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A0A67-9741-DA67-F33E-43C9BB7C3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571500</xdr:colOff>
      <xdr:row>23</xdr:row>
      <xdr:rowOff>63499</xdr:rowOff>
    </xdr:from>
    <xdr:to>
      <xdr:col>23</xdr:col>
      <xdr:colOff>694266</xdr:colOff>
      <xdr:row>45</xdr:row>
      <xdr:rowOff>135466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F16E04-60D5-C11A-FEEE-C30761C28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406400</xdr:colOff>
      <xdr:row>6</xdr:row>
      <xdr:rowOff>6350</xdr:rowOff>
    </xdr:from>
    <xdr:to>
      <xdr:col>13</xdr:col>
      <xdr:colOff>355600</xdr:colOff>
      <xdr:row>25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B3278C-0A82-A327-A7D4-FF46FE26DA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422031</xdr:colOff>
      <xdr:row>29</xdr:row>
      <xdr:rowOff>23446</xdr:rowOff>
    </xdr:from>
    <xdr:to>
      <xdr:col>26</xdr:col>
      <xdr:colOff>781538</xdr:colOff>
      <xdr:row>52</xdr:row>
      <xdr:rowOff>97692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034AE7B-090F-5BE8-FF4C-8EE10B0B9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438638</xdr:colOff>
      <xdr:row>5</xdr:row>
      <xdr:rowOff>95249</xdr:rowOff>
    </xdr:from>
    <xdr:to>
      <xdr:col>27</xdr:col>
      <xdr:colOff>0</xdr:colOff>
      <xdr:row>29</xdr:row>
      <xdr:rowOff>78153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3A8635-84DB-DB13-F1B1-80CE18103C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635000</xdr:colOff>
      <xdr:row>3</xdr:row>
      <xdr:rowOff>0</xdr:rowOff>
    </xdr:from>
    <xdr:to>
      <xdr:col>20</xdr:col>
      <xdr:colOff>254000</xdr:colOff>
      <xdr:row>33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4A610-CCF3-378C-7B12-EDD7B41FD2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398780</xdr:colOff>
      <xdr:row>6</xdr:row>
      <xdr:rowOff>168910</xdr:rowOff>
    </xdr:from>
    <xdr:to>
      <xdr:col>20</xdr:col>
      <xdr:colOff>93980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55313B-2048-70EC-C36E-B9354B1A1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401320</xdr:colOff>
      <xdr:row>22</xdr:row>
      <xdr:rowOff>107950</xdr:rowOff>
    </xdr:from>
    <xdr:to>
      <xdr:col>20</xdr:col>
      <xdr:colOff>60960</xdr:colOff>
      <xdr:row>38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E4C15A-FA75-580D-8471-084D7C0276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774701</xdr:colOff>
      <xdr:row>2</xdr:row>
      <xdr:rowOff>133348</xdr:rowOff>
    </xdr:from>
    <xdr:to>
      <xdr:col>20</xdr:col>
      <xdr:colOff>778933</xdr:colOff>
      <xdr:row>34</xdr:row>
      <xdr:rowOff>50799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AE5843-A233-39C4-C404-F55AED84E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cto" refreshedDate="45348.616090046293" createdVersion="8" refreshedVersion="8" minRefreshableVersion="3" recordCount="3633" xr:uid="{9386F8E3-FC4C-D341-B61D-3060C32BC37D}">
  <cacheSource type="worksheet">
    <worksheetSource ref="A1:O3502" sheet="Sheet1"/>
  </cacheSource>
  <cacheFields count="15">
    <cacheField name="graph_num" numFmtId="0">
      <sharedItems containsSemiMixedTypes="0" containsString="0" containsNumber="1" containsInteger="1" minValue="1" maxValue="189"/>
    </cacheField>
    <cacheField name="Node_num" numFmtId="0">
      <sharedItems containsSemiMixedTypes="0" containsString="0" containsNumber="1" containsInteger="1" minValue="4" maxValue="8" count="5">
        <n v="4"/>
        <n v="5"/>
        <n v="6"/>
        <n v="7"/>
        <n v="8"/>
      </sharedItems>
    </cacheField>
    <cacheField name="Edge_num" numFmtId="0">
      <sharedItems containsSemiMixedTypes="0" containsString="0" containsNumber="1" containsInteger="1" minValue="3" maxValue="15" count="13">
        <n v="3"/>
        <n v="4"/>
        <n v="5"/>
        <n v="6"/>
        <n v="7"/>
        <n v="8"/>
        <n v="9"/>
        <n v="10"/>
        <n v="11"/>
        <n v="12"/>
        <n v="14"/>
        <n v="13"/>
        <n v="15"/>
      </sharedItems>
    </cacheField>
    <cacheField name="a" numFmtId="0">
      <sharedItems containsSemiMixedTypes="0" containsString="0" containsNumber="1" containsInteger="1" minValue="2" maxValue="3"/>
    </cacheField>
    <cacheField name="d" numFmtId="0">
      <sharedItems containsSemiMixedTypes="0" containsString="0" containsNumber="1" containsInteger="1" minValue="1" maxValue="3"/>
    </cacheField>
    <cacheField name="Vertex labeled" numFmtId="0">
      <sharedItems containsBlank="1" count="3">
        <s v="Y"/>
        <s v="N"/>
        <m u="1"/>
      </sharedItems>
    </cacheField>
    <cacheField name="qubo_formulation_time" numFmtId="0">
      <sharedItems containsSemiMixedTypes="0" containsString="0" containsNumber="1" minValue="0" maxValue="2124.6000000005001"/>
    </cacheField>
    <cacheField name="Solver" numFmtId="0">
      <sharedItems containsBlank="1" count="5">
        <s v="Pegasus"/>
        <s v="Zephyr"/>
        <s v="Hybrid"/>
        <s v="MIP"/>
        <m u="1"/>
      </sharedItems>
    </cacheField>
    <cacheField name="embedding_time" numFmtId="0">
      <sharedItems containsSemiMixedTypes="0" containsString="0" containsNumber="1" minValue="0" maxValue="5219995.0000001499"/>
    </cacheField>
    <cacheField name="num_reads" numFmtId="0">
      <sharedItems containsSemiMixedTypes="0" containsString="0" containsNumber="1" containsInteger="1" minValue="0" maxValue="5000"/>
    </cacheField>
    <cacheField name="annealing_time" numFmtId="0">
      <sharedItems containsSemiMixedTypes="0" containsString="0" containsNumber="1" containsInteger="1" minValue="0" maxValue="700"/>
    </cacheField>
    <cacheField name="time_limit" numFmtId="0">
      <sharedItems containsSemiMixedTypes="0" containsString="0" containsNumber="1" containsInteger="1" minValue="0" maxValue="18000000" count="7">
        <n v="0"/>
        <n v="3000000"/>
        <n v="6000000"/>
        <n v="9000000"/>
        <n v="12000000"/>
        <n v="15000000"/>
        <n v="18000000"/>
      </sharedItems>
    </cacheField>
    <cacheField name="qpu_time" numFmtId="0">
      <sharedItems containsSemiMixedTypes="0" containsString="0" containsNumber="1" minValue="0" maxValue="1245196"/>
    </cacheField>
    <cacheField name="total_time" numFmtId="0">
      <sharedItems containsSemiMixedTypes="0" containsString="0" containsNumber="1" minValue="1542.9999999696499" maxValue="25822379.999999601" count="3599">
        <n v="123882.16999999953"/>
        <n v="123624.16999999904"/>
        <n v="131803.77000000086"/>
        <n v="126698.96999999988"/>
        <n v="129308.37000000039"/>
        <n v="126601.57000000126"/>
        <n v="130579.36999999908"/>
        <n v="154344.17000000074"/>
        <n v="141358.3700000002"/>
        <n v="186245.57000000024"/>
        <n v="147311.56999999896"/>
        <n v="204088.77000000031"/>
        <n v="114786.97000000141"/>
        <n v="146326.56999999902"/>
        <n v="137286.37000000014"/>
        <n v="136363.37000000069"/>
        <n v="150493.97000000143"/>
        <n v="189181.36999999982"/>
        <n v="139317.37000000011"/>
        <n v="165992.56999999908"/>
        <n v="193695.37000000064"/>
        <n v="166974.97000000003"/>
        <n v="191155.17000000051"/>
        <n v="318873.76999999874"/>
        <n v="236126.77000000107"/>
        <n v="305329.97000000026"/>
        <n v="494403.36999999965"/>
        <n v="91301.209999990504"/>
        <n v="110204.21000004254"/>
        <n v="123571.40999998615"/>
        <n v="123617.60999997368"/>
        <n v="109296.40999999018"/>
        <n v="116662.81000001126"/>
        <n v="104724.00999999586"/>
        <n v="111632.20999999653"/>
        <n v="138516.01000001549"/>
        <n v="123332.81000000183"/>
        <n v="140151.20999996434"/>
        <n v="146132.40999997681"/>
        <n v="99181.209999983097"/>
        <n v="114643.21000000041"/>
        <n v="144853.41000002294"/>
        <n v="142034.00999998231"/>
        <n v="121051.20999999462"/>
        <n v="153626.60999998503"/>
        <n v="105723.20999999184"/>
        <n v="198384.21000003017"/>
        <n v="133024.41000003822"/>
        <n v="155377.01000003316"/>
        <n v="147216.61000002839"/>
        <n v="196300.00999999995"/>
        <n v="177376.00999996316"/>
        <n v="199909.21000003425"/>
        <n v="288270.60999999259"/>
        <n v="3000372.8000000003"/>
        <n v="3000392.1999999997"/>
        <n v="3000404.8000000003"/>
        <n v="3000328.6"/>
        <n v="3000253.6"/>
        <n v="3000288.2000000007"/>
        <n v="3000263"/>
        <n v="3000286"/>
        <n v="3000248.4"/>
        <n v="3000246.2"/>
        <n v="3000291.6"/>
        <n v="3000221.8"/>
        <n v="3000149.6"/>
        <n v="3000167.1999999997"/>
        <n v="3000168.9999999995"/>
        <n v="3000240.0000000005"/>
        <n v="3000214.2000000007"/>
        <n v="3000297.9999999995"/>
        <n v="3000138.6"/>
        <n v="3000176.6"/>
        <n v="3000167.0000000005"/>
        <n v="3000168.6"/>
        <n v="3000169.4"/>
        <n v="3000231.9999999995"/>
        <n v="3000206.4"/>
        <n v="3000197.6"/>
        <n v="3000270.5999999996"/>
        <n v="422647.17000000022"/>
        <n v="405777.37000000093"/>
        <n v="434888.36999999988"/>
        <n v="454103.76999999955"/>
        <n v="332976.56999999937"/>
        <n v="669246.36999999988"/>
        <n v="365382.37000000081"/>
        <n v="617541.7700000006"/>
        <n v="487819.37000000058"/>
        <n v="525736.57000000007"/>
        <n v="691318.37000000023"/>
        <n v="752242.37000000069"/>
        <n v="459306.5699999989"/>
        <n v="452361.37000000133"/>
        <n v="542174.37000000104"/>
        <n v="579980.17000000214"/>
        <n v="505721.37000000197"/>
        <n v="1042381.1699999985"/>
        <n v="481683.76999999641"/>
        <n v="765041.97000000055"/>
        <n v="1245841.9700000002"/>
        <n v="1026480.3700000021"/>
        <n v="1009592.1700000004"/>
        <n v="1892997.7700000005"/>
        <n v="964273.76999999909"/>
        <n v="1297480.9700000002"/>
        <n v="2151406.9700000002"/>
        <n v="559087.17000000016"/>
        <n v="500437.37000000087"/>
        <n v="561408.36999999988"/>
        <n v="591523.76999999955"/>
        <n v="420416.56999999931"/>
        <n v="808806.36999999988"/>
        <n v="457942.37000000087"/>
        <n v="715261.77000000048"/>
        <n v="597559.37000000058"/>
        <n v="631536.57000000007"/>
        <n v="785778.37000000034"/>
        <n v="863102.37000000069"/>
        <n v="565206.5699999989"/>
        <n v="543381.37000000128"/>
        <n v="633294.37000000104"/>
        <n v="683780.17000000214"/>
        <n v="613121.37000000197"/>
        <n v="1169801.1699999985"/>
        <n v="577303.76999999641"/>
        <n v="861161.97000000055"/>
        <n v="1342621.9700000002"/>
        <n v="1137460.370000002"/>
        <n v="1149772.1700000004"/>
        <n v="1981497.7700000005"/>
        <n v="1063993.7699999991"/>
        <n v="1393080.9700000002"/>
        <n v="2253486.9700000002"/>
        <n v="831967.17000000016"/>
        <n v="689757.37000000081"/>
        <n v="814448.36999999988"/>
        <n v="866363.76999999955"/>
        <n v="595296.56999999937"/>
        <n v="1087926.3699999999"/>
        <n v="643062.37000000081"/>
        <n v="910701.77000000048"/>
        <n v="817039.37000000058"/>
        <n v="843136.57000000007"/>
        <n v="974698.37000000034"/>
        <n v="1084822.3700000006"/>
        <n v="777006.5699999989"/>
        <n v="725421.37000000128"/>
        <n v="815534.37000000104"/>
        <n v="891380.17000000214"/>
        <n v="827921.37000000197"/>
        <n v="1424641.1699999985"/>
        <n v="768543.76999999641"/>
        <n v="1053401.9700000007"/>
        <n v="1536181.9700000002"/>
        <n v="1359420.370000002"/>
        <n v="1430132.1700000004"/>
        <n v="2158497.7700000005"/>
        <n v="1263433.7699999991"/>
        <n v="1584280.9700000002"/>
        <n v="2457646.9700000002"/>
        <n v="855531.17000000016"/>
        <n v="755101.37000000081"/>
        <n v="847932.36999999988"/>
        <n v="888947.36999999953"/>
        <n v="667859.76999999932"/>
        <n v="1108368.77"/>
        <n v="710505.17000000086"/>
        <n v="972984.97000000067"/>
        <n v="867303.37000000058"/>
        <n v="897339.77"/>
        <n v="1040242.3700000002"/>
        <n v="1133965.5700000008"/>
        <n v="831109.76999999885"/>
        <n v="794405.37000000128"/>
        <n v="884417.570000001"/>
        <n v="947582.97000000218"/>
        <n v="880524.57000000193"/>
        <n v="1457223.9699999983"/>
        <n v="832927.36999999639"/>
        <n v="1117285.1700000004"/>
        <n v="1599404.7700000003"/>
        <n v="1408443.170000002"/>
        <n v="1449954.9700000004"/>
        <n v="2230000.5700000003"/>
        <n v="1323716.969999999"/>
        <n v="1648682.5700000003"/>
        <n v="2515567.37"/>
        <n v="582651.17000000016"/>
        <n v="565779.37000000081"/>
        <n v="594891.97"/>
        <n v="614107.76999999955"/>
        <n v="492978.96999999933"/>
        <n v="829248.36999999988"/>
        <n v="525385.9700000009"/>
        <n v="777544.57000000053"/>
        <n v="647822.17000000062"/>
        <n v="685738.9700000002"/>
        <n v="851321.9700000002"/>
        <n v="912245.17000000062"/>
        <n v="619309.76999999885"/>
        <n v="612364.57000000135"/>
        <n v="702177.17000000109"/>
        <n v="739982.17000000214"/>
        <n v="665724.17000000202"/>
        <n v="1202383.1699999985"/>
        <n v="641686.56999999634"/>
        <n v="925044.77000000048"/>
        <n v="1405844.37"/>
        <n v="1186482.7700000021"/>
        <n v="1169595.7700000005"/>
        <n v="2053000.1700000004"/>
        <n v="1124276.5699999991"/>
        <n v="1457481.7700000003"/>
        <n v="2311408.5700000003"/>
        <n v="799089.17000000016"/>
        <n v="740440.17000000086"/>
        <n v="801410.7699999999"/>
        <n v="831525.76999999955"/>
        <n v="660418.56999999937"/>
        <n v="1048807.9699999997"/>
        <n v="697945.17000000086"/>
        <n v="955262.97000000067"/>
        <n v="837563.7700000006"/>
        <n v="871538.57000000007"/>
        <n v="1025780.7700000003"/>
        <n v="1103104.7700000007"/>
        <n v="805208.5699999989"/>
        <n v="783382.97000000137"/>
        <n v="873296.37000000104"/>
        <n v="923781.77000000211"/>
        <n v="853123.37000000197"/>
        <n v="1409802.7699999984"/>
        <n v="817305.36999999639"/>
        <n v="1101163.1700000004"/>
        <n v="1582622.7700000003"/>
        <n v="1377461.5700000022"/>
        <n v="1389774.9700000004"/>
        <n v="2221499.3700000006"/>
        <n v="1303995.7699999991"/>
        <n v="1633081.37"/>
        <n v="2493486.5700000003"/>
        <n v="782649.17000000016"/>
        <n v="765778.9700000009"/>
        <n v="794889.96999999986"/>
        <n v="814105.36999999953"/>
        <n v="692977.36999999941"/>
        <n v="1029247.1699999998"/>
        <n v="725384.77000000072"/>
        <n v="977543.37000000058"/>
        <n v="847823.37000000058"/>
        <n v="885737.77"/>
        <n v="1051320.3700000001"/>
        <n v="1112243.5700000008"/>
        <n v="819307.76999999885"/>
        <n v="812362.97000000137"/>
        <n v="902175.570000001"/>
        <n v="939980.97000000218"/>
        <n v="865722.57000000193"/>
        <n v="1402381.5699999984"/>
        <n v="841685.76999999641"/>
        <n v="1125043.1700000004"/>
        <n v="1605843.1700000004"/>
        <n v="1386481.170000002"/>
        <n v="1369594.5700000003"/>
        <n v="2252998.5700000003"/>
        <n v="1324274.969999999"/>
        <n v="1657480.5700000003"/>
        <n v="2511406.1700000004"/>
        <n v="982649.17000000016"/>
        <n v="965778.17000000086"/>
        <n v="994890.36999999988"/>
        <n v="1014105.7699999996"/>
        <n v="892977.76999999932"/>
        <n v="1229247.17"/>
        <n v="925383.57000000076"/>
        <n v="1177542.5700000005"/>
        <n v="1047820.5700000006"/>
        <n v="1085737.77"/>
        <n v="1251319.5700000003"/>
        <n v="1312243.5700000008"/>
        <n v="1019308.1699999988"/>
        <n v="1012362.9700000014"/>
        <n v="1102175.570000001"/>
        <n v="1139980.9700000021"/>
        <n v="1065722.5700000019"/>
        <n v="1602381.9699999983"/>
        <n v="1041684.9699999964"/>
        <n v="1325042.3700000006"/>
        <n v="1805842.7700000003"/>
        <n v="1586480.7700000019"/>
        <n v="1569594.5700000003"/>
        <n v="2452998.9700000007"/>
        <n v="1524274.5699999989"/>
        <n v="1857480.5700000003"/>
        <n v="2711405.7700000005"/>
        <n v="566208.77000000025"/>
        <n v="591118.17000000086"/>
        <n v="588369.56999999983"/>
        <n v="596685.36999999965"/>
        <n v="525537.36999999941"/>
        <n v="809686.7699999999"/>
        <n v="552823.17000000086"/>
        <n v="799822.97000000055"/>
        <n v="658081.37000000058"/>
        <n v="699937.37000000011"/>
        <n v="876859.9700000002"/>
        <n v="921383.17000000062"/>
        <n v="633407.36999999883"/>
        <n v="641342.17000000132"/>
        <n v="731055.57000000111"/>
        <n v="756180.57000000216"/>
        <n v="678322.17000000202"/>
        <n v="1194961.9699999983"/>
        <n v="666064.56999999634"/>
        <n v="948922.77000000048"/>
        <n v="1429062.37"/>
        <n v="1195499.9700000021"/>
        <n v="1149413.7700000005"/>
        <n v="2084497.7700000005"/>
        <n v="1144554.5699999991"/>
        <n v="1481879.37"/>
        <n v="2329326.9700000002"/>
        <n v="766205.57000000018"/>
        <n v="791114.570000001"/>
        <n v="788366.7699999999"/>
        <n v="796681.76999999955"/>
        <n v="725534.16999999923"/>
        <n v="1009683.5699999998"/>
        <n v="752820.37000000081"/>
        <n v="999818.97000000067"/>
        <n v="858078.17000000062"/>
        <n v="899934.17"/>
        <n v="1076856.7700000003"/>
        <n v="1121379.9700000007"/>
        <n v="833404.16999999876"/>
        <n v="841339.77000000118"/>
        <n v="931052.77000000095"/>
        <n v="956177.77000000211"/>
        <n v="878318.97000000207"/>
        <n v="1394957.9699999983"/>
        <n v="866060.56999999646"/>
        <n v="1148919.9700000007"/>
        <n v="1629059.5700000003"/>
        <n v="1395497.5700000022"/>
        <n v="1349410.9700000004"/>
        <n v="2284495.7700000005"/>
        <n v="1344551.3699999992"/>
        <n v="1681877.7700000003"/>
        <n v="2529323.7700000005"/>
        <n v="966205.57000000018"/>
        <n v="991114.570000001"/>
        <n v="988366.7699999999"/>
        <n v="996681.76999999955"/>
        <n v="925534.16999999923"/>
        <n v="1209683.5699999998"/>
        <n v="952820.37000000081"/>
        <n v="1199818.9700000007"/>
        <n v="1058078.1700000006"/>
        <n v="1099934.17"/>
        <n v="1276856.7700000003"/>
        <n v="1321379.9700000007"/>
        <n v="1033404.1699999988"/>
        <n v="1041339.7700000012"/>
        <n v="1131052.7700000009"/>
        <n v="1156177.7700000021"/>
        <n v="1078318.9700000021"/>
        <n v="1594957.9699999983"/>
        <n v="1066060.5699999966"/>
        <n v="1348919.9700000007"/>
        <n v="1829059.5700000003"/>
        <n v="1595497.5700000022"/>
        <n v="1549410.9700000004"/>
        <n v="2484495.7700000005"/>
        <n v="1544551.3699999992"/>
        <n v="1881877.7700000003"/>
        <n v="2729323.7700000005"/>
        <n v="423825.80999996763"/>
        <n v="657914.6100000469"/>
        <n v="503247.60999997891"/>
        <n v="456220.41000003065"/>
        <n v="463987.81000000454"/>
        <n v="586572.81000001694"/>
        <n v="458623.01000001258"/>
        <n v="637145.41000004462"/>
        <n v="599390.60999999056"/>
        <n v="638580.80999997514"/>
        <n v="675023.8100000103"/>
        <n v="656951.41000001575"/>
        <n v="485430.81000003382"/>
        <n v="631748.20999995829"/>
        <n v="710875.01000002609"/>
        <n v="553821.01000002725"/>
        <n v="510204.210000041"/>
        <n v="830870.20999998448"/>
        <n v="489048.61000003188"/>
        <n v="695553.20999999857"/>
        <n v="632326.40999997314"/>
        <n v="608298.81000001007"/>
        <n v="759209.61000001151"/>
        <n v="918530.81000004546"/>
        <n v="804169.61000002921"/>
        <n v="1109683.0099999832"/>
        <n v="917016.21000002418"/>
        <n v="623826.2099999676"/>
        <n v="857915.01000004681"/>
        <n v="703248.00999997894"/>
        <n v="656220.81000003067"/>
        <n v="663988.2100000045"/>
        <n v="786573.21000001684"/>
        <n v="658623.41000001249"/>
        <n v="837145.81000004453"/>
        <n v="799391.00999999058"/>
        <n v="838581.20999997505"/>
        <n v="875024.21000001021"/>
        <n v="856951.81000001566"/>
        <n v="685431.21000003384"/>
        <n v="831748.60999995831"/>
        <n v="910875.41000002599"/>
        <n v="753821.41000002716"/>
        <n v="710204.61000004108"/>
        <n v="1030870.6099999845"/>
        <n v="689049.01000003179"/>
        <n v="895553.60999999847"/>
        <n v="832326.80999997328"/>
        <n v="808299.21000001009"/>
        <n v="959210.01000001142"/>
        <n v="1118531.2100000454"/>
        <n v="1004170.0100000291"/>
        <n v="1309683.4099999834"/>
        <n v="1117016.6100000241"/>
        <n v="226186.20999996763"/>
        <n v="461395.01000004687"/>
        <n v="318928.00999997894"/>
        <n v="259620.81000003067"/>
        <n v="262028.61000000458"/>
        <n v="387293.21000001684"/>
        <n v="281383.41000001255"/>
        <n v="453385.81000004458"/>
        <n v="432951.00999999058"/>
        <n v="463381.20999997511"/>
        <n v="506304.21000001027"/>
        <n v="495351.81000001577"/>
        <n v="283511.21000003384"/>
        <n v="449748.60999995831"/>
        <n v="542795.41000002611"/>
        <n v="359621.41000002716"/>
        <n v="315604.61000004096"/>
        <n v="636550.6099999845"/>
        <n v="312209.01000003185"/>
        <n v="513193.60999999853"/>
        <n v="436246.80999997316"/>
        <n v="443939.21000001009"/>
        <n v="565210.01000001142"/>
        <n v="743811.21000004536"/>
        <n v="636450.01000002911"/>
        <n v="914483.40999998327"/>
        <n v="722616.6100000242"/>
        <n v="386186.2099999676"/>
        <n v="621395.01000004681"/>
        <n v="478928.00999997888"/>
        <n v="419620.81000003067"/>
        <n v="422028.2100000045"/>
        <n v="547293.21000001696"/>
        <n v="441383.41000001255"/>
        <n v="613385.81000004453"/>
        <n v="592951.00999999046"/>
        <n v="623381.20999997517"/>
        <n v="666304.21000001021"/>
        <n v="655351.81000001566"/>
        <n v="443511.21000003384"/>
        <n v="609748.60999995831"/>
        <n v="702795.41000002611"/>
        <n v="519621.41000002716"/>
        <n v="475604.61000004096"/>
        <n v="796550.6099999845"/>
        <n v="472209.01000003185"/>
        <n v="673193.60999999847"/>
        <n v="596246.80999997316"/>
        <n v="603939.21000001021"/>
        <n v="725210.01000001142"/>
        <n v="903811.21000004536"/>
        <n v="796450.01000002911"/>
        <n v="1074483.4099999832"/>
        <n v="882616.61000002432"/>
        <n v="308546.2099999676"/>
        <n v="544875.01000004681"/>
        <n v="414608.00999997888"/>
        <n v="343020.81000003067"/>
        <n v="340068.61000000458"/>
        <n v="468013.21000001684"/>
        <n v="384143.41000001255"/>
        <n v="549625.81000004453"/>
        <n v="546511.00999999046"/>
        <n v="568181.20999997517"/>
        <n v="617584.21000001021"/>
        <n v="613751.81000001566"/>
        <n v="361591.21000003384"/>
        <n v="547748.60999995831"/>
        <n v="654715.41000002611"/>
        <n v="445421.41000002716"/>
        <n v="401004.61000004096"/>
        <n v="722230.6099999845"/>
        <n v="415369.01000003185"/>
        <n v="610833.60999999847"/>
        <n v="520166.80999997316"/>
        <n v="559579.21000001021"/>
        <n v="651210.01000001142"/>
        <n v="849091.21000004536"/>
        <n v="748730.01000002911"/>
        <n v="999283.40999998315"/>
        <n v="808216.61000002432"/>
        <n v="548545.80999996758"/>
        <n v="784874.6100000469"/>
        <n v="654607.60999997891"/>
        <n v="583020.41000003065"/>
        <n v="580067.8100000046"/>
        <n v="708012.81000001694"/>
        <n v="624143.01000001247"/>
        <n v="789625.41000004462"/>
        <n v="786510.60999999056"/>
        <n v="808180.80999997503"/>
        <n v="857583.81000001018"/>
        <n v="853751.41000001575"/>
        <n v="601590.81000003382"/>
        <n v="787748.20999995829"/>
        <n v="894715.01000002609"/>
        <n v="685421.01000002725"/>
        <n v="641004.21000004106"/>
        <n v="962230.20999998448"/>
        <n v="655368.61000003177"/>
        <n v="850833.20999999857"/>
        <n v="760166.40999997314"/>
        <n v="799578.81000001007"/>
        <n v="891209.61000001151"/>
        <n v="1089090.8100000455"/>
        <n v="988729.61000002909"/>
        <n v="1239283.0099999832"/>
        <n v="1048216.2100000242"/>
        <n v="473266.2099999676"/>
        <n v="711835.01000004681"/>
        <n v="605968.00999997894"/>
        <n v="509820.81000003067"/>
        <n v="496148.61000000453"/>
        <n v="629453.21000001696"/>
        <n v="589663.41000001249"/>
        <n v="742105.81000004453"/>
        <n v="773631.00999999058"/>
        <n v="777781.20999997505"/>
        <n v="840144.21000001021"/>
        <n v="850551.81000001566"/>
        <n v="517751.21000003384"/>
        <n v="743748.60999995831"/>
        <n v="878555.41000002599"/>
        <n v="617021.41000002716"/>
        <n v="571804.61000004096"/>
        <n v="893590.6099999845"/>
        <n v="621689.01000003179"/>
        <n v="806113.60999999847"/>
        <n v="688006.80999997316"/>
        <n v="790859.21000001009"/>
        <n v="823210.01000001142"/>
        <n v="1059651.2100000454"/>
        <n v="973290.01000002911"/>
        <n v="1168883.4099999832"/>
        <n v="979416.61000002432"/>
        <n v="550906.2099999676"/>
        <n v="788355.01000004681"/>
        <n v="670288.00999997894"/>
        <n v="586420.81000003067"/>
        <n v="578108.61000000453"/>
        <n v="708733.21000001696"/>
        <n v="646903.41000001249"/>
        <n v="805865.81000004453"/>
        <n v="820071.00999999058"/>
        <n v="832981.20999997505"/>
        <n v="888864.21000001021"/>
        <n v="892151.81000001566"/>
        <n v="599671.21000003384"/>
        <n v="805748.60999995831"/>
        <n v="926635.41000002599"/>
        <n v="691221.41000002716"/>
        <n v="646404.61000004096"/>
        <n v="967910.6099999845"/>
        <n v="678529.01000003179"/>
        <n v="868473.60999999847"/>
        <n v="764086.80999997316"/>
        <n v="835219.21000001009"/>
        <n v="897210.01000001142"/>
        <n v="1114371.2100000454"/>
        <n v="1021010.0100000291"/>
        <n v="1244083.4099999832"/>
        <n v="1053816.6100000243"/>
        <n v="586185.80999996758"/>
        <n v="821394.6100000469"/>
        <n v="678927.60999997891"/>
        <n v="619620.41000003065"/>
        <n v="622027.81000000448"/>
        <n v="747292.81000001682"/>
        <n v="641383.01000001247"/>
        <n v="813385.41000004462"/>
        <n v="792950.60999999056"/>
        <n v="823380.80999997503"/>
        <n v="866303.81000001018"/>
        <n v="855351.41000001575"/>
        <n v="643510.81000003382"/>
        <n v="809748.20999995829"/>
        <n v="902795.01000002609"/>
        <n v="719621.01000002713"/>
        <n v="675604.21000004106"/>
        <n v="996550.20999998448"/>
        <n v="672208.61000003177"/>
        <n v="873193.20999999857"/>
        <n v="796246.40999997326"/>
        <n v="803938.81000001007"/>
        <n v="925209.61000001151"/>
        <n v="1103810.8100000455"/>
        <n v="996449.61000002909"/>
        <n v="1274483.0099999832"/>
        <n v="1082616.2100000242"/>
        <n v="786185.80999996758"/>
        <n v="1021394.6100000469"/>
        <n v="878927.60999997891"/>
        <n v="819620.41000003065"/>
        <n v="822027.81000000448"/>
        <n v="947292.81000001682"/>
        <n v="841383.01000001247"/>
        <n v="1013385.4100000446"/>
        <n v="992950.60999999056"/>
        <n v="1023380.809999975"/>
        <n v="1066303.8100000103"/>
        <n v="1055351.4100000157"/>
        <n v="843510.81000003382"/>
        <n v="1009748.2099999583"/>
        <n v="1102795.0100000261"/>
        <n v="919621.01000002713"/>
        <n v="875604.21000004106"/>
        <n v="1196550.2099999846"/>
        <n v="872208.61000003177"/>
        <n v="1073193.2099999986"/>
        <n v="996246.40999997326"/>
        <n v="1003938.8100000101"/>
        <n v="1125209.6100000115"/>
        <n v="1303810.8100000455"/>
        <n v="1196449.6100000292"/>
        <n v="1474483.0099999832"/>
        <n v="1282616.2100000242"/>
        <n v="823825.80999996758"/>
        <n v="1057914.6100000469"/>
        <n v="903247.60999997891"/>
        <n v="856220.41000003065"/>
        <n v="863987.81000000448"/>
        <n v="986572.81000001682"/>
        <n v="858623.01000001247"/>
        <n v="1037145.4100000446"/>
        <n v="999390.60999999056"/>
        <n v="1038580.809999975"/>
        <n v="1075023.8100000103"/>
        <n v="1056951.4100000157"/>
        <n v="885430.81000003382"/>
        <n v="1031748.2099999583"/>
        <n v="1110875.0100000261"/>
        <n v="953821.01000002713"/>
        <n v="910204.21000004106"/>
        <n v="1230870.2099999846"/>
        <n v="889048.61000003177"/>
        <n v="1095553.2099999986"/>
        <n v="1032326.4099999733"/>
        <n v="1008298.8100000101"/>
        <n v="1159209.6100000115"/>
        <n v="1318530.8100000455"/>
        <n v="1204169.6100000292"/>
        <n v="1509683.0099999832"/>
        <n v="1317016.2100000242"/>
        <n v="12435.9999999797"/>
        <n v="9253.9999999416996"/>
        <n v="8309.0000000538603"/>
        <n v="8626.0000000493201"/>
        <n v="7216.9999999687197"/>
        <n v="7986.9999999573301"/>
        <n v="6916.0000000465498"/>
        <n v="6733.0000000538403"/>
        <n v="6059.9999999340098"/>
        <n v="5945.9999999944603"/>
        <n v="6083.9999999870997"/>
        <n v="5673.0000000015898"/>
        <n v="4263.0000000372102"/>
        <n v="4265.0000000321597"/>
        <n v="4216.9999999259699"/>
        <n v="4209.9999999436504"/>
        <n v="4207.9999999487"/>
        <n v="4090.0000000192499"/>
        <n v="1655.0000000279399"/>
        <n v="1593.9999999545801"/>
        <n v="1630.00000009106"/>
        <n v="1604.00000004302"/>
        <n v="1586.99999997225"/>
        <n v="1542.9999999696499"/>
        <n v="1605.00000004049"/>
        <n v="1616.00000001272"/>
        <n v="3000686.6"/>
        <n v="3000595.4"/>
        <n v="3000510.4"/>
        <n v="3000455.8"/>
        <n v="3000514.6000000006"/>
        <n v="3000535.6"/>
        <n v="3000354.8"/>
        <n v="3000408.8"/>
        <n v="3000315.4000000004"/>
        <n v="3000303.2"/>
        <n v="3000339.8"/>
        <n v="3000225.1999999997"/>
        <n v="3000285.8000000003"/>
        <n v="3000273.8000000003"/>
        <n v="3000261.8000000003"/>
        <n v="3000255.0000000009"/>
        <n v="3000307.7999999993"/>
        <n v="3000241.3999999994"/>
        <n v="3000301.5999999996"/>
        <n v="3000295"/>
        <n v="3000284.2"/>
        <n v="3000292.8000000003"/>
        <n v="3000352.6000000006"/>
        <n v="3000315"/>
        <n v="3000324.4000000004"/>
        <n v="3000408.4000000004"/>
        <n v="141103.57000000012"/>
        <n v="189069.3700000002"/>
        <n v="371018.37"/>
        <n v="164944.16999999952"/>
        <n v="167939.37000000011"/>
        <n v="396989.96999999986"/>
        <n v="192805.56999999989"/>
        <n v="230946.17000000036"/>
        <n v="231790.7699999997"/>
        <n v="564102.76999999955"/>
        <n v="238584.36999999973"/>
        <n v="346862.17000000016"/>
        <n v="303090.5699999996"/>
        <n v="1145148.9700000002"/>
        <n v="145498.5700000005"/>
        <n v="156244.3700000002"/>
        <n v="172511.9699999998"/>
        <n v="365218.96999999916"/>
        <n v="304815.57"/>
        <n v="220254.16999999926"/>
        <n v="401541.97"/>
        <n v="222505.1699999983"/>
        <n v="249319.16999999902"/>
        <n v="322499.36999999988"/>
        <n v="355832.37000000029"/>
        <n v="331301.76999999944"/>
        <n v="640646.17000000016"/>
        <n v="163540.97000000035"/>
        <n v="155574.97000000114"/>
        <n v="239961.77000000078"/>
        <n v="201341.96999999983"/>
        <n v="164718.77000000034"/>
        <n v="387250.56999999913"/>
        <n v="308084.57000000041"/>
        <n v="245210.57000000018"/>
        <n v="512605.97000000061"/>
        <n v="386385.17000000027"/>
        <n v="469126.97000000026"/>
        <n v="1274411.9699999997"/>
        <n v="294698.17000000004"/>
        <n v="277175.17000000022"/>
        <n v="483904.76999999984"/>
        <n v="228566.37000000014"/>
        <n v="289771.37000000023"/>
        <n v="474041.17000000004"/>
        <n v="244786.96999999951"/>
        <n v="254721.77000000011"/>
        <n v="521932.76999999979"/>
        <n v="319607.96999999991"/>
        <n v="335348.17000000039"/>
        <n v="336312.76999999967"/>
        <n v="661525.16999999946"/>
        <n v="324566.76999999973"/>
        <n v="470164.97000000009"/>
        <n v="392394.16999999963"/>
        <n v="1263450.9700000002"/>
        <n v="241860.9700000005"/>
        <n v="245707.9700000002"/>
        <n v="262814.36999999976"/>
        <n v="457521.36999999918"/>
        <n v="399677.97"/>
        <n v="310696.56999999925"/>
        <n v="534944.7699999999"/>
        <n v="326688.76999999833"/>
        <n v="336501.56999999902"/>
        <n v="424902.16999999993"/>
        <n v="443774.77000000025"/>
        <n v="437164.56999999937"/>
        <n v="749808.57000000018"/>
        <n v="259283.37000000034"/>
        <n v="237797.37000000113"/>
        <n v="367124.57000000076"/>
        <n v="300504.36999999982"/>
        <n v="244760.77000000034"/>
        <n v="479413.36999999918"/>
        <n v="438987.37000000046"/>
        <n v="350613.37000000017"/>
        <n v="613328.37000000058"/>
        <n v="477187.97000000032"/>
        <n v="576269.37000000023"/>
        <n v="1383194.7699999998"/>
        <n v="396501.37000000011"/>
        <n v="363057.9700000002"/>
        <n v="565406.7699999999"/>
        <n v="316026.37000000011"/>
        <n v="390471.37000000017"/>
        <n v="577061.17000000004"/>
        <n v="324626.96999999951"/>
        <n v="341501.77000000014"/>
        <n v="646872.76999999979"/>
        <n v="446407.96999999991"/>
        <n v="439748.17000000039"/>
        <n v="440832.76999999967"/>
        <n v="758945.16999999946"/>
        <n v="410546.76999999973"/>
        <n v="593464.97000000009"/>
        <n v="481694.16999999963"/>
        <n v="1381750.9700000002"/>
        <n v="338220.9700000005"/>
        <n v="335167.97000000015"/>
        <n v="353114.36999999982"/>
        <n v="549821.36999999918"/>
        <n v="494537.97"/>
        <n v="401136.56999999925"/>
        <n v="668344.7699999999"/>
        <n v="430868.76999999833"/>
        <n v="423681.56999999902"/>
        <n v="527302.16999999993"/>
        <n v="531714.77000000025"/>
        <n v="543024.56999999937"/>
        <n v="858968.57000000018"/>
        <n v="355023.37000000034"/>
        <n v="320017.37000000116"/>
        <n v="494284.57000000076"/>
        <n v="399664.36999999988"/>
        <n v="324800.77000000037"/>
        <n v="571573.36999999918"/>
        <n v="569887.37000000046"/>
        <n v="456013.37000000017"/>
        <n v="714048.37000000058"/>
        <n v="567987.9700000002"/>
        <n v="683409.37000000023"/>
        <n v="1491974.7699999998"/>
        <n v="498301.37000000005"/>
        <n v="448937.9700000002"/>
        <n v="646906.7699999999"/>
        <n v="490941.97000000015"/>
        <n v="591868.17000000016"/>
        <n v="783097.16999999993"/>
        <n v="484302.96999999951"/>
        <n v="515058.1700000001"/>
        <n v="896749.16999999981"/>
        <n v="700004.36999999988"/>
        <n v="648544.97000000044"/>
        <n v="649869.56999999972"/>
        <n v="953780.76999999955"/>
        <n v="582503.56999999972"/>
        <n v="840060.97000000009"/>
        <n v="660289.76999999955"/>
        <n v="1618347.7700000003"/>
        <n v="530937.37000000046"/>
        <n v="514083.57000000018"/>
        <n v="533710.76999999979"/>
        <n v="734418.56999999913"/>
        <n v="684254.77"/>
        <n v="582013.3699999993"/>
        <n v="935140.7699999999"/>
        <n v="639224.36999999837"/>
        <n v="598038.36999999906"/>
        <n v="732098.56999999983"/>
        <n v="707591.5700000003"/>
        <n v="754740.96999999951"/>
        <n v="1077285.7700000003"/>
        <n v="546499.77000000037"/>
        <n v="484453.77000000112"/>
        <n v="748600.97000000067"/>
        <n v="597980.76999999979"/>
        <n v="484877.97000000032"/>
        <n v="755889.36999999918"/>
        <n v="831683.77000000048"/>
        <n v="666809.37000000011"/>
        <n v="915484.7700000006"/>
        <n v="749583.9700000002"/>
        <n v="897685.77000000025"/>
        <n v="1709530.7699999998"/>
        <n v="701896.57000000007"/>
        <n v="620694.37000000023"/>
        <n v="809903.56999999983"/>
        <n v="221105.57000000012"/>
        <n v="269070.9700000002"/>
        <n v="451019.97"/>
        <n v="244946.16999999952"/>
        <n v="247940.97000000012"/>
        <n v="476991.56999999983"/>
        <n v="272807.16999999993"/>
        <n v="310948.17000000039"/>
        <n v="311792.3699999997"/>
        <n v="644103.96999999951"/>
        <n v="318585.96999999974"/>
        <n v="426863.77000000014"/>
        <n v="383092.5699999996"/>
        <n v="1225150.5700000003"/>
        <n v="225500.17000000051"/>
        <n v="236246.77000000019"/>
        <n v="252513.9699999998"/>
        <n v="445220.56999999919"/>
        <n v="384817.57"/>
        <n v="300255.3699999993"/>
        <n v="481543.97"/>
        <n v="302507.56999999832"/>
        <n v="329321.16999999899"/>
        <n v="402501.36999999988"/>
        <n v="435833.97000000032"/>
        <n v="411303.76999999944"/>
        <n v="720648.17000000016"/>
        <n v="243542.97000000035"/>
        <n v="235576.57000000114"/>
        <n v="319963.37000000081"/>
        <n v="281343.56999999983"/>
        <n v="244720.37000000034"/>
        <n v="467252.96999999916"/>
        <n v="388086.57000000041"/>
        <n v="325212.57000000018"/>
        <n v="592608.37000000058"/>
        <n v="466386.77000000025"/>
        <n v="549128.9700000002"/>
        <n v="1354414.3699999996"/>
        <n v="374700.17000000004"/>
        <n v="357177.17000000027"/>
        <n v="563906.7699999999"/>
        <n v="388561.97000000015"/>
        <n v="449768.17000000022"/>
        <n v="634037.17000000004"/>
        <n v="404782.96999999951"/>
        <n v="414718.1700000001"/>
        <n v="681929.16999999981"/>
        <n v="479604.36999999994"/>
        <n v="495344.97000000032"/>
        <n v="496309.56999999972"/>
        <n v="821520.76999999955"/>
        <n v="484563.56999999972"/>
        <n v="630160.97000000009"/>
        <n v="552389.76999999955"/>
        <n v="1423447.7700000003"/>
        <n v="401857.37000000052"/>
        <n v="405703.57000000018"/>
        <n v="422810.76999999979"/>
        <n v="617518.56999999913"/>
        <n v="559674.77"/>
        <n v="470693.3699999993"/>
        <n v="694940.7699999999"/>
        <n v="486684.36999999831"/>
        <n v="496498.36999999906"/>
        <n v="584898.56999999983"/>
        <n v="603771.5700000003"/>
        <n v="597160.96999999939"/>
        <n v="909805.77000000025"/>
        <n v="419279.77000000031"/>
        <n v="397793.77000000112"/>
        <n v="527120.97000000079"/>
        <n v="460500.76999999979"/>
        <n v="404757.97000000032"/>
        <n v="639409.36999999918"/>
        <n v="598983.77000000048"/>
        <n v="510609.37000000017"/>
        <n v="773324.7700000006"/>
        <n v="637183.9700000002"/>
        <n v="736265.77000000025"/>
        <n v="1543190.7699999998"/>
        <n v="556496.57000000007"/>
        <n v="523054.37000000023"/>
        <n v="725403.56999999983"/>
        <n v="556025.57000000007"/>
        <n v="630470.9700000002"/>
        <n v="817059.97"/>
        <n v="564626.16999999946"/>
        <n v="581500.97000000009"/>
        <n v="886871.56999999983"/>
        <n v="686407.16999999981"/>
        <n v="679748.17000000039"/>
        <n v="680832.36999999965"/>
        <n v="998943.96999999951"/>
        <n v="650545.96999999974"/>
        <n v="833463.77000000014"/>
        <n v="721692.5699999996"/>
        <n v="1621750.5700000003"/>
        <n v="578220.17000000051"/>
        <n v="575166.77000000025"/>
        <n v="593113.96999999974"/>
        <n v="789820.56999999913"/>
        <n v="734537.57000000007"/>
        <n v="641135.36999999918"/>
        <n v="908343.97"/>
        <n v="670867.56999999832"/>
        <n v="663681.16999999899"/>
        <n v="767301.36999999988"/>
        <n v="771713.97000000032"/>
        <n v="783023.76999999932"/>
        <n v="1098968.1700000002"/>
        <n v="595022.97000000032"/>
        <n v="560016.57000000111"/>
        <n v="734283.37000000081"/>
        <n v="639663.56999999983"/>
        <n v="564800.37000000034"/>
        <n v="811572.96999999904"/>
        <n v="809886.57000000041"/>
        <n v="696012.57000000018"/>
        <n v="954048.37000000058"/>
        <n v="807986.77000000025"/>
        <n v="923408.9700000002"/>
        <n v="1731974.3699999996"/>
        <n v="738300.17"/>
        <n v="688937.17000000016"/>
        <n v="886906.76999999979"/>
        <n v="588565.17000000004"/>
        <n v="649770.5700000003"/>
        <n v="834040.37"/>
        <n v="604785.36999999953"/>
        <n v="614720.57000000007"/>
        <n v="881931.56999999983"/>
        <n v="679606.7699999999"/>
        <n v="695347.37000000034"/>
        <n v="696311.96999999962"/>
        <n v="1021523.9699999995"/>
        <n v="684565.56999999983"/>
        <n v="830163.37000000011"/>
        <n v="752392.5699999996"/>
        <n v="1623450.1700000004"/>
        <n v="601859.77000000048"/>
        <n v="605705.17000000027"/>
        <n v="622813.16999999969"/>
        <n v="817519.7699999992"/>
        <n v="759676.77"/>
        <n v="670694.96999999927"/>
        <n v="894943.16999999993"/>
        <n v="686687.1699999983"/>
        <n v="696500.36999999895"/>
        <n v="784900.97"/>
        <n v="803773.5700000003"/>
        <n v="797163.36999999941"/>
        <n v="1109807.3700000001"/>
        <n v="619281.77000000037"/>
        <n v="597796.17000000109"/>
        <n v="727122.57000000076"/>
        <n v="660502.7699999999"/>
        <n v="604759.17000000039"/>
        <n v="839411.76999999909"/>
        <n v="798985.77000000048"/>
        <n v="710611.37000000011"/>
        <n v="973327.97000000067"/>
        <n v="837185.9700000002"/>
        <n v="936268.17000000016"/>
        <n v="1743193.5699999998"/>
        <n v="756499.77"/>
        <n v="723056.77000000025"/>
        <n v="925405.96999999986"/>
        <n v="621101.97000000009"/>
        <n v="669067.37000000011"/>
        <n v="851016.37"/>
        <n v="644942.56999999948"/>
        <n v="647937.37000000011"/>
        <n v="876987.96999999974"/>
        <n v="672803.56999999983"/>
        <n v="710943.77000000037"/>
        <n v="711788.76999999967"/>
        <n v="1044100.7699999996"/>
        <n v="718582.36999999965"/>
        <n v="826860.17"/>
        <n v="783089.36999999965"/>
        <n v="1625146.5700000003"/>
        <n v="625496.57000000053"/>
        <n v="636243.17000000027"/>
        <n v="652509.96999999974"/>
        <n v="845217.7699999992"/>
        <n v="784813.97"/>
        <n v="700251.7699999992"/>
        <n v="881539.97"/>
        <n v="702504.36999999837"/>
        <n v="729317.16999999899"/>
        <n v="802497.76999999979"/>
        <n v="835830.37000000023"/>
        <n v="811300.16999999946"/>
        <n v="1120644.9700000002"/>
        <n v="643538.97000000032"/>
        <n v="635572.97000000114"/>
        <n v="719960.17000000086"/>
        <n v="681339.56999999983"/>
        <n v="644716.37000000034"/>
        <n v="867248.56999999913"/>
        <n v="788082.97000000044"/>
        <n v="725208.9700000002"/>
        <n v="992603.97000000067"/>
        <n v="866383.5700000003"/>
        <n v="949124.9700000002"/>
        <n v="1754410.7699999998"/>
        <n v="774696.57000000007"/>
        <n v="757173.9700000002"/>
        <n v="963902.7699999999"/>
        <n v="821104.77"/>
        <n v="869070.17000000016"/>
        <n v="1051018.77"/>
        <n v="844945.76999999944"/>
        <n v="847940.17000000016"/>
        <n v="1076991.17"/>
        <n v="872806.36999999988"/>
        <n v="910946.57000000041"/>
        <n v="911791.96999999962"/>
        <n v="1244103.5699999996"/>
        <n v="918585.16999999969"/>
        <n v="1026862.9700000001"/>
        <n v="983091.36999999965"/>
        <n v="1825149.7700000003"/>
        <n v="825499.37000000046"/>
        <n v="836245.57000000018"/>
        <n v="852512.76999999979"/>
        <n v="1045220.1699999992"/>
        <n v="984817.17"/>
        <n v="900254.96999999927"/>
        <n v="1081542.3699999999"/>
        <n v="902506.76999999827"/>
        <n v="929319.56999999902"/>
        <n v="1002500.5699999998"/>
        <n v="1035833.1700000003"/>
        <n v="1011302.9699999995"/>
        <n v="1320646.9700000002"/>
        <n v="843541.77000000037"/>
        <n v="835575.77000000118"/>
        <n v="919962.97000000067"/>
        <n v="881343.16999999981"/>
        <n v="844719.57000000041"/>
        <n v="1067251.7699999991"/>
        <n v="988085.37000000046"/>
        <n v="925211.77000000014"/>
        <n v="1192606.7700000005"/>
        <n v="1066385.9700000002"/>
        <n v="1149127.3700000003"/>
        <n v="1954412.7699999998"/>
        <n v="974698.97000000009"/>
        <n v="957176.37000000023"/>
        <n v="1163905.9699999997"/>
        <n v="421103.1700000001"/>
        <n v="469068.57000000018"/>
        <n v="651017.56999999995"/>
        <n v="444943.76999999949"/>
        <n v="447938.57000000012"/>
        <n v="676988.76999999979"/>
        <n v="472805.16999999993"/>
        <n v="510945.37000000034"/>
        <n v="511789.96999999974"/>
        <n v="844102.76999999955"/>
        <n v="518583.56999999972"/>
        <n v="626861.37000000011"/>
        <n v="583090.16999999969"/>
        <n v="1425148.1700000004"/>
        <n v="425497.77000000048"/>
        <n v="436244.37000000017"/>
        <n v="452511.56999999977"/>
        <n v="645218.56999999913"/>
        <n v="584815.17000000004"/>
        <n v="500253.3699999993"/>
        <n v="681541.16999999993"/>
        <n v="502504.76999999833"/>
        <n v="529318.36999999906"/>
        <n v="602498.97"/>
        <n v="635831.5700000003"/>
        <n v="611300.56999999937"/>
        <n v="920645.37000000011"/>
        <n v="443539.77000000031"/>
        <n v="435574.17000000115"/>
        <n v="519961.77000000078"/>
        <n v="481340.76999999979"/>
        <n v="444717.97000000032"/>
        <n v="667250.16999999923"/>
        <n v="588083.77000000048"/>
        <n v="525209.77000000014"/>
        <n v="792605.57000000065"/>
        <n v="666384.77000000025"/>
        <n v="749125.37000000023"/>
        <n v="1554411.5699999998"/>
        <n v="574697.37000000011"/>
        <n v="557174.77000000025"/>
        <n v="763903.96999999986"/>
        <n v="788565.57000000007"/>
        <n v="849770.5700000003"/>
        <n v="1034039.1699999999"/>
        <n v="804785.36999999953"/>
        <n v="814720.17000000016"/>
        <n v="1081930.7699999998"/>
        <n v="879606.36999999988"/>
        <n v="895346.57000000041"/>
        <n v="896311.56999999972"/>
        <n v="1221523.5699999996"/>
        <n v="884565.16999999969"/>
        <n v="1030162.9700000001"/>
        <n v="952391.76999999967"/>
        <n v="1823450.1700000004"/>
        <n v="801859.37000000046"/>
        <n v="805705.17000000027"/>
        <n v="822813.16999999969"/>
        <n v="1017520.1699999992"/>
        <n v="959676.77"/>
        <n v="870694.56999999925"/>
        <n v="1094942.77"/>
        <n v="886686.36999999837"/>
        <n v="896500.36999999895"/>
        <n v="984900.56999999983"/>
        <n v="1003773.1700000003"/>
        <n v="997162.96999999951"/>
        <n v="1309807.3700000001"/>
        <n v="819281.77000000037"/>
        <n v="797795.77000000118"/>
        <n v="927122.97000000067"/>
        <n v="860502.36999999988"/>
        <n v="804759.17000000039"/>
        <n v="1039411.3699999992"/>
        <n v="998985.77000000048"/>
        <n v="910611.37000000011"/>
        <n v="1173326.7700000005"/>
        <n v="1037186.3700000003"/>
        <n v="1136267.7700000003"/>
        <n v="1943193.5699999998"/>
        <n v="956498.97000000009"/>
        <n v="923056.37000000023"/>
        <n v="1125405.9699999997"/>
        <n v="152395.01000000772"/>
        <n v="132430.60999999632"/>
        <n v="180441.609999985"/>
        <n v="151422.80999999781"/>
        <n v="117816.20999998803"/>
        <n v="161135.41000001002"/>
        <n v="119162.21000000191"/>
        <n v="196559.41000000777"/>
        <n v="198845.4100000188"/>
        <n v="555258.00999999652"/>
        <n v="187280.60999999472"/>
        <n v="305691.61000000214"/>
        <n v="216705.00999999364"/>
        <n v="535135.41000002529"/>
        <n v="110076.4099999935"/>
        <n v="117666.60999998789"/>
        <n v="124756.60999999988"/>
        <n v="154377.00999999588"/>
        <n v="167759.61000000022"/>
        <n v="155564.41000000286"/>
        <n v="251312.41000000091"/>
        <n v="137373.01000000333"/>
        <n v="162666.80999999231"/>
        <n v="252495.2099999949"/>
        <n v="147558.21000001149"/>
        <n v="228803.40999999037"/>
        <n v="568332.41000000318"/>
        <n v="125636.61000000204"/>
        <n v="125363.60999999565"/>
        <n v="141210.21000002327"/>
        <n v="157451.81000000483"/>
        <n v="144635.41000001263"/>
        <n v="252276.01000000915"/>
        <n v="226675.80999999846"/>
        <n v="200165.40999997818"/>
        <n v="345323.20999999868"/>
        <n v="233954.4100000133"/>
        <n v="267375.20999999426"/>
        <n v="709778.2099999917"/>
        <n v="236296.20999998105"/>
        <n v="176053.4100000055"/>
        <n v="359369.41000000283"/>
        <n v="244835.01000000772"/>
        <n v="210390.60999999629"/>
        <n v="262441.60999998503"/>
        <n v="231302.80999999779"/>
        <n v="195376.209999988"/>
        <n v="242335.01000000999"/>
        <n v="198842.21000000188"/>
        <n v="305679.41000000777"/>
        <n v="293005.41000001883"/>
        <n v="661338.00999999652"/>
        <n v="296520.60999999469"/>
        <n v="419291.61000000214"/>
        <n v="313545.00999999361"/>
        <n v="641295.41000002529"/>
        <n v="188916.40999999348"/>
        <n v="198866.60999998788"/>
        <n v="205396.6099999999"/>
        <n v="232577.00999999588"/>
        <n v="248039.61000000022"/>
        <n v="236604.41000000286"/>
        <n v="361592.41000000091"/>
        <n v="214212.61000000333"/>
        <n v="255186.80999999234"/>
        <n v="346335.2099999949"/>
        <n v="225758.21000001149"/>
        <n v="324323.40999999037"/>
        <n v="682252.41000000318"/>
        <n v="204876.61000000205"/>
        <n v="205963.60999999565"/>
        <n v="218450.21000002327"/>
        <n v="239251.81000000483"/>
        <n v="224795.41000001266"/>
        <n v="334236.01000000915"/>
        <n v="328275.80999999843"/>
        <n v="278645.40999997815"/>
        <n v="429523.20999999868"/>
        <n v="319514.4100000133"/>
        <n v="349295.20999999426"/>
        <n v="796378.2099999917"/>
        <n v="333336.2099999811"/>
        <n v="259093.4100000055"/>
        <n v="438569.41000000283"/>
        <n v="337275.01000000769"/>
        <n v="288350.60999999626"/>
        <n v="344441.60999998503"/>
        <n v="311182.80999999779"/>
        <n v="272936.20999998803"/>
        <n v="323535.01000001002"/>
        <n v="278522.21000000188"/>
        <n v="414799.41000000777"/>
        <n v="387165.41000001883"/>
        <n v="767418.00999999652"/>
        <n v="405760.60999999475"/>
        <n v="532891.6100000022"/>
        <n v="410385.00999999361"/>
        <n v="747455.41000002529"/>
        <n v="267756.40999999351"/>
        <n v="280066.60999998788"/>
        <n v="286036.60999999987"/>
        <n v="310777.00999999588"/>
        <n v="328319.61000000022"/>
        <n v="317644.41000000283"/>
        <n v="471872.41000000091"/>
        <n v="291052.6100000033"/>
        <n v="347706.80999999231"/>
        <n v="440175.2099999949"/>
        <n v="303958.21000001149"/>
        <n v="419843.40999999037"/>
        <n v="796172.41000000318"/>
        <n v="284116.61000000208"/>
        <n v="286563.60999999568"/>
        <n v="295690.21000002325"/>
        <n v="321051.81000000483"/>
        <n v="304955.41000001266"/>
        <n v="416196.01000000915"/>
        <n v="429875.80999999848"/>
        <n v="357125.40999997815"/>
        <n v="513723.20999999868"/>
        <n v="405074.41000001325"/>
        <n v="431215.20999999426"/>
        <n v="882978.20999999181"/>
        <n v="430376.2099999811"/>
        <n v="342133.4100000055"/>
        <n v="517769.41000000283"/>
        <n v="522155.01000000769"/>
        <n v="444270.60999999632"/>
        <n v="508441.60999998503"/>
        <n v="470942.80999999779"/>
        <n v="428056.20999998803"/>
        <n v="485935.01000001002"/>
        <n v="437882.21000000188"/>
        <n v="633039.41000000772"/>
        <n v="575485.41000001878"/>
        <n v="979578.00999999652"/>
        <n v="624240.60999999463"/>
        <n v="760091.6100000022"/>
        <n v="604065.00999999361"/>
        <n v="959775.41000002529"/>
        <n v="425436.40999999351"/>
        <n v="442466.60999998788"/>
        <n v="447316.60999999987"/>
        <n v="467177.00999999588"/>
        <n v="488879.61000000022"/>
        <n v="479724.41000000283"/>
        <n v="692432.41000000085"/>
        <n v="444732.6100000033"/>
        <n v="532746.80999999237"/>
        <n v="627855.20999999484"/>
        <n v="460358.21000001149"/>
        <n v="610883.40999999037"/>
        <n v="1024012.4100000032"/>
        <n v="442596.61000000208"/>
        <n v="447763.60999999568"/>
        <n v="450170.21000002325"/>
        <n v="484651.81000000483"/>
        <n v="465275.41000001266"/>
        <n v="580116.01000000909"/>
        <n v="633075.80999999843"/>
        <n v="514085.40999997815"/>
        <n v="682123.20999999868"/>
        <n v="576194.4100000133"/>
        <n v="595055.20999999426"/>
        <n v="1056178.2099999918"/>
        <n v="624456.2099999811"/>
        <n v="508213.4100000055"/>
        <n v="676169.41000000283"/>
        <n v="804835.01000000781"/>
        <n v="770390.60999999626"/>
        <n v="822441.60999998497"/>
        <n v="791302.80999999784"/>
        <n v="755376.20999998797"/>
        <n v="802335.41000001004"/>
        <n v="758842.21000000194"/>
        <n v="865679.41000000772"/>
        <n v="853005.41000001878"/>
        <n v="1221338.0099999965"/>
        <n v="856520.60999999463"/>
        <n v="979291.6100000022"/>
        <n v="873545.00999999372"/>
        <n v="1201295.4100000253"/>
        <n v="748916.40999999351"/>
        <n v="758866.60999998788"/>
        <n v="765396.60999999987"/>
        <n v="792577.00999999593"/>
        <n v="808039.61000000022"/>
        <n v="796604.41000000283"/>
        <n v="921592.41000000085"/>
        <n v="774212.61000000336"/>
        <n v="815186.80999999237"/>
        <n v="906335.20999999484"/>
        <n v="785758.2100000116"/>
        <n v="884323.40999999037"/>
        <n v="1242252.4100000032"/>
        <n v="764876.61000000208"/>
        <n v="765963.60999999568"/>
        <n v="778450.21000002336"/>
        <n v="799251.81000000483"/>
        <n v="784795.41000001261"/>
        <n v="894236.01000000909"/>
        <n v="888275.80999999843"/>
        <n v="838645.40999997815"/>
        <n v="989523.20999999868"/>
        <n v="879514.4100000133"/>
        <n v="909295.20999999426"/>
        <n v="1356378.2099999916"/>
        <n v="893336.2099999811"/>
        <n v="819093.4100000055"/>
        <n v="998569.41000000294"/>
        <n v="432394.61000000767"/>
        <n v="412430.2099999963"/>
        <n v="460441.209999985"/>
        <n v="431422.40999999782"/>
        <n v="397815.80999998801"/>
        <n v="441134.61000001006"/>
        <n v="399161.81000000192"/>
        <n v="476559.01000000781"/>
        <n v="478845.01000001881"/>
        <n v="835257.60999999649"/>
        <n v="467280.20999999472"/>
        <n v="585691.21000000206"/>
        <n v="496704.60999999364"/>
        <n v="815135.01000002527"/>
        <n v="390076.00999999355"/>
        <n v="397666.20999998791"/>
        <n v="404756.20999999985"/>
        <n v="434376.60999999585"/>
        <n v="447759.2100000002"/>
        <n v="435564.01000000286"/>
        <n v="531312.01000000094"/>
        <n v="417372.21000000334"/>
        <n v="442666.40999999229"/>
        <n v="532494.80999999493"/>
        <n v="427558.21000001149"/>
        <n v="508803.00999999041"/>
        <n v="848332.01000000327"/>
        <n v="405636.21000000206"/>
        <n v="405363.20999999566"/>
        <n v="421209.81000002322"/>
        <n v="437451.41000000481"/>
        <n v="424635.01000001264"/>
        <n v="532275.61000000918"/>
        <n v="506675.40999999846"/>
        <n v="480165.00999997818"/>
        <n v="625322.80999999866"/>
        <n v="513954.01000001328"/>
        <n v="547374.80999999424"/>
        <n v="989777.80999999167"/>
        <n v="516295.80999998108"/>
        <n v="456053.01000000554"/>
        <n v="639369.0100000028"/>
        <n v="232394.61000000773"/>
        <n v="212430.2099999963"/>
        <n v="260441.209999985"/>
        <n v="231422.40999999779"/>
        <n v="197815.80999998801"/>
        <n v="241134.61000001"/>
        <n v="199161.81000000189"/>
        <n v="276559.01000000775"/>
        <n v="278845.01000001881"/>
        <n v="635257.60999999649"/>
        <n v="267280.20999999472"/>
        <n v="385691.21000000212"/>
        <n v="296704.60999999364"/>
        <n v="615135.01000002527"/>
        <n v="190076.00999999349"/>
        <n v="197666.20999998788"/>
        <n v="204756.20999999988"/>
        <n v="234376.60999999585"/>
        <n v="247759.2100000002"/>
        <n v="235564.01000000286"/>
        <n v="331312.01000000094"/>
        <n v="217372.61000000333"/>
        <n v="242666.40999999232"/>
        <n v="332494.80999999488"/>
        <n v="227558.21000001149"/>
        <n v="308803.00999999035"/>
        <n v="648332.01000000327"/>
        <n v="205636.21000000203"/>
        <n v="205363.20999999563"/>
        <n v="221209.81000002328"/>
        <n v="237451.41000000483"/>
        <n v="224635.01000001264"/>
        <n v="332275.61000000918"/>
        <n v="306675.40999999846"/>
        <n v="280165.00999997818"/>
        <n v="425322.80999999866"/>
        <n v="313954.01000001328"/>
        <n v="347374.80999999424"/>
        <n v="789777.80999999167"/>
        <n v="316295.80999998108"/>
        <n v="256053.01000000554"/>
        <n v="439369.01000000286"/>
        <n v="632395.01000000781"/>
        <n v="612430.60999999626"/>
        <n v="660441.60999998497"/>
        <n v="631422.80999999784"/>
        <n v="597816.20999998797"/>
        <n v="641135.41000001004"/>
        <n v="599162.21000000194"/>
        <n v="676559.41000000772"/>
        <n v="678845.41000001878"/>
        <n v="1035258.0099999965"/>
        <n v="667280.60999999463"/>
        <n v="785691.6100000022"/>
        <n v="696705.00999999372"/>
        <n v="1015135.4100000253"/>
        <n v="590076.40999999351"/>
        <n v="597666.60999998788"/>
        <n v="604756.60999999987"/>
        <n v="634377.00999999593"/>
        <n v="647759.61000000022"/>
        <n v="635564.41000000283"/>
        <n v="731312.41000000085"/>
        <n v="617372.61000000336"/>
        <n v="642666.80999999237"/>
        <n v="732495.20999999484"/>
        <n v="627558.2100000116"/>
        <n v="708803.40999999037"/>
        <n v="1048332.4100000032"/>
        <n v="605636.61000000208"/>
        <n v="605363.60999999568"/>
        <n v="621210.21000002336"/>
        <n v="637451.81000000483"/>
        <n v="624635.41000001261"/>
        <n v="732276.01000000909"/>
        <n v="706675.80999999843"/>
        <n v="680165.40999997815"/>
        <n v="825323.20999999868"/>
        <n v="713954.4100000133"/>
        <n v="747375.20999999426"/>
        <n v="1189778.2099999916"/>
        <n v="716296.2099999811"/>
        <n v="656053.4100000055"/>
        <n v="839369.41000000294"/>
        <n v="832395.01000000781"/>
        <n v="812430.60999999626"/>
        <n v="860441.60999998497"/>
        <n v="831422.80999999784"/>
        <n v="797816.20999998797"/>
        <n v="841135.41000001004"/>
        <n v="799162.21000000194"/>
        <n v="876559.41000000772"/>
        <n v="878845.41000001878"/>
        <n v="1235258.0099999965"/>
        <n v="867280.60999999463"/>
        <n v="985691.6100000022"/>
        <n v="896705.00999999372"/>
        <n v="1215135.4100000253"/>
        <n v="790076.40999999351"/>
        <n v="797666.60999998788"/>
        <n v="804756.60999999987"/>
        <n v="834377.00999999593"/>
        <n v="847759.61000000022"/>
        <n v="835564.41000000283"/>
        <n v="931312.41000000085"/>
        <n v="817372.61000000336"/>
        <n v="842666.80999999237"/>
        <n v="932495.20999999484"/>
        <n v="827558.2100000116"/>
        <n v="908803.40999999037"/>
        <n v="1248332.4100000032"/>
        <n v="805636.61000000208"/>
        <n v="805363.60999999568"/>
        <n v="821210.21000002336"/>
        <n v="837451.81000000483"/>
        <n v="824635.41000001261"/>
        <n v="932276.01000000909"/>
        <n v="906675.80999999843"/>
        <n v="880165.40999997815"/>
        <n v="1025323.2099999987"/>
        <n v="913954.4100000133"/>
        <n v="947375.20999999426"/>
        <n v="1389778.2099999916"/>
        <n v="916296.2099999811"/>
        <n v="856053.4100000055"/>
        <n v="1039369.4100000029"/>
        <n v="604835.01000000781"/>
        <n v="570390.60999999626"/>
        <n v="622441.60999998497"/>
        <n v="591302.80999999784"/>
        <n v="555376.20999998797"/>
        <n v="602335.01000001002"/>
        <n v="558842.21000000194"/>
        <n v="665679.41000000772"/>
        <n v="653005.41000001878"/>
        <n v="1021338.0099999965"/>
        <n v="656520.60999999463"/>
        <n v="779291.6100000022"/>
        <n v="673545.00999999372"/>
        <n v="1001295.4100000253"/>
        <n v="548916.40999999351"/>
        <n v="558866.60999998788"/>
        <n v="565396.60999999987"/>
        <n v="592577.00999999593"/>
        <n v="608039.61000000022"/>
        <n v="596604.41000000283"/>
        <n v="721592.41000000085"/>
        <n v="574213.01000000339"/>
        <n v="615186.80999999237"/>
        <n v="706335.20999999484"/>
        <n v="585758.2100000116"/>
        <n v="684323.40999999037"/>
        <n v="1042252.4100000032"/>
        <n v="564876.61000000208"/>
        <n v="565963.60999999568"/>
        <n v="578450.21000002336"/>
        <n v="599251.81000000483"/>
        <n v="584795.41000001261"/>
        <n v="694236.01000000909"/>
        <n v="688275.80999999843"/>
        <n v="638645.40999997815"/>
        <n v="789523.20999999868"/>
        <n v="679514.4100000133"/>
        <n v="709295.20999999426"/>
        <n v="1156378.2099999916"/>
        <n v="693336.2099999811"/>
        <n v="619093.4100000055"/>
        <n v="798569.41000000294"/>
        <n v="577274.61000000779"/>
        <n v="528350.20999999624"/>
        <n v="584441.20999998495"/>
        <n v="551182.40999999782"/>
        <n v="512935.80999998801"/>
        <n v="563534.61000001"/>
        <n v="518521.81000000192"/>
        <n v="654799.01000000769"/>
        <n v="627165.01000001875"/>
        <n v="1007417.6099999964"/>
        <n v="645760.20999999472"/>
        <n v="772891.21000000206"/>
        <n v="650384.60999999358"/>
        <n v="987455.01000002539"/>
        <n v="507756.00999999355"/>
        <n v="520066.20999998791"/>
        <n v="526036.20999999985"/>
        <n v="550776.60999999591"/>
        <n v="568319.2100000002"/>
        <n v="557644.01000000292"/>
        <n v="711872.01000000094"/>
        <n v="531052.61000000325"/>
        <n v="587706.40999999235"/>
        <n v="680174.80999999493"/>
        <n v="543958.21000001149"/>
        <n v="659843.00999999035"/>
        <n v="1036172.0100000033"/>
        <n v="524116.21000000206"/>
        <n v="526563.20999999566"/>
        <n v="535689.81000002322"/>
        <n v="561051.41000000481"/>
        <n v="544955.01000001258"/>
        <n v="656195.61000000918"/>
        <n v="669875.40999999852"/>
        <n v="597125.00999997824"/>
        <n v="753722.80999999866"/>
        <n v="645074.01000001328"/>
        <n v="671214.80999999424"/>
        <n v="1122977.8099999917"/>
        <n v="670375.80999998108"/>
        <n v="582133.01000000548"/>
        <n v="757769.0100000028"/>
        <n v="877274.61000000779"/>
        <n v="828350.20999999635"/>
        <n v="884441.20999998495"/>
        <n v="851182.40999999782"/>
        <n v="812935.80999998807"/>
        <n v="863534.61000001"/>
        <n v="818521.81000000192"/>
        <n v="954799.01000000769"/>
        <n v="927165.01000001875"/>
        <n v="1307417.6099999964"/>
        <n v="945760.20999999472"/>
        <n v="1072891.2100000021"/>
        <n v="950384.60999999358"/>
        <n v="1287455.0100000254"/>
        <n v="807756.00999999349"/>
        <n v="820066.20999998786"/>
        <n v="826036.20999999985"/>
        <n v="850776.60999999591"/>
        <n v="868319.21000000031"/>
        <n v="857644.0100000028"/>
        <n v="1011872.0100000009"/>
        <n v="831052.21000000334"/>
        <n v="887706.40999999235"/>
        <n v="980174.80999999493"/>
        <n v="843958.2100000116"/>
        <n v="959843.00999999035"/>
        <n v="1336172.0100000033"/>
        <n v="824116.21000000206"/>
        <n v="826563.20999999566"/>
        <n v="835689.81000002334"/>
        <n v="861051.41000000492"/>
        <n v="844955.01000001258"/>
        <n v="956195.61000000918"/>
        <n v="969875.40999999852"/>
        <n v="897125.00999997812"/>
        <n v="1053722.8099999987"/>
        <n v="945074.01000001328"/>
        <n v="971214.80999999424"/>
        <n v="1422977.8099999917"/>
        <n v="970375.80999998108"/>
        <n v="882133.01000000548"/>
        <n v="1057769.0100000028"/>
        <n v="404835.01000000769"/>
        <n v="370390.60999999632"/>
        <n v="422441.60999998503"/>
        <n v="391302.80999999779"/>
        <n v="355376.20999998803"/>
        <n v="402335.01000001002"/>
        <n v="358842.21000000188"/>
        <n v="465679.41000000777"/>
        <n v="453005.41000001883"/>
        <n v="821338.00999999652"/>
        <n v="456520.60999999475"/>
        <n v="579291.6100000022"/>
        <n v="473545.00999999361"/>
        <n v="801295.41000002529"/>
        <n v="348916.40999999351"/>
        <n v="358866.60999998788"/>
        <n v="365396.60999999987"/>
        <n v="392577.00999999588"/>
        <n v="408039.61000000022"/>
        <n v="396604.41000000283"/>
        <n v="521592.41000000091"/>
        <n v="374213.01000000333"/>
        <n v="415186.80999999231"/>
        <n v="506335.2099999949"/>
        <n v="385758.21000001149"/>
        <n v="484323.40999999037"/>
        <n v="842252.41000000318"/>
        <n v="364876.61000000208"/>
        <n v="365963.60999999568"/>
        <n v="378450.21000002325"/>
        <n v="399251.81000000483"/>
        <n v="384795.41000001266"/>
        <n v="494236.01000000915"/>
        <n v="488275.80999999848"/>
        <n v="438645.40999997815"/>
        <n v="589523.20999999868"/>
        <n v="479514.41000001325"/>
        <n v="509295.20999999426"/>
        <n v="956378.20999999181"/>
        <n v="493336.2099999811"/>
        <n v="419093.4100000055"/>
        <n v="598569.41000000283"/>
        <n v="3000541.1999999997"/>
        <n v="3000547.3999999994"/>
        <n v="3000598.6"/>
        <n v="3000351.1999999997"/>
        <n v="3000356"/>
        <n v="3000485.4"/>
        <n v="3000307.6"/>
        <n v="3000378.8000000003"/>
        <n v="3000225.4"/>
        <n v="3000317.4000000004"/>
        <n v="3000257.6"/>
        <n v="3000242.5999999996"/>
        <n v="3000354.2"/>
        <n v="3000129.8000000003"/>
        <n v="3000157"/>
        <n v="3000156.5999999996"/>
        <n v="3000211"/>
        <n v="3000189.4"/>
        <n v="3000193.8000000003"/>
        <n v="3000249.8"/>
        <n v="3000183.1999999993"/>
        <n v="3000190.8"/>
        <n v="3000252.1999999997"/>
        <n v="3000219.4000000004"/>
        <n v="3000218.8000000003"/>
        <n v="3000306.4000000004"/>
        <n v="3000140.6000000006"/>
        <n v="3000137.6"/>
        <n v="3000183.4"/>
        <n v="3000215.5999999992"/>
        <n v="3000212.4"/>
        <n v="3000288.4000000004"/>
        <n v="3000230.6000000006"/>
        <n v="3000233.8000000003"/>
        <n v="3000359.8"/>
        <n v="3000274.0000000005"/>
        <n v="3000271.2"/>
        <n v="3000390.9999999995"/>
        <n v="3000210.2"/>
        <n v="3000210"/>
        <n v="3000292.6"/>
        <n v="900268.77"/>
        <n v="1223404.3700000013"/>
        <n v="2152658.5699999994"/>
        <n v="944934.56999999727"/>
        <n v="2049907.97"/>
        <n v="2175675.9699999997"/>
        <n v="1018545.5700000012"/>
        <n v="1604546.1700000004"/>
        <n v="1363967.1699999946"/>
        <n v="1932870.9700000002"/>
        <n v="1046547.5700000038"/>
        <n v="1724508.3700000003"/>
        <n v="3209857.3700000006"/>
        <n v="2570691.5700000008"/>
        <n v="645340.37000000023"/>
        <n v="944254.56999999972"/>
        <n v="957651.37000000337"/>
        <n v="2034014.7699999996"/>
        <n v="1192350.7699999968"/>
        <n v="1284740.3699999962"/>
        <n v="1808271.5700000101"/>
        <n v="1440288.5700000003"/>
        <n v="1153954.5700000031"/>
        <n v="1540645.1699999995"/>
        <n v="1440599.37"/>
        <n v="2851160.3699999996"/>
        <n v="3555661.17"/>
        <n v="1085906.57"/>
        <n v="876012.17000000412"/>
        <n v="1271697.5700000024"/>
        <n v="1329046.9700000016"/>
        <n v="948216.57000000495"/>
        <n v="2620083.5699999901"/>
        <n v="2664994.3699999996"/>
        <n v="2325738.1699999995"/>
        <n v="2570809.9700000091"/>
        <n v="2003691.1700000002"/>
        <n v="1762539.7699999905"/>
        <n v="2362191.3700000094"/>
        <n v="1223846.7700000019"/>
        <n v="1912866.5700000005"/>
        <n v="2369448.1699999897"/>
        <n v="1182108.77"/>
        <n v="1514283.9700000014"/>
        <n v="2386098.5699999994"/>
        <n v="1140614.1699999971"/>
        <n v="2272706.77"/>
        <n v="2441354.7699999996"/>
        <n v="1308465.9700000011"/>
        <n v="1802584.5700000005"/>
        <n v="1672405.9699999946"/>
        <n v="2168469.37"/>
        <n v="1275906.7700000037"/>
        <n v="1965266.7700000005"/>
        <n v="3515817.7700000005"/>
        <n v="2816569.5700000008"/>
        <n v="845339.5700000003"/>
        <n v="1145133.3699999996"/>
        <n v="1168369.7700000033"/>
        <n v="2325813.9699999997"/>
        <n v="1370909.5699999968"/>
        <n v="1573260.7699999963"/>
        <n v="2127030.7700000098"/>
        <n v="1634687.3700000003"/>
        <n v="1372512.9700000032"/>
        <n v="1762323.5699999994"/>
        <n v="1677198.57"/>
        <n v="3070518.7699999996"/>
        <n v="3752139.17"/>
        <n v="1276865.77"/>
        <n v="1086370.9700000039"/>
        <n v="1574417.5700000026"/>
        <n v="1625046.9700000016"/>
        <n v="1180336.170000005"/>
        <n v="2926442.3699999899"/>
        <n v="2966834.3699999996"/>
        <n v="2550176.5699999994"/>
        <n v="2818408.3700000094"/>
        <n v="2190130.37"/>
        <n v="2000016.9699999904"/>
        <n v="2616550.9700000095"/>
        <n v="1404126.370000002"/>
        <n v="2139586.1700000004"/>
        <n v="2608527.3699999894"/>
        <n v="1098426.77"/>
        <n v="1412522.7700000014"/>
        <n v="2399216.5699999994"/>
        <n v="1229253.3699999973"/>
        <n v="2307105.9699999997"/>
        <n v="2389993.5699999994"/>
        <n v="1208624.3700000013"/>
        <n v="1886502.9700000004"/>
        <n v="1535523.5699999945"/>
        <n v="2177269.37"/>
        <n v="1297185.9700000039"/>
        <n v="1963746.7700000005"/>
        <n v="3383895.7700000005"/>
        <n v="2804808.7700000005"/>
        <n v="925337.5700000003"/>
        <n v="1223371.7699999996"/>
        <n v="1226928.5700000033"/>
        <n v="2222211.5699999994"/>
        <n v="1493789.1699999967"/>
        <n v="1476218.3699999962"/>
        <n v="1969509.5700000101"/>
        <n v="1725884.5700000003"/>
        <n v="1415391.7700000033"/>
        <n v="1798963.9699999993"/>
        <n v="1683996.57"/>
        <n v="3111797.5699999994"/>
        <n v="3839177.17"/>
        <n v="1374944.1700000002"/>
        <n v="1145649.7700000042"/>
        <n v="1448975.9700000025"/>
        <n v="1513046.1700000018"/>
        <n v="1196095.370000005"/>
        <n v="2793721.1699999901"/>
        <n v="2843152.3699999996"/>
        <n v="2581296.5699999994"/>
        <n v="2803206.7700000093"/>
        <n v="2297248.77"/>
        <n v="2005056.1699999904"/>
        <n v="2587830.5700000096"/>
        <n v="1523564.370000002"/>
        <n v="2166146.1700000004"/>
        <n v="2610367.7699999893"/>
        <n v="1119346.77"/>
        <n v="1437962.7700000014"/>
        <n v="2395936.5699999994"/>
        <n v="1207093.3699999973"/>
        <n v="2298505.9699999997"/>
        <n v="2402833.5699999994"/>
        <n v="1233584.3700000013"/>
        <n v="1865522.9700000004"/>
        <n v="1569743.5699999945"/>
        <n v="2175069.37"/>
        <n v="1291865.9700000039"/>
        <n v="1964126.7700000005"/>
        <n v="3416875.7700000005"/>
        <n v="2807748.7700000005"/>
        <n v="905337.5700000003"/>
        <n v="1203811.7699999996"/>
        <n v="1212288.5700000033"/>
        <n v="2248111.5699999994"/>
        <n v="1463069.1699999967"/>
        <n v="1500478.3699999962"/>
        <n v="2008889.5700000101"/>
        <n v="1703084.5700000003"/>
        <n v="1404671.7700000033"/>
        <n v="1789803.9699999993"/>
        <n v="1682296.57"/>
        <n v="3101477.5699999994"/>
        <n v="3817417.17"/>
        <n v="1350424.1700000002"/>
        <n v="1130829.7700000042"/>
        <n v="1480335.9700000025"/>
        <n v="1541046.1700000018"/>
        <n v="1192155.370000005"/>
        <n v="2826901.1699999901"/>
        <n v="2874072.3699999996"/>
        <n v="2573516.5699999994"/>
        <n v="2807006.7700000093"/>
        <n v="2270468.77"/>
        <n v="2003796.1699999904"/>
        <n v="2595010.5700000096"/>
        <n v="1493704.370000002"/>
        <n v="2159506.1700000004"/>
        <n v="2609907.7699999893"/>
        <n v="1140266.77"/>
        <n v="1463402.7700000014"/>
        <n v="2392656.5699999994"/>
        <n v="1184933.3699999973"/>
        <n v="2289905.9699999997"/>
        <n v="2415673.5699999994"/>
        <n v="1258544.3700000013"/>
        <n v="1844542.9700000004"/>
        <n v="1603963.5699999945"/>
        <n v="2172869.37"/>
        <n v="1286545.9700000039"/>
        <n v="1964506.7700000005"/>
        <n v="3449855.7700000005"/>
        <n v="2810688.7700000005"/>
        <n v="885337.5700000003"/>
        <n v="1184251.7699999996"/>
        <n v="1197648.5700000033"/>
        <n v="2274011.5699999994"/>
        <n v="1432349.1699999967"/>
        <n v="1524738.3699999962"/>
        <n v="2048269.5700000101"/>
        <n v="1680284.5700000003"/>
        <n v="1393951.7700000033"/>
        <n v="1780643.9699999993"/>
        <n v="1680596.57"/>
        <n v="3091157.5699999994"/>
        <n v="3795657.17"/>
        <n v="1325904.1700000002"/>
        <n v="1116009.7700000042"/>
        <n v="1511695.9700000025"/>
        <n v="1569046.1700000018"/>
        <n v="1188215.370000005"/>
        <n v="2860081.1699999901"/>
        <n v="2904992.3699999996"/>
        <n v="2565736.5699999994"/>
        <n v="2810806.7700000093"/>
        <n v="2243688.77"/>
        <n v="2002536.1699999904"/>
        <n v="2602190.5700000096"/>
        <n v="1463844.370000002"/>
        <n v="2152866.1700000004"/>
        <n v="2609447.7699999893"/>
        <n v="1298423.1700000002"/>
        <n v="1612519.1700000013"/>
        <n v="2599213.7699999996"/>
        <n v="1429250.1699999971"/>
        <n v="2507102.77"/>
        <n v="2589990.7699999996"/>
        <n v="1408620.3700000013"/>
        <n v="2086500.5700000003"/>
        <n v="1735520.7699999944"/>
        <n v="2377266.5700000003"/>
        <n v="1497181.9700000039"/>
        <n v="2163743.1700000004"/>
        <n v="3583892.5700000008"/>
        <n v="3004805.9700000007"/>
        <n v="1125334.7700000003"/>
        <n v="1423368.9699999997"/>
        <n v="1426925.3700000034"/>
        <n v="2422209.1699999995"/>
        <n v="1693785.5699999968"/>
        <n v="1676215.5699999961"/>
        <n v="2169504.7700000098"/>
        <n v="1925882.1700000004"/>
        <n v="1615389.3700000034"/>
        <n v="1998961.5699999994"/>
        <n v="1883992.57"/>
        <n v="3311796.3699999996"/>
        <n v="4039177.57"/>
        <n v="1574942.9700000002"/>
        <n v="1345647.3700000041"/>
        <n v="1648973.1700000025"/>
        <n v="1713044.5700000017"/>
        <n v="1396094.9700000049"/>
        <n v="2993719.96999999"/>
        <n v="3043151.57"/>
        <n v="2781294.9699999997"/>
        <n v="3003205.5700000091"/>
        <n v="2497248.37"/>
        <n v="2205056.1699999906"/>
        <n v="2787828.1700000092"/>
        <n v="1723563.9700000018"/>
        <n v="2366145.3700000006"/>
        <n v="2810366.5699999896"/>
        <n v="1319345.57"/>
        <n v="1637961.9700000014"/>
        <n v="2595936.5699999994"/>
        <n v="1407091.7699999972"/>
        <n v="2498505.17"/>
        <n v="2602832.7699999996"/>
        <n v="1433582.7700000014"/>
        <n v="2065520.9700000004"/>
        <n v="1769744.3699999945"/>
        <n v="2375068.17"/>
        <n v="1491863.9700000039"/>
        <n v="2164125.5700000003"/>
        <n v="3616874.1700000009"/>
        <n v="3007747.9700000007"/>
        <n v="1105337.9700000002"/>
        <n v="1403811.3699999996"/>
        <n v="1412287.7700000033"/>
        <n v="2448112.3699999996"/>
        <n v="1663067.5699999968"/>
        <n v="1700477.5699999961"/>
        <n v="2208887.1700000102"/>
        <n v="1903084.1700000004"/>
        <n v="1604670.9700000032"/>
        <n v="1989802.7699999996"/>
        <n v="1882296.57"/>
        <n v="3301476.3699999996"/>
        <n v="4017417.57"/>
        <n v="1550422.9700000002"/>
        <n v="1330829.3700000041"/>
        <n v="1680334.7700000023"/>
        <n v="1741044.5700000017"/>
        <n v="1392154.9700000049"/>
        <n v="3026899.96999999"/>
        <n v="3074071.57"/>
        <n v="2773514.9699999997"/>
        <n v="3007005.5700000091"/>
        <n v="2470468.37"/>
        <n v="2203796.1699999906"/>
        <n v="2795008.1700000092"/>
        <n v="1693703.9700000018"/>
        <n v="2359505.3700000006"/>
        <n v="2809906.5699999896"/>
        <n v="503297.40999999805"/>
        <n v="707165.40999999736"/>
        <n v="1538659.6099999896"/>
        <n v="874503.41000003205"/>
        <n v="792650.80999999098"/>
        <n v="1243853.4100000146"/>
        <n v="725422.8100000273"/>
        <n v="1433964.0099999905"/>
        <n v="1039658.4099999706"/>
        <n v="915008.60999998706"/>
        <n v="677209.81000002078"/>
        <n v="1559992.6100000103"/>
        <n v="872962.21000001277"/>
        <n v="1532799.4099999804"/>
        <n v="462603.40999998024"/>
        <n v="617951.20999997784"/>
        <n v="916783.41000000329"/>
        <n v="843393.40999998339"/>
        <n v="1256748.8100000089"/>
        <n v="561641.0100000042"/>
        <n v="1110375.610000035"/>
        <n v="1177454.4100000183"/>
        <n v="887828.20999995922"/>
        <n v="1458497.6099999894"/>
        <n v="1118997.2100000218"/>
        <n v="1303920.6099999966"/>
        <n v="1776538.2099999599"/>
        <n v="604291.6099999852"/>
        <n v="707323.60999999009"/>
        <n v="781315.40999998245"/>
        <n v="1100087.4100000507"/>
        <n v="873222.01"/>
        <n v="1051619.2099999688"/>
        <n v="1267539.4099999988"/>
        <n v="1159305.4099999925"/>
        <n v="1856108.2099999595"/>
        <n v="1705998.80999998"/>
        <n v="2233970.8100000303"/>
        <n v="2363157.8099999996"/>
        <n v="1080708.0100000198"/>
        <n v="1505877.6099999505"/>
        <n v="1297901.2100000083"/>
        <n v="743297.00999999815"/>
        <n v="947165.00999999733"/>
        <n v="1778659.2099999895"/>
        <n v="1114503.0100000321"/>
        <n v="1032650.4099999908"/>
        <n v="1483853.0100000147"/>
        <n v="965422.41000002739"/>
        <n v="1673963.6099999906"/>
        <n v="1279658.0099999704"/>
        <n v="1155008.2099999869"/>
        <n v="917209.41000002075"/>
        <n v="1799992.2100000102"/>
        <n v="1112961.8100000126"/>
        <n v="1772799.0099999805"/>
        <n v="702603.00999998022"/>
        <n v="857950.8099999777"/>
        <n v="1156783.0100000033"/>
        <n v="1083393.0099999835"/>
        <n v="1496748.4100000088"/>
        <n v="801640.61000000429"/>
        <n v="1350375.2100000349"/>
        <n v="1417454.0100000184"/>
        <n v="1127827.8099999591"/>
        <n v="1698497.2099999895"/>
        <n v="1358996.8100000219"/>
        <n v="1543920.2099999965"/>
        <n v="2016537.80999996"/>
        <n v="844291.20999998506"/>
        <n v="947323.20999999018"/>
        <n v="1021315.0099999825"/>
        <n v="1340087.0100000505"/>
        <n v="1113221.6100000001"/>
        <n v="1291618.8099999689"/>
        <n v="1507539.0099999988"/>
        <n v="1399305.0099999923"/>
        <n v="2096107.8099999595"/>
        <n v="1945998.4099999801"/>
        <n v="2473970.4100000304"/>
        <n v="2603157.4099999992"/>
        <n v="1320707.6100000199"/>
        <n v="1745877.2099999504"/>
        <n v="1537900.8100000084"/>
        <n v="777657.00999999803"/>
        <n v="949165.00999999733"/>
        <n v="1806899.2099999895"/>
        <n v="1138143.0100000321"/>
        <n v="1037930.4099999908"/>
        <n v="1486933.0100000147"/>
        <n v="965062.41000002739"/>
        <n v="1677443.6099999906"/>
        <n v="1278698.0099999704"/>
        <n v="1189288.2099999869"/>
        <n v="952249.41000002075"/>
        <n v="1804352.2100000102"/>
        <n v="1121001.8100000126"/>
        <n v="1781399.0099999805"/>
        <n v="738243.00999998022"/>
        <n v="892790.8099999777"/>
        <n v="1160583.0100000033"/>
        <n v="1092193.0099999835"/>
        <n v="1499908.4100000088"/>
        <n v="837440.61000000429"/>
        <n v="1357775.2100000349"/>
        <n v="1438854.0100000184"/>
        <n v="1128547.8099999591"/>
        <n v="1696617.2099999895"/>
        <n v="1364956.8100000219"/>
        <n v="1545680.2099999965"/>
        <n v="2026217.80999996"/>
        <n v="879531.20999998518"/>
        <n v="983963.20999999018"/>
        <n v="1041355.0099999825"/>
        <n v="1345487.0100000505"/>
        <n v="1113421.6100000001"/>
        <n v="1293858.8099999689"/>
        <n v="1511779.0099999988"/>
        <n v="1420545.0099999923"/>
        <n v="2106587.8099999595"/>
        <n v="1954918.4099999801"/>
        <n v="2496050.4100000304"/>
        <n v="2602357.4099999992"/>
        <n v="1332547.6100000199"/>
        <n v="1779477.2099999506"/>
        <n v="1548260.8100000084"/>
        <n v="812017.00999999803"/>
        <n v="951165.00999999733"/>
        <n v="1835139.2099999895"/>
        <n v="1161783.0100000321"/>
        <n v="1043210.4099999908"/>
        <n v="1490013.0100000147"/>
        <n v="964702.41000002739"/>
        <n v="1680923.6099999906"/>
        <n v="1277738.0099999704"/>
        <n v="1223568.2099999869"/>
        <n v="987289.41000002075"/>
        <n v="1808712.2100000102"/>
        <n v="1129041.8100000126"/>
        <n v="1789999.0099999805"/>
        <n v="773883.00999998022"/>
        <n v="927630.8099999777"/>
        <n v="1164383.0100000033"/>
        <n v="1100993.0099999835"/>
        <n v="1503068.4100000088"/>
        <n v="873240.61000000429"/>
        <n v="1365175.2100000349"/>
        <n v="1460254.0100000184"/>
        <n v="1129267.8099999591"/>
        <n v="1694737.2099999895"/>
        <n v="1370916.8100000219"/>
        <n v="1547440.2099999965"/>
        <n v="2035897.80999996"/>
        <n v="914771.20999998518"/>
        <n v="1020603.2099999902"/>
        <n v="1061395.0099999825"/>
        <n v="1350887.0100000505"/>
        <n v="1113621.6100000001"/>
        <n v="1296098.8099999689"/>
        <n v="1516019.0099999988"/>
        <n v="1441785.0099999923"/>
        <n v="2117067.8099999595"/>
        <n v="1963838.4099999801"/>
        <n v="2518130.4100000304"/>
        <n v="2601557.4099999992"/>
        <n v="1344387.6100000199"/>
        <n v="1813077.2099999506"/>
        <n v="1558620.8100000084"/>
        <n v="674577.40999999805"/>
        <n v="943165.40999999724"/>
        <n v="1722179.6099999896"/>
        <n v="1067223.410000032"/>
        <n v="1022090.809999991"/>
        <n v="1477693.4100000146"/>
        <n v="966142.8100000273"/>
        <n v="1667004.0099999905"/>
        <n v="1281578.4099999706"/>
        <n v="1086448.6099999871"/>
        <n v="847129.81000002078"/>
        <n v="1791272.6100000103"/>
        <n v="1096882.2100000128"/>
        <n v="1755599.4099999804"/>
        <n v="631323.40999998024"/>
        <n v="788271.20999997784"/>
        <n v="1149183.4100000034"/>
        <n v="1065793.4099999834"/>
        <n v="1490428.8100000089"/>
        <n v="730041.0100000042"/>
        <n v="1335575.610000035"/>
        <n v="1374654.4100000183"/>
        <n v="1126388.2099999592"/>
        <n v="1702257.6099999894"/>
        <n v="1347077.2100000218"/>
        <n v="1540400.6099999966"/>
        <n v="1997178.2099999599"/>
        <n v="773811.6099999852"/>
        <n v="874043.60999999009"/>
        <n v="981235.40999998245"/>
        <n v="1329287.4100000507"/>
        <n v="1112822.01"/>
        <n v="1287139.2099999688"/>
        <n v="1499059.4099999988"/>
        <n v="1356825.4099999925"/>
        <n v="2075148.2099999595"/>
        <n v="1928158.80999998"/>
        <n v="2429810.8100000303"/>
        <n v="2604757.8099999996"/>
        <n v="1297028.0100000198"/>
        <n v="1678677.6099999505"/>
        <n v="1517181.2100000083"/>
        <n v="1012017.009999998"/>
        <n v="1151165.0099999974"/>
        <n v="2035139.2099999895"/>
        <n v="1361783.0100000321"/>
        <n v="1243210.4099999908"/>
        <n v="1690013.0100000147"/>
        <n v="1164702.4100000274"/>
        <n v="1880923.6099999906"/>
        <n v="1477738.0099999704"/>
        <n v="1423568.2099999869"/>
        <n v="1187289.4100000206"/>
        <n v="2008712.2100000102"/>
        <n v="1329041.8100000126"/>
        <n v="1989999.0099999805"/>
        <n v="973883.00999998022"/>
        <n v="1127630.8099999777"/>
        <n v="1364383.0100000033"/>
        <n v="1300993.0099999835"/>
        <n v="1703068.4100000088"/>
        <n v="1073240.6100000043"/>
        <n v="1565175.2100000349"/>
        <n v="1660254.0100000184"/>
        <n v="1329267.8099999591"/>
        <n v="1894737.2099999895"/>
        <n v="1570916.8100000219"/>
        <n v="1747440.2099999965"/>
        <n v="2235897.80999996"/>
        <n v="1114771.2099999851"/>
        <n v="1220602.8099999903"/>
        <n v="1261395.0099999825"/>
        <n v="1550887.0100000505"/>
        <n v="1313621.6100000001"/>
        <n v="1496098.8099999689"/>
        <n v="1716019.0099999988"/>
        <n v="1641785.0099999923"/>
        <n v="2317067.8099999595"/>
        <n v="2163838.4099999801"/>
        <n v="2718130.4100000304"/>
        <n v="2801557.4099999992"/>
        <n v="1544387.6100000199"/>
        <n v="2013077.2099999506"/>
        <n v="1758620.8100000084"/>
        <n v="977657.00999999803"/>
        <n v="1149165.0099999974"/>
        <n v="2006899.2099999895"/>
        <n v="1338143.0100000321"/>
        <n v="1237930.4099999908"/>
        <n v="1686933.0100000147"/>
        <n v="1165062.4100000274"/>
        <n v="1877443.6099999906"/>
        <n v="1478698.0099999704"/>
        <n v="1389288.2099999869"/>
        <n v="1152249.4100000206"/>
        <n v="2004352.2100000102"/>
        <n v="1321001.8100000126"/>
        <n v="1981399.0099999805"/>
        <n v="938243.00999998022"/>
        <n v="1092790.8099999777"/>
        <n v="1360583.0100000033"/>
        <n v="1292193.0099999835"/>
        <n v="1699908.4100000088"/>
        <n v="1037440.6100000043"/>
        <n v="1557775.2100000349"/>
        <n v="1638854.0100000184"/>
        <n v="1328547.8099999591"/>
        <n v="1896617.2099999895"/>
        <n v="1564956.8100000219"/>
        <n v="1745680.2099999965"/>
        <n v="2226217.80999996"/>
        <n v="1079531.2099999851"/>
        <n v="1183962.8099999903"/>
        <n v="1241355.0099999825"/>
        <n v="1545487.0100000505"/>
        <n v="1313421.6100000001"/>
        <n v="1493858.8099999689"/>
        <n v="1711779.0099999988"/>
        <n v="1620545.0099999923"/>
        <n v="2306587.8099999595"/>
        <n v="2154918.4099999801"/>
        <n v="2696050.4100000304"/>
        <n v="2802357.4099999992"/>
        <n v="1532547.6100000199"/>
        <n v="1979477.2099999506"/>
        <n v="1748260.8100000084"/>
        <n v="3000901.8000000003"/>
        <n v="3000926.2"/>
        <n v="3000922.9999999995"/>
        <n v="3000780.9999999991"/>
        <n v="3000720.1999999997"/>
        <n v="3000762.8"/>
        <n v="3000563.6"/>
        <n v="3000467.0000000005"/>
        <n v="3000432.5999999996"/>
        <n v="3000535.4"/>
        <n v="3000394.8"/>
        <n v="3000470.6"/>
        <n v="3000455.2000000007"/>
        <n v="3000556.2000000007"/>
        <n v="3000288.8000000003"/>
        <n v="3000340.1999999997"/>
        <n v="3000325.8000000003"/>
        <n v="3000420.7999999993"/>
        <n v="3000431.8"/>
        <n v="3000392.8000000003"/>
        <n v="3000480"/>
        <n v="3000379.4000000004"/>
        <n v="3000387.6"/>
        <n v="3000476.3999999994"/>
        <n v="3000407.8"/>
        <n v="3000396.9999999995"/>
        <n v="3000498"/>
        <n v="3000289.4"/>
        <n v="3000287"/>
        <n v="3000362.3999999994"/>
        <n v="3000340.8"/>
        <n v="3000334.2"/>
        <n v="3000401.4"/>
        <n v="3000364.8"/>
        <n v="3000382.7999999993"/>
        <n v="3000469.9999999995"/>
        <n v="3000408.6"/>
        <n v="3000427.2"/>
        <n v="3000553.7999999993"/>
        <n v="3000359"/>
        <n v="3000373.8000000007"/>
        <n v="3000458.7999999993"/>
        <n v="64487.0000000992"/>
        <n v="38651.999999956402"/>
        <n v="36488.000000076703"/>
        <n v="1632.00000008601"/>
        <n v="1657.0000000228899"/>
        <n v="1592.9999999571"/>
        <n v="10716.9999999996"/>
        <n v="6974.0000000137998"/>
        <n v="6256.0000000075897"/>
        <n v="5918.0000000651498"/>
        <n v="3155.9999999899401"/>
        <n v="1718.99999998004"/>
        <n v="1624.9999999900001"/>
        <n v="1600.0000000531099"/>
        <n v="45805.999999970503"/>
        <n v="7715.9999999594202"/>
        <n v="7093.0000000544196"/>
        <n v="7290.0000000117898"/>
        <n v="7197.0000000192204"/>
        <n v="6929.0000000137297"/>
        <n v="6405.0000000861501"/>
        <n v="25575.0000000035"/>
        <n v="22570.999999970802"/>
        <n v="22473.9999999883"/>
        <n v="24246.9999999457"/>
        <n v="23227.0000000199"/>
        <n v="22750.000000087301"/>
        <n v="8125.9999999474503"/>
        <n v="7558.0000000172704"/>
        <n v="7498.0000000550699"/>
        <n v="38026.999999942702"/>
        <n v="34908.999999970598"/>
        <n v="33141.000000000502"/>
        <n v="31553.999999914598"/>
        <n v="28644.9999999832"/>
        <n v="27542.9999999233"/>
        <n v="26512.0000000252"/>
        <n v="26175.999999963999"/>
        <n v="25528.0000000084"/>
        <n v="33478.000000059197"/>
        <n v="31279.000000040502"/>
        <n v="29964.000000063599"/>
        <n v="317260.17000000202"/>
        <n v="444950.76999994798"/>
        <n v="599775.76999990945"/>
        <n v="655250.97000008391"/>
        <n v="897393.76999996311"/>
        <n v="379898.56999991211"/>
        <n v="467787.36999993719"/>
        <n v="549618.17000005348"/>
        <n v="548206.17000008991"/>
        <n v="619120.97000000719"/>
        <n v="342073.37000006804"/>
        <n v="682432.36999986449"/>
        <n v="574272.96999998391"/>
        <n v="1408229.1700000102"/>
        <n v="4953521.7700000303"/>
        <n v="666551.96999985329"/>
        <n v="2782798.7699998901"/>
        <n v="2171841.7700000498"/>
        <n v="1396587.9700001604"/>
        <n v="524270.7699999889"/>
        <n v="760691.37000006973"/>
        <n v="538052.9700000172"/>
        <n v="452995.36999982526"/>
        <n v="2732012.9699999499"/>
        <n v="2124359.36999994"/>
        <n v="5356805.7700001504"/>
        <n v="664190.57000002672"/>
        <n v="826626.36999985995"/>
        <n v="1224091.77000002"/>
        <n v="2698706.1700000996"/>
        <n v="447918.57000000204"/>
        <n v="539629.169999948"/>
        <n v="707893.76999990945"/>
        <n v="760588.57000008388"/>
        <n v="985210.96999996307"/>
        <n v="476056.96999991208"/>
        <n v="551664.96999993722"/>
        <n v="658775.77000005357"/>
        <n v="658503.77000008989"/>
        <n v="714539.77000000724"/>
        <n v="450631.77000006801"/>
        <n v="776510.36999986449"/>
        <n v="682530.16999998386"/>
        <n v="1521628.3700000101"/>
        <n v="5055341.7700000303"/>
        <n v="754809.96999985329"/>
        <n v="2922717.9699998898"/>
        <n v="2318500.5700000497"/>
        <n v="1542446.3700001603"/>
        <n v="617448.76999998884"/>
        <n v="868349.37000006973"/>
        <n v="648690.57000001729"/>
        <n v="563633.36999982526"/>
        <n v="2868312.1699999501"/>
        <n v="2230338.5699999402"/>
        <n v="5477083.3700001501"/>
        <n v="773528.57000002672"/>
        <n v="938904.36999985995"/>
        <n v="1340270.97000002"/>
        <n v="2840943.3700000998"/>
        <n v="578582.57000000204"/>
        <n v="634313.56999994791"/>
        <n v="816018.16999990947"/>
        <n v="865932.57000008388"/>
        <n v="1073034.969999963"/>
        <n v="572220.96999991208"/>
        <n v="635549.36999993725"/>
        <n v="767939.77000005357"/>
        <n v="768807.77000008989"/>
        <n v="809963.3700000071"/>
        <n v="559195.77000006801"/>
        <n v="870594.76999986451"/>
        <n v="790793.76999998395"/>
        <n v="1635031.1700000102"/>
        <n v="5157164.5700000301"/>
        <n v="843074.36999985331"/>
        <n v="3062641.16999989"/>
        <n v="2465163.7700000498"/>
        <n v="1688310.3700001603"/>
        <n v="710632.76999998884"/>
        <n v="976014.17000006977"/>
        <n v="759334.17000001727"/>
        <n v="674276.56999982521"/>
        <n v="3004614.9699999499"/>
        <n v="2336321.36999994"/>
        <n v="5597367.3700001501"/>
        <n v="882872.57000002661"/>
        <n v="1051187.96999986"/>
        <n v="1456453.77000002"/>
        <n v="2983186.5700000999"/>
        <n v="818583.37000000209"/>
        <n v="874313.56999994791"/>
        <n v="1056018.9699999094"/>
        <n v="1105933.7700000838"/>
        <n v="1313036.1699999631"/>
        <n v="812222.16999991215"/>
        <n v="875550.5699999372"/>
        <n v="1007940.9700000535"/>
        <n v="1008808.1700000898"/>
        <n v="1049964.1700000071"/>
        <n v="799195.77000006801"/>
        <n v="1110595.1699998644"/>
        <n v="1030795.3699999838"/>
        <n v="1875031.9700000102"/>
        <n v="5397164.1700000307"/>
        <n v="1083075.1699998532"/>
        <n v="3302641.9699998898"/>
        <n v="2705164.9700000496"/>
        <n v="1928310.7700001602"/>
        <n v="950633.56999998889"/>
        <n v="1216013.7700000699"/>
        <n v="999334.9700000172"/>
        <n v="914277.36999982526"/>
        <n v="3244616.1699999501"/>
        <n v="2576322.9699999401"/>
        <n v="5837368.1700001508"/>
        <n v="1122873.3700000267"/>
        <n v="1291189.1699998598"/>
        <n v="1696454.5700000199"/>
        <n v="3223187.7700000997"/>
        <n v="839901.37000000209"/>
        <n v="823671.96999994793"/>
        <n v="1032257.3699999094"/>
        <n v="1076611.7700000838"/>
        <n v="1248674.1699999631"/>
        <n v="764539.76999991201"/>
        <n v="803308.16999993718"/>
        <n v="986258.97000005352"/>
        <n v="989406.57000008994"/>
        <n v="1000802.1700000071"/>
        <n v="776314.17000006791"/>
        <n v="1058753.1699998644"/>
        <n v="1007313.3699999838"/>
        <n v="1861829.9700000102"/>
        <n v="5360802.9700000305"/>
        <n v="1019593.1699998532"/>
        <n v="3342479.5699998899"/>
        <n v="2758482.9700000496"/>
        <n v="1980028.7700001602"/>
        <n v="896991.96999998891"/>
        <n v="1191332.1700000698"/>
        <n v="980613.77000001725"/>
        <n v="895556.56999982521"/>
        <n v="3277216.1699999501"/>
        <n v="2548280.1699999399"/>
        <n v="5837926.1700001508"/>
        <n v="1101551.3700000267"/>
        <n v="1275747.1699998598"/>
        <n v="1688812.97000002"/>
        <n v="3267667.3700000998"/>
        <n v="607923.37000000209"/>
        <n v="699633.56999994791"/>
        <n v="867898.9699999094"/>
        <n v="920593.77000008395"/>
        <n v="1145216.1699999631"/>
        <n v="636062.16999991215"/>
        <n v="711670.5699999372"/>
        <n v="818780.97000005352"/>
        <n v="818508.1700000898"/>
        <n v="874544.17000000714"/>
        <n v="610635.77000006801"/>
        <n v="936515.16999986442"/>
        <n v="842535.36999998381"/>
        <n v="1681631.9700000102"/>
        <n v="5215344.1700000307"/>
        <n v="914815.16999985324"/>
        <n v="3082721.9699998898"/>
        <n v="2478504.9700000496"/>
        <n v="1702450.7700001604"/>
        <n v="777453.56999998889"/>
        <n v="1028353.7700000698"/>
        <n v="808694.9700000172"/>
        <n v="723637.36999982526"/>
        <n v="3028316.1699999501"/>
        <n v="2390342.9699999401"/>
        <n v="5637088.1700001508"/>
        <n v="933533.37000002665"/>
        <n v="1098909.16999986"/>
        <n v="1500274.5700000199"/>
        <n v="3000947.7700000997"/>
        <n v="397263.37000000203"/>
        <n v="524953.56999994791"/>
        <n v="679778.96999990952"/>
        <n v="735254.17000008398"/>
        <n v="977396.16999996314"/>
        <n v="459901.76999991213"/>
        <n v="547789.76999993715"/>
        <n v="629620.97000005352"/>
        <n v="628208.97000008984"/>
        <n v="699124.17000000714"/>
        <n v="422076.57000006805"/>
        <n v="762435.56999986444"/>
        <n v="654274.96999998391"/>
        <n v="1488231.9700000102"/>
        <n v="5033525.7700000303"/>
        <n v="746554.36999985331"/>
        <n v="2862801.9699998903"/>
        <n v="2251844.5700000497"/>
        <n v="1476591.1700001603"/>
        <n v="604273.56999998889"/>
        <n v="840694.17000006977"/>
        <n v="618055.77000001725"/>
        <n v="532996.96999982523"/>
        <n v="2812016.1699999501"/>
        <n v="2204362.5699999402"/>
        <n v="5436808.5700001502"/>
        <n v="744193.37000002665"/>
        <n v="906629.5699998599"/>
        <n v="1304093.77000002"/>
        <n v="2778708.5700000999"/>
        <n v="797263.37000000209"/>
        <n v="924953.56999994791"/>
        <n v="1079778.9699999094"/>
        <n v="1135254.170000084"/>
        <n v="1377396.1699999631"/>
        <n v="859901.76999991201"/>
        <n v="947789.76999993715"/>
        <n v="1029620.9700000535"/>
        <n v="1028208.9700000898"/>
        <n v="1099124.1700000071"/>
        <n v="822076.57000006805"/>
        <n v="1162435.5699998643"/>
        <n v="1054274.9699999839"/>
        <n v="1888231.9700000102"/>
        <n v="5433525.7700000303"/>
        <n v="1146554.3699998534"/>
        <n v="3262801.9699998898"/>
        <n v="2651844.5700000497"/>
        <n v="1876591.1700001603"/>
        <n v="1004273.5699999889"/>
        <n v="1240694.1700000698"/>
        <n v="1018055.7700000172"/>
        <n v="932996.96999982512"/>
        <n v="3212016.1699999501"/>
        <n v="2604362.5699999398"/>
        <n v="5836808.5700001502"/>
        <n v="1144193.3700000267"/>
        <n v="1306629.5699998599"/>
        <n v="1704093.77000002"/>
        <n v="3178708.5700000999"/>
        <n v="597261.37000000209"/>
        <n v="724951.169999948"/>
        <n v="879776.56999990949"/>
        <n v="935250.97000008391"/>
        <n v="1177393.7699999632"/>
        <n v="659898.96999991208"/>
        <n v="747786.96999993722"/>
        <n v="829618.5700000535"/>
        <n v="828206.1700000898"/>
        <n v="899122.17000000714"/>
        <n v="622073.3700000681"/>
        <n v="962432.76999986451"/>
        <n v="854272.16999998386"/>
        <n v="1688230.3700000101"/>
        <n v="5233522.9700000305"/>
        <n v="946552.76999985334"/>
        <n v="3062799.5699998899"/>
        <n v="2451842.5700000497"/>
        <n v="1676588.7700001604"/>
        <n v="804271.56999998889"/>
        <n v="1040691.7700000698"/>
        <n v="818052.9700000172"/>
        <n v="732995.36999982526"/>
        <n v="3012014.56999995"/>
        <n v="2404359.36999994"/>
        <n v="5636805.3700001501"/>
        <n v="944190.97000002675"/>
        <n v="1106627.5699998599"/>
        <n v="1504092.97000002"/>
        <n v="2978705.7700000997"/>
        <n v="997261.37000000209"/>
        <n v="1124951.169999948"/>
        <n v="1279776.5699999095"/>
        <n v="1335250.970000084"/>
        <n v="1577393.7699999632"/>
        <n v="1059898.9699999122"/>
        <n v="1147786.9699999373"/>
        <n v="1229618.5700000534"/>
        <n v="1228206.1700000898"/>
        <n v="1299122.1700000071"/>
        <n v="1022073.3700000681"/>
        <n v="1362432.7699998645"/>
        <n v="1254272.1699999839"/>
        <n v="2088230.3700000104"/>
        <n v="5633522.9700000305"/>
        <n v="1346552.7699998533"/>
        <n v="3462799.5699998899"/>
        <n v="2851842.5700000497"/>
        <n v="2076588.7700001602"/>
        <n v="1204271.5699999889"/>
        <n v="1440691.7700000699"/>
        <n v="1218052.9700000172"/>
        <n v="1132995.3699998253"/>
        <n v="3412014.56999995"/>
        <n v="2804359.36999994"/>
        <n v="6036805.3700001501"/>
        <n v="1344190.9700000267"/>
        <n v="1506627.5699998599"/>
        <n v="1904092.97000002"/>
        <n v="3378705.7700000997"/>
        <n v="807921.37000000209"/>
        <n v="899631.169999948"/>
        <n v="1067896.5699999095"/>
        <n v="1120590.970000084"/>
        <n v="1345213.7699999632"/>
        <n v="836058.96999991219"/>
        <n v="911666.96999993722"/>
        <n v="1018778.5700000535"/>
        <n v="1018506.1700000898"/>
        <n v="1074542.1700000071"/>
        <n v="810633.3700000681"/>
        <n v="1136512.7699998645"/>
        <n v="1042532.1699999839"/>
        <n v="1881630.3700000104"/>
        <n v="5415342.9700000305"/>
        <n v="1114812.7699998533"/>
        <n v="3282719.5699998899"/>
        <n v="2678502.5700000497"/>
        <n v="1902448.7700001602"/>
        <n v="977451.56999998889"/>
        <n v="1228351.7700000699"/>
        <n v="1008692.9700000172"/>
        <n v="923635.36999982526"/>
        <n v="3228314.56999995"/>
        <n v="2590339.36999994"/>
        <n v="5837085.3700001501"/>
        <n v="1133530.9700000267"/>
        <n v="1298907.5699998599"/>
        <n v="1700272.97000002"/>
        <n v="3200945.7700000997"/>
        <n v="1007922.9700000021"/>
        <n v="1099632.7699999479"/>
        <n v="1267898.1699999096"/>
        <n v="1320592.5700000839"/>
        <n v="1545214.569999963"/>
        <n v="1036060.9699999122"/>
        <n v="1111668.9699999373"/>
        <n v="1218780.1700000535"/>
        <n v="1218507.7700000899"/>
        <n v="1274543.3700000071"/>
        <n v="1010635.770000068"/>
        <n v="1336514.7699998645"/>
        <n v="1242534.5699999838"/>
        <n v="2081630.7700000103"/>
        <n v="5615344.5700000301"/>
        <n v="1314813.5699998531"/>
        <n v="3482721.16999989"/>
        <n v="2878503.7700000498"/>
        <n v="2102449.9700001604"/>
        <n v="1177452.7699999888"/>
        <n v="1428353.3700000697"/>
        <n v="1208694.1700000172"/>
        <n v="1123636.5699998252"/>
        <n v="3428315.3699999498"/>
        <n v="2790342.1699999399"/>
        <n v="6037086.5700001502"/>
        <n v="1333532.5700000268"/>
        <n v="1498908.3699998599"/>
        <n v="1900274.1700000199"/>
        <n v="3400947.3700000998"/>
        <n v="172046.60999998855"/>
        <n v="329771.81000000593"/>
        <n v="398672.81000000244"/>
        <n v="325074.40999998094"/>
        <n v="771998.80999999121"/>
        <n v="319498.01000000606"/>
        <n v="313731.01000000024"/>
        <n v="657744.6099999795"/>
        <n v="382048.01000001095"/>
        <n v="301682.21000001323"/>
        <n v="281424.61000000004"/>
        <n v="411109.0099999964"/>
        <n v="649958.60999999079"/>
        <n v="518069.21000001422"/>
        <n v="613043.80999998364"/>
        <n v="743238.41000000143"/>
        <n v="756474.21000002301"/>
        <n v="540003.61000000767"/>
        <n v="778012.60999998753"/>
        <n v="287297.81000001892"/>
        <n v="529652.61000000895"/>
        <n v="252881.81000000931"/>
        <n v="424686.01000001119"/>
        <n v="1535685.6100000099"/>
        <n v="816575.2100000201"/>
        <n v="1314030.8099999905"/>
        <n v="400556.41000000067"/>
        <n v="561621.81000000495"/>
        <n v="515527.40999999992"/>
        <n v="2200498.4099999997"/>
        <n v="252046.20999998855"/>
        <n v="409771.41000000591"/>
        <n v="478672.41000000242"/>
        <n v="405074.00999998092"/>
        <n v="851998.40999999119"/>
        <n v="399497.61000000604"/>
        <n v="393730.61000000022"/>
        <n v="737744.20999997947"/>
        <n v="462047.61000001093"/>
        <n v="381681.81000001321"/>
        <n v="361424.21"/>
        <n v="491108.60999999638"/>
        <n v="729958.20999999088"/>
        <n v="598068.81000001426"/>
        <n v="693043.40999998362"/>
        <n v="823238.01000000141"/>
        <n v="836473.81000002311"/>
        <n v="620003.21000000765"/>
        <n v="858012.20999998751"/>
        <n v="367297.81000001892"/>
        <n v="609652.21000000893"/>
        <n v="332881.41000000935"/>
        <n v="504685.61000001116"/>
        <n v="1615684.8100000098"/>
        <n v="896574.81000002008"/>
        <n v="1394030.4099999906"/>
        <n v="480556.01000000065"/>
        <n v="641621.41000000504"/>
        <n v="595526.60999999987"/>
        <n v="2280498.0099999998"/>
        <n v="452046.20999998855"/>
        <n v="609771.41000000597"/>
        <n v="678672.41000000248"/>
        <n v="605074.00999998092"/>
        <n v="1051998.4099999911"/>
        <n v="599497.61000000604"/>
        <n v="593730.61000000022"/>
        <n v="937744.20999997947"/>
        <n v="662047.61000001093"/>
        <n v="581681.81000001321"/>
        <n v="561424.21"/>
        <n v="691108.60999999638"/>
        <n v="929958.20999999088"/>
        <n v="798068.81000001426"/>
        <n v="893043.40999998362"/>
        <n v="1023238.0100000014"/>
        <n v="1036473.8100000231"/>
        <n v="820003.21000000765"/>
        <n v="1058012.2099999874"/>
        <n v="567297.81000001892"/>
        <n v="809652.21000000881"/>
        <n v="532881.41000000935"/>
        <n v="704685.61000001128"/>
        <n v="1815684.8100000098"/>
        <n v="1096574.8100000201"/>
        <n v="1594030.4099999906"/>
        <n v="680556.01000000071"/>
        <n v="841621.41000000504"/>
        <n v="795526.60999999987"/>
        <n v="2480498.0099999998"/>
        <n v="652046.20999998855"/>
        <n v="809771.41000000597"/>
        <n v="878672.41000000248"/>
        <n v="805074.00999998092"/>
        <n v="1251998.4099999913"/>
        <n v="799497.61000000616"/>
        <n v="793730.61000000022"/>
        <n v="1137744.2099999795"/>
        <n v="862047.61000001093"/>
        <n v="781681.81000001321"/>
        <n v="761424.21"/>
        <n v="891108.60999999638"/>
        <n v="1129958.2099999909"/>
        <n v="998068.81000001426"/>
        <n v="1093043.4099999836"/>
        <n v="1223238.0100000014"/>
        <n v="1236473.8100000231"/>
        <n v="1020003.2100000076"/>
        <n v="1258012.2099999874"/>
        <n v="767297.81000001892"/>
        <n v="1009652.2100000089"/>
        <n v="732881.41000000935"/>
        <n v="904685.61000001116"/>
        <n v="2015684.8100000098"/>
        <n v="1296574.8100000201"/>
        <n v="1794030.4099999906"/>
        <n v="880556.01000000071"/>
        <n v="1041621.410000005"/>
        <n v="995526.60999999987"/>
        <n v="2680498.0099999998"/>
        <n v="852046.20999998855"/>
        <n v="1009771.410000006"/>
        <n v="1078672.4100000025"/>
        <n v="1005074.0099999809"/>
        <n v="1451998.4099999913"/>
        <n v="999497.61000000616"/>
        <n v="993730.61000000022"/>
        <n v="1337744.2099999795"/>
        <n v="1062047.610000011"/>
        <n v="981681.81000001321"/>
        <n v="961424.21"/>
        <n v="1091108.6099999964"/>
        <n v="1329958.2099999909"/>
        <n v="1198068.8100000143"/>
        <n v="1293043.4099999836"/>
        <n v="1423238.0100000014"/>
        <n v="1436473.8100000231"/>
        <n v="1220003.2100000076"/>
        <n v="1458012.2099999874"/>
        <n v="967297.81000001892"/>
        <n v="1209652.2100000088"/>
        <n v="932881.41000000935"/>
        <n v="1104685.610000011"/>
        <n v="2215684.8100000098"/>
        <n v="1496574.8100000201"/>
        <n v="1994030.4099999906"/>
        <n v="1080556.0100000007"/>
        <n v="1241621.410000005"/>
        <n v="1195526.6099999999"/>
        <n v="2880498.01"/>
        <n v="339246.60999998858"/>
        <n v="524331.81000000588"/>
        <n v="632032.81000000238"/>
        <n v="493714.40999998088"/>
        <n v="992158.80999999121"/>
        <n v="541498.01000000606"/>
        <n v="486931.01000000024"/>
        <n v="825184.6099999795"/>
        <n v="603968.01000001095"/>
        <n v="509522.21000001323"/>
        <n v="507744.61000000004"/>
        <n v="579749.00999999628"/>
        <n v="876998.60999999079"/>
        <n v="688469.21000001417"/>
        <n v="850243.80999998364"/>
        <n v="972758.41000000131"/>
        <n v="939434.21000002301"/>
        <n v="777683.61000000767"/>
        <n v="950412.60999998753"/>
        <n v="450417.81000001892"/>
        <n v="751812.61000000895"/>
        <n v="417362.21000000928"/>
        <n v="657166.01000001119"/>
        <n v="1733845.2100000097"/>
        <n v="987775.2100000201"/>
        <n v="1553550.4099999906"/>
        <n v="627196.41000000061"/>
        <n v="725141.81000000495"/>
        <n v="736647.40999999992"/>
        <n v="2371698.4099999997"/>
        <n v="415646.20999998855"/>
        <n v="587051.41000000597"/>
        <n v="675352.41000000248"/>
        <n v="569394.00999998092"/>
        <n v="1042078.4099999911"/>
        <n v="590497.61000000604"/>
        <n v="560330.61000000022"/>
        <n v="901464.20999997947"/>
        <n v="653007.61000001093"/>
        <n v="565601.81000001321"/>
        <n v="554584.21"/>
        <n v="655428.60999999638"/>
        <n v="923478.20999999088"/>
        <n v="763268.81000001426"/>
        <n v="891643.40999998362"/>
        <n v="1017998.0100000014"/>
        <n v="1007953.8100000231"/>
        <n v="818843.21000000765"/>
        <n v="1024212.2099999875"/>
        <n v="528857.81000001892"/>
        <n v="800732.21000000881"/>
        <n v="495121.41000000935"/>
        <n v="700925.61000001128"/>
        <n v="1794764.8100000098"/>
        <n v="1062174.8100000201"/>
        <n v="1593790.0099999905"/>
        <n v="673876.01000000071"/>
        <n v="803381.41000000504"/>
        <n v="786087.00999999989"/>
        <n v="2446098.0099999998"/>
        <n v="615646.20999998855"/>
        <n v="787051.41000000597"/>
        <n v="875352.41000000248"/>
        <n v="769394.00999998092"/>
        <n v="1242078.4099999913"/>
        <n v="790497.61000000616"/>
        <n v="760330.61000000022"/>
        <n v="1101464.2099999795"/>
        <n v="853007.61000001093"/>
        <n v="765601.81000001321"/>
        <n v="754584.21"/>
        <n v="855428.60999999638"/>
        <n v="1123478.2099999909"/>
        <n v="963268.81000001426"/>
        <n v="1091643.4099999836"/>
        <n v="1217998.0100000014"/>
        <n v="1207953.8100000231"/>
        <n v="1018843.2100000076"/>
        <n v="1224212.2099999874"/>
        <n v="728857.81000001892"/>
        <n v="1000732.2100000089"/>
        <n v="695121.41000000935"/>
        <n v="900925.61000001116"/>
        <n v="1994764.8100000098"/>
        <n v="1262174.8100000201"/>
        <n v="1793790.4099999906"/>
        <n v="873876.01000000071"/>
        <n v="1003381.410000005"/>
        <n v="986086.60999999987"/>
        <n v="2646098.0099999998"/>
        <n v="579246.20999998855"/>
        <n v="764331.41000000597"/>
        <n v="872032.41000000248"/>
        <n v="733714.00999998092"/>
        <n v="1232158.4099999913"/>
        <n v="781497.61000000616"/>
        <n v="726930.61000000022"/>
        <n v="1065184.2099999795"/>
        <n v="843967.61000001093"/>
        <n v="749521.81000001321"/>
        <n v="747744.21"/>
        <n v="819748.60999999638"/>
        <n v="1116998.2099999909"/>
        <n v="928468.81000001426"/>
        <n v="1090243.4099999836"/>
        <n v="1212758.0100000014"/>
        <n v="1179433.8100000231"/>
        <n v="1017683.2100000076"/>
        <n v="1190412.2099999874"/>
        <n v="690417.81000001892"/>
        <n v="991812.21000000893"/>
        <n v="657361.41000000935"/>
        <n v="897165.61000001116"/>
        <n v="1973844.8100000098"/>
        <n v="1227774.8100000201"/>
        <n v="1793550.0099999905"/>
        <n v="867196.01000000071"/>
        <n v="965141.41000000504"/>
        <n v="976647.01"/>
        <n v="2611698.0099999998"/>
        <n v="506446.60999998858"/>
        <n v="718891.81000000588"/>
        <n v="865392.81000000238"/>
        <n v="662354.40999998082"/>
        <n v="1212318.8099999912"/>
        <n v="763498.01000000606"/>
        <n v="660131.01000000024"/>
        <n v="992624.6099999795"/>
        <n v="825888.01000001095"/>
        <n v="717362.21000001323"/>
        <n v="734064.6100000001"/>
        <n v="748389.00999999628"/>
        <n v="1104038.6099999908"/>
        <n v="858869.21000001417"/>
        <n v="1087443.8099999838"/>
        <n v="1202278.4100000015"/>
        <n v="1122394.210000023"/>
        <n v="1015363.6100000076"/>
        <n v="1122812.6099999875"/>
        <n v="613537.81000001892"/>
        <n v="973972.61000000895"/>
        <n v="581842.21000000928"/>
        <n v="889646.01000001119"/>
        <n v="1932005.2100000097"/>
        <n v="1158975.21000002"/>
        <n v="1793070.4099999906"/>
        <n v="853836.41000000061"/>
        <n v="888661.81000000495"/>
        <n v="957767.40999999992"/>
        <n v="2542898.4099999997"/>
        <n v="815646.60999998858"/>
        <n v="987051.81000000588"/>
        <n v="1075352.8100000024"/>
        <n v="969394.40999998094"/>
        <n v="1442078.8099999912"/>
        <n v="990498.01000000606"/>
        <n v="960331.01000000024"/>
        <n v="1301464.6099999794"/>
        <n v="1053008.010000011"/>
        <n v="965602.21000001323"/>
        <n v="954584.6100000001"/>
        <n v="1055429.0099999965"/>
        <n v="1323478.6099999908"/>
        <n v="1163269.2100000142"/>
        <n v="1291643.8099999838"/>
        <n v="1417998.4100000015"/>
        <n v="1407954.210000023"/>
        <n v="1218843.6100000076"/>
        <n v="1424212.6099999875"/>
        <n v="928857.81000001892"/>
        <n v="1200732.610000009"/>
        <n v="895121.81000000925"/>
        <n v="1100926.0100000112"/>
        <n v="2194765.2100000097"/>
        <n v="1462175.21000002"/>
        <n v="1993790.8099999905"/>
        <n v="1073876.4100000006"/>
        <n v="1203381.8100000049"/>
        <n v="1186087.01"/>
        <n v="2846098.41"/>
        <n v="879246.60999998858"/>
        <n v="1064331.8100000059"/>
        <n v="1172032.8100000024"/>
        <n v="1033714.4099999809"/>
        <n v="1532158.8099999912"/>
        <n v="1081498.0100000061"/>
        <n v="1026931.0100000002"/>
        <n v="1365184.6099999794"/>
        <n v="1143968.010000011"/>
        <n v="1049522.2100000132"/>
        <n v="1047744.6100000001"/>
        <n v="1119749.0099999965"/>
        <n v="1416998.6099999908"/>
        <n v="1228469.2100000142"/>
        <n v="1390243.8099999838"/>
        <n v="1512758.4100000015"/>
        <n v="1479434.210000023"/>
        <n v="1317683.6100000076"/>
        <n v="1490412.6099999875"/>
        <n v="990417.81000001892"/>
        <n v="1291812.610000009"/>
        <n v="957361.81000000925"/>
        <n v="1197166.0100000112"/>
        <n v="2273845.2100000097"/>
        <n v="1527775.21000002"/>
        <n v="2093550.8099999905"/>
        <n v="1167196.4100000006"/>
        <n v="1265141.8100000049"/>
        <n v="1276647.01"/>
        <n v="2911698.41"/>
        <n v="3000916.6"/>
        <n v="3000840.8"/>
        <n v="3000686.8000000003"/>
        <n v="3000697"/>
        <n v="3000767"/>
        <n v="3000442.8000000003"/>
        <n v="3000657.2"/>
        <n v="3000517.5999999996"/>
        <n v="3000411.1999999997"/>
        <n v="3000394.2"/>
        <n v="3000306.6"/>
        <n v="3000372.6000000006"/>
        <n v="3000378"/>
        <n v="3000451.2"/>
        <n v="3000503.8000000007"/>
        <n v="3000348.0000000005"/>
        <n v="3000468"/>
        <n v="3000451.4"/>
        <n v="3000490.2000000007"/>
        <n v="3000266.4"/>
        <n v="3000335.8"/>
        <n v="3000335.5999999992"/>
        <n v="3000515.8"/>
        <n v="3000446.6"/>
        <n v="3000605.6000000006"/>
        <n v="3000301.3999999994"/>
        <n v="3000374.6"/>
        <n v="3000496.1999999997"/>
        <n v="3000500.5999999996"/>
        <n v="3001037"/>
        <n v="3002033.9999999995"/>
        <n v="3001446.8000000003"/>
        <n v="3001075.5999999992"/>
        <n v="3000726.9999999991"/>
        <n v="3000861.4000000004"/>
        <n v="3000839.5999999996"/>
        <n v="3000828.6000000006"/>
        <n v="3000849.4"/>
        <n v="3000746.2"/>
        <n v="3000699.5999999992"/>
        <n v="3000765.4000000008"/>
        <n v="3000596.4"/>
        <n v="3000751.0000000005"/>
        <n v="3000740.5999999987"/>
        <n v="3000718.9999999986"/>
        <n v="3000868.3999999994"/>
        <n v="3000999.2"/>
        <n v="3000528.4000000008"/>
        <n v="3000583.600000001"/>
        <n v="3000640.399999999"/>
        <n v="3000718.2000000007"/>
        <n v="3000749.1999999997"/>
        <n v="3000575.4000000004"/>
        <n v="3000587.5999999992"/>
        <n v="3000737.2"/>
        <n v="3000821.6000000006"/>
        <n v="3000823.4000000008"/>
        <n v="3000830"/>
        <n v="3000916.9999999991"/>
        <n v="60157.000000003798"/>
        <n v="2421.9999999104398"/>
        <n v="2261.0000000895502"/>
        <n v="127258.999999981"/>
        <n v="117941.999999971"/>
        <n v="152253.99999997101"/>
        <n v="149773.99999997899"/>
        <n v="1651.0000000380401"/>
        <n v="122567.000000004"/>
        <n v="1743.0000000331299"/>
        <n v="116912.999999954"/>
        <n v="122594.999999933"/>
        <n v="101874.00000006599"/>
        <n v="168621.00000003001"/>
        <n v="2140.0000000539899"/>
        <n v="161489.999999958"/>
        <n v="2423.9999999053898"/>
        <n v="2418.99999991801"/>
        <n v="57363.000000009401"/>
        <n v="147154.99999999799"/>
        <n v="3954.00000002155"/>
        <n v="3800.0000000692999"/>
        <n v="152849.999999944"/>
        <n v="54989.999999975204"/>
        <n v="163100.999999983"/>
        <n v="2367.0000000493001"/>
        <n v="160978"/>
        <n v="163719.00000001499"/>
        <n v="198404.99999998001"/>
        <n v="210954.99999989901"/>
        <n v="3000387.7999999993"/>
        <n v="3000274.8000000003"/>
        <n v="3000241.2"/>
        <n v="3000285.8"/>
        <n v="3000475.4"/>
        <n v="3000545.4000000004"/>
        <n v="3000424.5999999996"/>
        <n v="3000308.4"/>
        <n v="3000904.0000000005"/>
        <n v="3000375.9999999995"/>
        <n v="3000621.0000000005"/>
        <n v="3000330.2"/>
        <n v="3000522.4"/>
        <n v="3000650.4000000008"/>
        <n v="3000354.0000000009"/>
        <n v="3000586.8000000007"/>
        <n v="3000500.0000000005"/>
        <n v="3000443.4000000008"/>
        <n v="3000655.8000000003"/>
        <n v="3000373.4"/>
        <n v="3000470.2"/>
        <n v="3000300.2"/>
        <n v="3000515"/>
        <n v="3000644.8"/>
        <n v="3000479.3999999994"/>
        <n v="3000890.0000000005"/>
        <n v="3000633.4000000004"/>
        <n v="3000698.8"/>
        <n v="3000367.0000000005"/>
        <n v="3000466.2"/>
        <n v="3001550.0000000005"/>
        <n v="3000863.8"/>
        <n v="3000758.1999999997"/>
        <n v="3000817.4000000013"/>
        <n v="3001003.6"/>
        <n v="3001062.3999999994"/>
        <n v="3000855.3999999994"/>
        <n v="3000720.6000000006"/>
        <n v="3001299.9999999986"/>
        <n v="3000825.8"/>
        <n v="3001023.7999999993"/>
        <n v="3000705.7999999993"/>
        <n v="3000981.2"/>
        <n v="3001071.8"/>
        <n v="3000810"/>
        <n v="3001008.0000000009"/>
        <n v="3000862.9999999995"/>
        <n v="3000805.5999999996"/>
        <n v="3001120.6"/>
        <n v="3000793.4000000004"/>
        <n v="3000900"/>
        <n v="3000722.8000000003"/>
        <n v="3001022.1999999993"/>
        <n v="3001173.4"/>
        <n v="3001026.5999999996"/>
        <n v="3001529.8000000003"/>
        <n v="3001191.7999999993"/>
        <n v="3001241.0000000005"/>
        <n v="3000864.6"/>
        <n v="3000989.399999999"/>
        <n v="1200909.00000002"/>
        <n v="1331813.00000001"/>
        <n v="2063481.00000002"/>
        <n v="2093031"/>
        <n v="782702.99999996996"/>
        <n v="44217.000000003303"/>
        <n v="663274.00000000105"/>
        <n v="4411.0000000046102"/>
        <n v="2235.0000000415098"/>
        <n v="146196.00000003201"/>
        <n v="934816.99999995297"/>
        <n v="2038.9999999679301"/>
        <n v="2590.0000000547202"/>
        <n v="8320.0000000260807"/>
        <n v="49264.0000001074"/>
        <n v="2350.9999999760098"/>
        <n v="48230.999999986998"/>
        <n v="949617.99999998696"/>
        <n v="1094787.99999999"/>
        <n v="944796.99999999395"/>
        <n v="893345.99999995099"/>
        <n v="2841.9999999869101"/>
        <n v="1078990.99999997"/>
        <n v="887421.00000001804"/>
        <n v="1156428.00000001"/>
        <n v="4484.0000000476703"/>
        <n v="1280611.00000002"/>
        <n v="935665.00000008498"/>
        <n v="1266626.0000000901"/>
        <n v="1392647.00000001"/>
        <n v="6001550"/>
        <n v="6000863.7999999998"/>
        <n v="6000758.2000000002"/>
        <n v="6000817.4000000013"/>
        <n v="6001003.5999999996"/>
        <n v="6001062.3999999994"/>
        <n v="6000855.3999999994"/>
        <n v="6000720.6000000006"/>
        <n v="6001299.9999999981"/>
        <n v="6000825.7999999998"/>
        <n v="6001023.7999999998"/>
        <n v="6000705.7999999998"/>
        <n v="6000981.2000000002"/>
        <n v="6001071.7999999998"/>
        <n v="6000810"/>
        <n v="6001008.0000000009"/>
        <n v="6000863"/>
        <n v="6000805.5999999996"/>
        <n v="6001120.6000000006"/>
        <n v="6000793.4000000004"/>
        <n v="6000900"/>
        <n v="6000722.8000000007"/>
        <n v="6001022.1999999993"/>
        <n v="6001173.3999999994"/>
        <n v="6001026.5999999996"/>
        <n v="6001529.7999999998"/>
        <n v="6001191.7999999998"/>
        <n v="6001241"/>
        <n v="6000864.5999999996"/>
        <n v="6000989.3999999985"/>
        <n v="6002124.6000000006"/>
        <n v="6001285.8000000007"/>
        <n v="6001788.7999999998"/>
        <n v="6001078.5999999996"/>
        <n v="6001362.4000000004"/>
        <n v="6001222.5999999996"/>
        <n v="6000828.3999999994"/>
        <n v="6000944.6000000015"/>
        <n v="6001162.7999999998"/>
        <n v="6000986"/>
        <n v="6001070.3999999994"/>
        <n v="6001168.6000000006"/>
        <n v="6000975.2000000002"/>
        <n v="6000996.1999999993"/>
        <n v="6000987.0000000009"/>
        <n v="6001086.1999999993"/>
        <n v="6001291.2000000002"/>
        <n v="6000989.7999999989"/>
        <n v="6000977.6000000006"/>
        <n v="6001027.3999999985"/>
        <n v="6000997.4000000004"/>
        <n v="6001311"/>
        <n v="6001100.3999999994"/>
        <n v="6001108.4000000004"/>
        <n v="6000941.2000000002"/>
        <n v="6001091.7999999998"/>
        <n v="6001080.4000000004"/>
        <n v="6000864.1999999993"/>
        <n v="6000955"/>
        <n v="6001226.7999999998"/>
        <n v="9002124.5999999996"/>
        <n v="9001285.8000000007"/>
        <n v="9001788.8000000007"/>
        <n v="9001078.5999999996"/>
        <n v="9001362.4000000004"/>
        <n v="9001222.5999999996"/>
        <n v="9000828.4000000004"/>
        <n v="9000944.6000000015"/>
        <n v="9001162.7999999989"/>
        <n v="9000986"/>
        <n v="9001070.4000000004"/>
        <n v="9001168.5999999996"/>
        <n v="9000975.2000000011"/>
        <n v="9000996.1999999993"/>
        <n v="9000987"/>
        <n v="9001086.1999999993"/>
        <n v="9001291.1999999993"/>
        <n v="9000989.7999999989"/>
        <n v="9000977.5999999996"/>
        <n v="9001027.3999999985"/>
        <n v="9000997.4000000004"/>
        <n v="9001311"/>
        <n v="9001100.3999999985"/>
        <n v="9001108.4000000004"/>
        <n v="9000941.2000000011"/>
        <n v="9001091.7999999989"/>
        <n v="9001080.4000000004"/>
        <n v="9000864.1999999993"/>
        <n v="9000955"/>
        <n v="9001226.8000000007"/>
        <n v="12002124.6"/>
        <n v="12001285.800000001"/>
        <n v="12001788.800000001"/>
        <n v="12001078.6"/>
        <n v="12001362.4"/>
        <n v="12001222.6"/>
        <n v="12000828.4"/>
        <n v="12000944.600000001"/>
        <n v="12001162.799999999"/>
        <n v="12000986"/>
        <n v="12001070.4"/>
        <n v="12001168.6"/>
        <n v="12000975.200000001"/>
        <n v="12000996.199999999"/>
        <n v="12000987"/>
        <n v="12001086.199999999"/>
        <n v="12001291.199999999"/>
        <n v="12000989.799999999"/>
        <n v="12000977.6"/>
        <n v="12001027.399999999"/>
        <n v="12000997.4"/>
        <n v="12001311"/>
        <n v="12001100.399999999"/>
        <n v="12001108.4"/>
        <n v="12000941.200000001"/>
        <n v="12001091.799999999"/>
        <n v="12001080.4"/>
        <n v="12000864.199999999"/>
        <n v="12000955"/>
        <n v="12001226.800000001"/>
        <n v="15002124.6"/>
        <n v="15001285.800000001"/>
        <n v="15001788.800000001"/>
        <n v="15001078.6"/>
        <n v="15001362.4"/>
        <n v="15001222.6"/>
        <n v="15000828.4"/>
        <n v="15000944.600000001"/>
        <n v="15001162.799999999"/>
        <n v="15000986"/>
        <n v="15001070.4"/>
        <n v="15001168.6"/>
        <n v="15000975.200000001"/>
        <n v="15000996.199999999"/>
        <n v="15000987"/>
        <n v="15001086.199999999"/>
        <n v="15001291.199999999"/>
        <n v="15000989.799999999"/>
        <n v="15000977.6"/>
        <n v="15001027.399999999"/>
        <n v="15000997.4"/>
        <n v="15001311"/>
        <n v="15001100.399999999"/>
        <n v="15001108.4"/>
        <n v="15000941.200000001"/>
        <n v="15001091.799999999"/>
        <n v="15001080.4"/>
        <n v="15000864.199999999"/>
        <n v="15000955"/>
        <n v="15001226.800000001"/>
        <n v="18002124.600000001"/>
        <n v="18001285.800000001"/>
        <n v="18001788.800000001"/>
        <n v="18001078.599999998"/>
        <n v="18001362.399999999"/>
        <n v="18001222.600000001"/>
        <n v="18000828.399999999"/>
        <n v="18000944.600000001"/>
        <n v="18001162.800000001"/>
        <n v="18000986"/>
        <n v="18001070.399999999"/>
        <n v="18001168.600000001"/>
        <n v="18000975.199999999"/>
        <n v="18000996.199999999"/>
        <n v="18000987"/>
        <n v="18001086.199999999"/>
        <n v="18001291.199999999"/>
        <n v="18000989.800000001"/>
        <n v="18000977.600000001"/>
        <n v="18001027.399999999"/>
        <n v="18000997.400000002"/>
        <n v="18001311"/>
        <n v="18001100.399999999"/>
        <n v="18001108.400000002"/>
        <n v="18000941.199999999"/>
        <n v="18001091.800000001"/>
        <n v="18001080.400000002"/>
        <n v="18000864.199999999"/>
        <n v="18000955"/>
        <n v="18001226.800000001"/>
        <n v="15441636.999999899"/>
        <n v="17810238"/>
        <n v="14346366.000000199"/>
        <n v="25822379.999999601"/>
        <n v="16290602"/>
        <n v="13786780.0000004"/>
        <n v="18465159.999999698"/>
        <n v="14305629.999999801"/>
        <n v="13982778.999999899"/>
        <n v="13452824.999999801"/>
        <n v="9974625.0000002906"/>
        <n v="15242497.000000199"/>
        <n v="21147395.999999799"/>
        <n v="21068193.999999899"/>
        <n v="15008850.000000199"/>
        <n v="22053505.000000302"/>
        <n v="13412973"/>
        <n v="15610036"/>
        <n v="19703787.999999799"/>
        <n v="23109526.000000201"/>
        <n v="19104925.000000101"/>
        <n v="21941928.000000201"/>
        <n v="15326199.000000101"/>
        <n v="14634312.000000101"/>
        <n v="19584839.000000101"/>
        <n v="14666980.999999899"/>
        <n v="18820919.000000201"/>
        <n v="21756133.000000302"/>
        <n v="23521434.000000201"/>
        <n v="14800623.000000101"/>
      </sharedItems>
    </cacheField>
    <cacheField name="Optimal" numFmtId="0">
      <sharedItems containsBlank="1" count="3">
        <s v="Y"/>
        <s v="N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33">
  <r>
    <n v="1"/>
    <x v="0"/>
    <x v="0"/>
    <n v="2"/>
    <n v="1"/>
    <x v="0"/>
    <n v="372.80000000024"/>
    <x v="0"/>
    <n v="12162.9999999993"/>
    <n v="1000"/>
    <n v="20"/>
    <x v="0"/>
    <n v="111346.37"/>
    <x v="0"/>
    <x v="0"/>
  </r>
  <r>
    <n v="2"/>
    <x v="0"/>
    <x v="0"/>
    <n v="2"/>
    <n v="2"/>
    <x v="0"/>
    <n v="392.199999999932"/>
    <x v="0"/>
    <n v="19805.999999999101"/>
    <n v="1000"/>
    <n v="20"/>
    <x v="0"/>
    <n v="103425.97"/>
    <x v="1"/>
    <x v="0"/>
  </r>
  <r>
    <n v="3"/>
    <x v="0"/>
    <x v="0"/>
    <n v="2"/>
    <n v="3"/>
    <x v="0"/>
    <n v="404.80000000044902"/>
    <x v="0"/>
    <n v="20533.0000000004"/>
    <n v="1000"/>
    <n v="20"/>
    <x v="0"/>
    <n v="110865.97"/>
    <x v="2"/>
    <x v="0"/>
  </r>
  <r>
    <n v="4"/>
    <x v="0"/>
    <x v="0"/>
    <n v="3"/>
    <n v="1"/>
    <x v="0"/>
    <n v="328.60000000027901"/>
    <x v="0"/>
    <n v="21143.9999999996"/>
    <n v="1000"/>
    <n v="20"/>
    <x v="0"/>
    <n v="105226.37"/>
    <x v="3"/>
    <x v="0"/>
  </r>
  <r>
    <n v="5"/>
    <x v="0"/>
    <x v="0"/>
    <n v="3"/>
    <n v="2"/>
    <x v="0"/>
    <n v="253.600000000276"/>
    <x v="0"/>
    <n v="20588.000000000098"/>
    <n v="1000"/>
    <n v="20"/>
    <x v="0"/>
    <n v="108466.77"/>
    <x v="4"/>
    <x v="0"/>
  </r>
  <r>
    <n v="6"/>
    <x v="0"/>
    <x v="0"/>
    <n v="3"/>
    <n v="3"/>
    <x v="0"/>
    <n v="288.20000000067103"/>
    <x v="0"/>
    <n v="31807.0000000006"/>
    <n v="1000"/>
    <n v="20"/>
    <x v="0"/>
    <n v="94506.37"/>
    <x v="5"/>
    <x v="0"/>
  </r>
  <r>
    <n v="7"/>
    <x v="0"/>
    <x v="1"/>
    <n v="2"/>
    <n v="1"/>
    <x v="0"/>
    <n v="262.99999999999102"/>
    <x v="0"/>
    <n v="19309.999999999101"/>
    <n v="1000"/>
    <n v="20"/>
    <x v="0"/>
    <n v="111006.37"/>
    <x v="6"/>
    <x v="0"/>
  </r>
  <r>
    <n v="8"/>
    <x v="0"/>
    <x v="1"/>
    <n v="2"/>
    <n v="2"/>
    <x v="0"/>
    <n v="285.999999999831"/>
    <x v="0"/>
    <n v="44251.000000000902"/>
    <n v="1000"/>
    <n v="20"/>
    <x v="0"/>
    <n v="109807.17"/>
    <x v="7"/>
    <x v="0"/>
  </r>
  <r>
    <n v="9"/>
    <x v="0"/>
    <x v="1"/>
    <n v="2"/>
    <n v="3"/>
    <x v="0"/>
    <n v="248.399999999904"/>
    <x v="0"/>
    <n v="40224.000000000298"/>
    <n v="1000"/>
    <n v="20"/>
    <x v="0"/>
    <n v="100885.97"/>
    <x v="8"/>
    <x v="0"/>
  </r>
  <r>
    <n v="10"/>
    <x v="0"/>
    <x v="1"/>
    <n v="3"/>
    <n v="1"/>
    <x v="0"/>
    <n v="246.20000000012999"/>
    <x v="0"/>
    <n v="36633.000000000102"/>
    <n v="1000"/>
    <n v="20"/>
    <x v="0"/>
    <n v="149366.37"/>
    <x v="9"/>
    <x v="0"/>
  </r>
  <r>
    <n v="11"/>
    <x v="0"/>
    <x v="1"/>
    <n v="3"/>
    <n v="2"/>
    <x v="0"/>
    <n v="291.60000000025798"/>
    <x v="0"/>
    <n v="45753.999999998698"/>
    <n v="1000"/>
    <n v="20"/>
    <x v="0"/>
    <n v="101265.97"/>
    <x v="10"/>
    <x v="0"/>
  </r>
  <r>
    <n v="12"/>
    <x v="0"/>
    <x v="1"/>
    <n v="3"/>
    <n v="3"/>
    <x v="0"/>
    <n v="221.79999999991699"/>
    <x v="0"/>
    <n v="86401.000000000393"/>
    <n v="1000"/>
    <n v="20"/>
    <x v="0"/>
    <n v="117465.97"/>
    <x v="11"/>
    <x v="1"/>
  </r>
  <r>
    <n v="13"/>
    <x v="0"/>
    <x v="1"/>
    <n v="2"/>
    <n v="1"/>
    <x v="0"/>
    <n v="149.60000000030499"/>
    <x v="0"/>
    <n v="15811.0000000011"/>
    <n v="1000"/>
    <n v="20"/>
    <x v="0"/>
    <n v="98826.37"/>
    <x v="12"/>
    <x v="0"/>
  </r>
  <r>
    <n v="14"/>
    <x v="0"/>
    <x v="1"/>
    <n v="2"/>
    <n v="2"/>
    <x v="0"/>
    <n v="167.19999999992299"/>
    <x v="0"/>
    <n v="36612.999999999098"/>
    <n v="1000"/>
    <n v="20"/>
    <x v="0"/>
    <n v="109546.37"/>
    <x v="13"/>
    <x v="0"/>
  </r>
  <r>
    <n v="15"/>
    <x v="0"/>
    <x v="1"/>
    <n v="2"/>
    <n v="3"/>
    <x v="0"/>
    <n v="168.999999999642"/>
    <x v="0"/>
    <n v="31031.000000000498"/>
    <n v="1000"/>
    <n v="20"/>
    <x v="0"/>
    <n v="106086.37"/>
    <x v="14"/>
    <x v="0"/>
  </r>
  <r>
    <n v="16"/>
    <x v="0"/>
    <x v="1"/>
    <n v="3"/>
    <n v="1"/>
    <x v="0"/>
    <n v="240.00000000050699"/>
    <x v="0"/>
    <n v="33037.000000000196"/>
    <n v="1000"/>
    <n v="20"/>
    <x v="0"/>
    <n v="103086.37"/>
    <x v="15"/>
    <x v="0"/>
  </r>
  <r>
    <n v="17"/>
    <x v="0"/>
    <x v="1"/>
    <n v="3"/>
    <n v="2"/>
    <x v="0"/>
    <n v="214.20000000063001"/>
    <x v="0"/>
    <n v="36053.0000000008"/>
    <n v="1000"/>
    <n v="20"/>
    <x v="0"/>
    <n v="114226.77"/>
    <x v="16"/>
    <x v="0"/>
  </r>
  <r>
    <n v="18"/>
    <x v="0"/>
    <x v="1"/>
    <n v="3"/>
    <n v="3"/>
    <x v="0"/>
    <n v="297.99999999973198"/>
    <x v="0"/>
    <n v="70577.000000000102"/>
    <n v="1000"/>
    <n v="20"/>
    <x v="0"/>
    <n v="118306.37"/>
    <x v="17"/>
    <x v="0"/>
  </r>
  <r>
    <n v="19"/>
    <x v="0"/>
    <x v="2"/>
    <n v="2"/>
    <n v="1"/>
    <x v="0"/>
    <n v="138.60000000001099"/>
    <x v="0"/>
    <n v="26892.000000000098"/>
    <n v="1000"/>
    <n v="20"/>
    <x v="0"/>
    <n v="112286.77"/>
    <x v="18"/>
    <x v="0"/>
  </r>
  <r>
    <n v="20"/>
    <x v="0"/>
    <x v="2"/>
    <n v="2"/>
    <n v="2"/>
    <x v="0"/>
    <n v="176.599999999993"/>
    <x v="0"/>
    <n v="66229.999999999098"/>
    <n v="1000"/>
    <n v="20"/>
    <x v="0"/>
    <n v="99585.97"/>
    <x v="19"/>
    <x v="0"/>
  </r>
  <r>
    <n v="21"/>
    <x v="0"/>
    <x v="2"/>
    <n v="2"/>
    <n v="3"/>
    <x v="0"/>
    <n v="167.000000000428"/>
    <x v="0"/>
    <n v="90562.000000000204"/>
    <n v="1000"/>
    <n v="20"/>
    <x v="0"/>
    <n v="102966.37"/>
    <x v="20"/>
    <x v="0"/>
  </r>
  <r>
    <n v="22"/>
    <x v="0"/>
    <x v="2"/>
    <n v="3"/>
    <n v="1"/>
    <x v="0"/>
    <n v="168.59999999994099"/>
    <x v="0"/>
    <n v="66720.000000000102"/>
    <n v="1000"/>
    <n v="20"/>
    <x v="0"/>
    <n v="100086.37"/>
    <x v="21"/>
    <x v="0"/>
  </r>
  <r>
    <n v="23"/>
    <x v="0"/>
    <x v="2"/>
    <n v="3"/>
    <n v="2"/>
    <x v="0"/>
    <n v="169.399999999698"/>
    <x v="0"/>
    <n v="74979.0000000008"/>
    <n v="1000"/>
    <n v="20"/>
    <x v="0"/>
    <n v="116006.77"/>
    <x v="22"/>
    <x v="0"/>
  </r>
  <r>
    <n v="24"/>
    <x v="0"/>
    <x v="2"/>
    <n v="3"/>
    <n v="3"/>
    <x v="0"/>
    <n v="231.99999999974401"/>
    <x v="0"/>
    <n v="208974.99999999901"/>
    <n v="1000"/>
    <n v="20"/>
    <x v="0"/>
    <n v="109666.77"/>
    <x v="23"/>
    <x v="0"/>
  </r>
  <r>
    <n v="25"/>
    <x v="0"/>
    <x v="3"/>
    <n v="3"/>
    <n v="1"/>
    <x v="0"/>
    <n v="206.40000000007299"/>
    <x v="0"/>
    <n v="130214.000000001"/>
    <n v="1000"/>
    <n v="20"/>
    <x v="0"/>
    <n v="105706.37"/>
    <x v="24"/>
    <x v="0"/>
  </r>
  <r>
    <n v="26"/>
    <x v="0"/>
    <x v="3"/>
    <n v="3"/>
    <n v="2"/>
    <x v="0"/>
    <n v="197.600000000264"/>
    <x v="0"/>
    <n v="151166"/>
    <n v="1000"/>
    <n v="20"/>
    <x v="0"/>
    <n v="153966.37"/>
    <x v="25"/>
    <x v="0"/>
  </r>
  <r>
    <n v="27"/>
    <x v="0"/>
    <x v="3"/>
    <n v="3"/>
    <n v="3"/>
    <x v="0"/>
    <n v="270.59999999963202"/>
    <x v="0"/>
    <n v="369866"/>
    <n v="1000"/>
    <n v="20"/>
    <x v="0"/>
    <n v="124266.77"/>
    <x v="26"/>
    <x v="0"/>
  </r>
  <r>
    <n v="1"/>
    <x v="0"/>
    <x v="0"/>
    <n v="2"/>
    <n v="1"/>
    <x v="0"/>
    <n v="372.80000000024"/>
    <x v="1"/>
    <n v="5699.9999999902702"/>
    <n v="1000"/>
    <n v="20"/>
    <x v="0"/>
    <n v="85228.41"/>
    <x v="27"/>
    <x v="0"/>
  </r>
  <r>
    <n v="2"/>
    <x v="0"/>
    <x v="0"/>
    <n v="2"/>
    <n v="2"/>
    <x v="0"/>
    <n v="392.199999999932"/>
    <x v="1"/>
    <n v="13064.000000042601"/>
    <n v="1000"/>
    <n v="20"/>
    <x v="0"/>
    <n v="96748.01"/>
    <x v="28"/>
    <x v="0"/>
  </r>
  <r>
    <n v="3"/>
    <x v="0"/>
    <x v="0"/>
    <n v="2"/>
    <n v="3"/>
    <x v="0"/>
    <n v="404.80000000044902"/>
    <x v="1"/>
    <n v="13018.999999985699"/>
    <n v="1000"/>
    <n v="20"/>
    <x v="0"/>
    <n v="110147.61"/>
    <x v="29"/>
    <x v="0"/>
  </r>
  <r>
    <n v="4"/>
    <x v="0"/>
    <x v="0"/>
    <n v="3"/>
    <n v="1"/>
    <x v="0"/>
    <n v="328.60000000027901"/>
    <x v="1"/>
    <n v="12460.999999973399"/>
    <n v="1000"/>
    <n v="20"/>
    <x v="0"/>
    <n v="110828.01"/>
    <x v="30"/>
    <x v="0"/>
  </r>
  <r>
    <n v="5"/>
    <x v="0"/>
    <x v="0"/>
    <n v="3"/>
    <n v="2"/>
    <x v="0"/>
    <n v="253.600000000276"/>
    <x v="1"/>
    <n v="11733.999999989899"/>
    <n v="1000"/>
    <n v="20"/>
    <x v="0"/>
    <n v="97308.81"/>
    <x v="31"/>
    <x v="0"/>
  </r>
  <r>
    <n v="6"/>
    <x v="0"/>
    <x v="0"/>
    <n v="3"/>
    <n v="3"/>
    <x v="0"/>
    <n v="288.20000000067103"/>
    <x v="1"/>
    <n v="17467.000000010601"/>
    <n v="1000"/>
    <n v="20"/>
    <x v="0"/>
    <n v="98907.61"/>
    <x v="32"/>
    <x v="0"/>
  </r>
  <r>
    <n v="7"/>
    <x v="0"/>
    <x v="1"/>
    <n v="2"/>
    <n v="1"/>
    <x v="0"/>
    <n v="262.99999999999102"/>
    <x v="1"/>
    <n v="9952.99999999588"/>
    <n v="1000"/>
    <n v="20"/>
    <x v="0"/>
    <n v="94508.01"/>
    <x v="33"/>
    <x v="0"/>
  </r>
  <r>
    <n v="8"/>
    <x v="0"/>
    <x v="1"/>
    <n v="2"/>
    <n v="2"/>
    <x v="0"/>
    <n v="285.999999999831"/>
    <x v="1"/>
    <n v="15918.9999999967"/>
    <n v="1000"/>
    <n v="20"/>
    <x v="0"/>
    <n v="95427.21"/>
    <x v="34"/>
    <x v="0"/>
  </r>
  <r>
    <n v="9"/>
    <x v="0"/>
    <x v="1"/>
    <n v="2"/>
    <n v="3"/>
    <x v="0"/>
    <n v="248.399999999904"/>
    <x v="1"/>
    <n v="40880.0000000156"/>
    <n v="1000"/>
    <n v="20"/>
    <x v="0"/>
    <n v="97387.61"/>
    <x v="35"/>
    <x v="0"/>
  </r>
  <r>
    <n v="10"/>
    <x v="0"/>
    <x v="1"/>
    <n v="3"/>
    <n v="1"/>
    <x v="0"/>
    <n v="246.20000000012999"/>
    <x v="1"/>
    <n v="26859.000000001699"/>
    <n v="1000"/>
    <n v="20"/>
    <x v="0"/>
    <n v="96227.61"/>
    <x v="36"/>
    <x v="0"/>
  </r>
  <r>
    <n v="11"/>
    <x v="0"/>
    <x v="1"/>
    <n v="3"/>
    <n v="2"/>
    <x v="0"/>
    <n v="291.60000000025798"/>
    <x v="1"/>
    <n v="35631.9999999641"/>
    <n v="1000"/>
    <n v="20"/>
    <x v="0"/>
    <n v="104227.61"/>
    <x v="37"/>
    <x v="0"/>
  </r>
  <r>
    <n v="12"/>
    <x v="0"/>
    <x v="1"/>
    <n v="3"/>
    <n v="3"/>
    <x v="0"/>
    <n v="221.79999999991699"/>
    <x v="1"/>
    <n v="45082.999999976899"/>
    <n v="1000"/>
    <n v="20"/>
    <x v="0"/>
    <n v="100827.61"/>
    <x v="38"/>
    <x v="0"/>
  </r>
  <r>
    <n v="13"/>
    <x v="0"/>
    <x v="1"/>
    <n v="2"/>
    <n v="1"/>
    <x v="0"/>
    <n v="149.60000000030499"/>
    <x v="1"/>
    <n v="7323.9999999827896"/>
    <n v="1000"/>
    <n v="20"/>
    <x v="0"/>
    <n v="91707.61"/>
    <x v="39"/>
    <x v="0"/>
  </r>
  <r>
    <n v="14"/>
    <x v="0"/>
    <x v="1"/>
    <n v="2"/>
    <n v="2"/>
    <x v="0"/>
    <n v="167.19999999992299"/>
    <x v="1"/>
    <n v="16728.000000000498"/>
    <n v="1000"/>
    <n v="20"/>
    <x v="0"/>
    <n v="97748.01"/>
    <x v="40"/>
    <x v="0"/>
  </r>
  <r>
    <n v="15"/>
    <x v="0"/>
    <x v="1"/>
    <n v="2"/>
    <n v="3"/>
    <x v="0"/>
    <n v="168.999999999642"/>
    <x v="1"/>
    <n v="35496.000000023298"/>
    <n v="1000"/>
    <n v="20"/>
    <x v="0"/>
    <n v="109188.41"/>
    <x v="41"/>
    <x v="0"/>
  </r>
  <r>
    <n v="16"/>
    <x v="0"/>
    <x v="1"/>
    <n v="3"/>
    <n v="1"/>
    <x v="0"/>
    <n v="240.00000000050699"/>
    <x v="1"/>
    <n v="29365.999999981799"/>
    <n v="1000"/>
    <n v="20"/>
    <x v="0"/>
    <n v="112428.01"/>
    <x v="42"/>
    <x v="0"/>
  </r>
  <r>
    <n v="17"/>
    <x v="0"/>
    <x v="1"/>
    <n v="3"/>
    <n v="2"/>
    <x v="0"/>
    <n v="214.20000000063001"/>
    <x v="1"/>
    <n v="22088.999999994001"/>
    <n v="1000"/>
    <n v="20"/>
    <x v="0"/>
    <n v="98748.01"/>
    <x v="43"/>
    <x v="0"/>
  </r>
  <r>
    <n v="18"/>
    <x v="0"/>
    <x v="1"/>
    <n v="3"/>
    <n v="3"/>
    <x v="0"/>
    <n v="297.99999999973198"/>
    <x v="1"/>
    <n v="54940.999999985303"/>
    <n v="1000"/>
    <n v="20"/>
    <x v="0"/>
    <n v="98387.61"/>
    <x v="44"/>
    <x v="0"/>
  </r>
  <r>
    <n v="19"/>
    <x v="0"/>
    <x v="2"/>
    <n v="2"/>
    <n v="1"/>
    <x v="0"/>
    <n v="138.60000000001099"/>
    <x v="1"/>
    <n v="9796.99999999184"/>
    <n v="1000"/>
    <n v="20"/>
    <x v="0"/>
    <n v="95787.61"/>
    <x v="45"/>
    <x v="0"/>
  </r>
  <r>
    <n v="20"/>
    <x v="0"/>
    <x v="2"/>
    <n v="2"/>
    <n v="2"/>
    <x v="0"/>
    <n v="176.599999999993"/>
    <x v="1"/>
    <n v="73340.000000030195"/>
    <n v="1000"/>
    <n v="20"/>
    <x v="0"/>
    <n v="124867.61"/>
    <x v="46"/>
    <x v="0"/>
  </r>
  <r>
    <n v="21"/>
    <x v="0"/>
    <x v="2"/>
    <n v="2"/>
    <n v="3"/>
    <x v="0"/>
    <n v="167.000000000428"/>
    <x v="1"/>
    <n v="33509.000000037799"/>
    <n v="1000"/>
    <n v="20"/>
    <x v="0"/>
    <n v="99348.41"/>
    <x v="47"/>
    <x v="0"/>
  </r>
  <r>
    <n v="22"/>
    <x v="0"/>
    <x v="2"/>
    <n v="3"/>
    <n v="1"/>
    <x v="0"/>
    <n v="168.59999999994099"/>
    <x v="1"/>
    <n v="43980.0000000332"/>
    <n v="1000"/>
    <n v="20"/>
    <x v="0"/>
    <n v="111228.41"/>
    <x v="48"/>
    <x v="0"/>
  </r>
  <r>
    <n v="23"/>
    <x v="0"/>
    <x v="2"/>
    <n v="3"/>
    <n v="2"/>
    <x v="0"/>
    <n v="169.399999999698"/>
    <x v="1"/>
    <n v="48980.000000028696"/>
    <n v="1000"/>
    <n v="20"/>
    <x v="0"/>
    <n v="98067.21"/>
    <x v="49"/>
    <x v="0"/>
  </r>
  <r>
    <n v="24"/>
    <x v="0"/>
    <x v="2"/>
    <n v="3"/>
    <n v="3"/>
    <x v="0"/>
    <n v="231.99999999974401"/>
    <x v="1"/>
    <n v="93840.000000000204"/>
    <n v="1000"/>
    <n v="20"/>
    <x v="0"/>
    <n v="102228.01"/>
    <x v="50"/>
    <x v="1"/>
  </r>
  <r>
    <n v="25"/>
    <x v="0"/>
    <x v="3"/>
    <n v="3"/>
    <n v="1"/>
    <x v="0"/>
    <n v="206.40000000007299"/>
    <x v="1"/>
    <n v="77981.999999963096"/>
    <n v="1000"/>
    <n v="20"/>
    <x v="0"/>
    <n v="99187.61"/>
    <x v="51"/>
    <x v="0"/>
  </r>
  <r>
    <n v="26"/>
    <x v="0"/>
    <x v="3"/>
    <n v="3"/>
    <n v="2"/>
    <x v="0"/>
    <n v="197.600000000264"/>
    <x v="1"/>
    <n v="101684.00000003399"/>
    <n v="1000"/>
    <n v="20"/>
    <x v="0"/>
    <n v="98027.61"/>
    <x v="52"/>
    <x v="0"/>
  </r>
  <r>
    <n v="27"/>
    <x v="0"/>
    <x v="3"/>
    <n v="3"/>
    <n v="3"/>
    <x v="0"/>
    <n v="270.59999999963202"/>
    <x v="1"/>
    <n v="158931.99999999299"/>
    <n v="1000"/>
    <n v="20"/>
    <x v="0"/>
    <n v="129068.01"/>
    <x v="53"/>
    <x v="1"/>
  </r>
  <r>
    <n v="1"/>
    <x v="0"/>
    <x v="0"/>
    <n v="2"/>
    <n v="1"/>
    <x v="0"/>
    <n v="372.80000000024"/>
    <x v="2"/>
    <n v="0"/>
    <n v="0"/>
    <n v="0"/>
    <x v="1"/>
    <n v="48419"/>
    <x v="54"/>
    <x v="0"/>
  </r>
  <r>
    <n v="2"/>
    <x v="0"/>
    <x v="0"/>
    <n v="2"/>
    <n v="2"/>
    <x v="0"/>
    <n v="392.199999999932"/>
    <x v="2"/>
    <n v="0"/>
    <n v="0"/>
    <n v="0"/>
    <x v="1"/>
    <n v="131529"/>
    <x v="55"/>
    <x v="0"/>
  </r>
  <r>
    <n v="3"/>
    <x v="0"/>
    <x v="0"/>
    <n v="2"/>
    <n v="3"/>
    <x v="0"/>
    <n v="404.80000000044902"/>
    <x v="2"/>
    <n v="0"/>
    <n v="0"/>
    <n v="0"/>
    <x v="1"/>
    <n v="0"/>
    <x v="56"/>
    <x v="0"/>
  </r>
  <r>
    <n v="4"/>
    <x v="0"/>
    <x v="0"/>
    <n v="3"/>
    <n v="1"/>
    <x v="0"/>
    <n v="328.60000000027901"/>
    <x v="2"/>
    <n v="0"/>
    <n v="0"/>
    <n v="0"/>
    <x v="1"/>
    <n v="65405"/>
    <x v="57"/>
    <x v="0"/>
  </r>
  <r>
    <n v="5"/>
    <x v="0"/>
    <x v="0"/>
    <n v="3"/>
    <n v="2"/>
    <x v="0"/>
    <n v="253.600000000276"/>
    <x v="2"/>
    <n v="0"/>
    <n v="0"/>
    <n v="0"/>
    <x v="1"/>
    <n v="82660"/>
    <x v="58"/>
    <x v="0"/>
  </r>
  <r>
    <n v="6"/>
    <x v="0"/>
    <x v="0"/>
    <n v="3"/>
    <n v="3"/>
    <x v="0"/>
    <n v="288.20000000067103"/>
    <x v="2"/>
    <n v="0"/>
    <n v="0"/>
    <n v="0"/>
    <x v="1"/>
    <n v="84307"/>
    <x v="59"/>
    <x v="0"/>
  </r>
  <r>
    <n v="7"/>
    <x v="0"/>
    <x v="1"/>
    <n v="2"/>
    <n v="1"/>
    <x v="0"/>
    <n v="262.99999999999102"/>
    <x v="2"/>
    <n v="0"/>
    <n v="0"/>
    <n v="0"/>
    <x v="1"/>
    <n v="97598"/>
    <x v="60"/>
    <x v="0"/>
  </r>
  <r>
    <n v="8"/>
    <x v="0"/>
    <x v="1"/>
    <n v="2"/>
    <n v="2"/>
    <x v="0"/>
    <n v="285.999999999831"/>
    <x v="2"/>
    <n v="0"/>
    <n v="0"/>
    <n v="0"/>
    <x v="1"/>
    <n v="100282"/>
    <x v="61"/>
    <x v="0"/>
  </r>
  <r>
    <n v="9"/>
    <x v="0"/>
    <x v="1"/>
    <n v="2"/>
    <n v="3"/>
    <x v="0"/>
    <n v="248.399999999904"/>
    <x v="2"/>
    <n v="0"/>
    <n v="0"/>
    <n v="0"/>
    <x v="1"/>
    <n v="85068"/>
    <x v="62"/>
    <x v="0"/>
  </r>
  <r>
    <n v="10"/>
    <x v="0"/>
    <x v="1"/>
    <n v="3"/>
    <n v="1"/>
    <x v="0"/>
    <n v="246.20000000012999"/>
    <x v="2"/>
    <n v="0"/>
    <n v="0"/>
    <n v="0"/>
    <x v="1"/>
    <n v="116831"/>
    <x v="63"/>
    <x v="0"/>
  </r>
  <r>
    <n v="11"/>
    <x v="0"/>
    <x v="1"/>
    <n v="3"/>
    <n v="2"/>
    <x v="0"/>
    <n v="291.60000000025798"/>
    <x v="2"/>
    <n v="0"/>
    <n v="0"/>
    <n v="0"/>
    <x v="1"/>
    <n v="119547"/>
    <x v="64"/>
    <x v="0"/>
  </r>
  <r>
    <n v="12"/>
    <x v="0"/>
    <x v="1"/>
    <n v="3"/>
    <n v="3"/>
    <x v="0"/>
    <n v="221.79999999991699"/>
    <x v="2"/>
    <n v="0"/>
    <n v="0"/>
    <n v="0"/>
    <x v="1"/>
    <n v="104895"/>
    <x v="65"/>
    <x v="0"/>
  </r>
  <r>
    <n v="13"/>
    <x v="0"/>
    <x v="1"/>
    <n v="2"/>
    <n v="1"/>
    <x v="0"/>
    <n v="149.60000000030499"/>
    <x v="2"/>
    <n v="0"/>
    <n v="0"/>
    <n v="0"/>
    <x v="1"/>
    <n v="81253"/>
    <x v="66"/>
    <x v="0"/>
  </r>
  <r>
    <n v="14"/>
    <x v="0"/>
    <x v="1"/>
    <n v="2"/>
    <n v="2"/>
    <x v="0"/>
    <n v="167.19999999992299"/>
    <x v="2"/>
    <n v="0"/>
    <n v="0"/>
    <n v="0"/>
    <x v="1"/>
    <n v="82902"/>
    <x v="67"/>
    <x v="0"/>
  </r>
  <r>
    <n v="15"/>
    <x v="0"/>
    <x v="1"/>
    <n v="2"/>
    <n v="3"/>
    <x v="0"/>
    <n v="168.999999999642"/>
    <x v="2"/>
    <n v="0"/>
    <n v="0"/>
    <n v="0"/>
    <x v="1"/>
    <n v="116583"/>
    <x v="68"/>
    <x v="0"/>
  </r>
  <r>
    <n v="16"/>
    <x v="0"/>
    <x v="1"/>
    <n v="3"/>
    <n v="1"/>
    <x v="0"/>
    <n v="240.00000000050699"/>
    <x v="2"/>
    <n v="0"/>
    <n v="0"/>
    <n v="0"/>
    <x v="1"/>
    <n v="100943"/>
    <x v="69"/>
    <x v="0"/>
  </r>
  <r>
    <n v="17"/>
    <x v="0"/>
    <x v="1"/>
    <n v="3"/>
    <n v="2"/>
    <x v="0"/>
    <n v="214.20000000063001"/>
    <x v="2"/>
    <n v="0"/>
    <n v="0"/>
    <n v="0"/>
    <x v="1"/>
    <n v="50602"/>
    <x v="70"/>
    <x v="0"/>
  </r>
  <r>
    <n v="18"/>
    <x v="0"/>
    <x v="1"/>
    <n v="3"/>
    <n v="3"/>
    <x v="0"/>
    <n v="297.99999999973198"/>
    <x v="2"/>
    <n v="0"/>
    <n v="0"/>
    <n v="0"/>
    <x v="1"/>
    <n v="88714"/>
    <x v="71"/>
    <x v="0"/>
  </r>
  <r>
    <n v="19"/>
    <x v="0"/>
    <x v="2"/>
    <n v="2"/>
    <n v="1"/>
    <x v="0"/>
    <n v="138.60000000001099"/>
    <x v="2"/>
    <n v="0"/>
    <n v="0"/>
    <n v="0"/>
    <x v="1"/>
    <n v="149142"/>
    <x v="72"/>
    <x v="0"/>
  </r>
  <r>
    <n v="20"/>
    <x v="0"/>
    <x v="2"/>
    <n v="2"/>
    <n v="2"/>
    <x v="0"/>
    <n v="176.599999999993"/>
    <x v="2"/>
    <n v="0"/>
    <n v="0"/>
    <n v="0"/>
    <x v="1"/>
    <n v="102892"/>
    <x v="73"/>
    <x v="0"/>
  </r>
  <r>
    <n v="21"/>
    <x v="0"/>
    <x v="2"/>
    <n v="2"/>
    <n v="3"/>
    <x v="0"/>
    <n v="167.000000000428"/>
    <x v="2"/>
    <n v="0"/>
    <n v="0"/>
    <n v="0"/>
    <x v="1"/>
    <n v="101359"/>
    <x v="74"/>
    <x v="0"/>
  </r>
  <r>
    <n v="22"/>
    <x v="0"/>
    <x v="2"/>
    <n v="3"/>
    <n v="1"/>
    <x v="0"/>
    <n v="168.59999999994099"/>
    <x v="2"/>
    <n v="0"/>
    <n v="0"/>
    <n v="0"/>
    <x v="1"/>
    <n v="85173"/>
    <x v="75"/>
    <x v="0"/>
  </r>
  <r>
    <n v="23"/>
    <x v="0"/>
    <x v="2"/>
    <n v="3"/>
    <n v="2"/>
    <x v="0"/>
    <n v="169.399999999698"/>
    <x v="2"/>
    <n v="0"/>
    <n v="0"/>
    <n v="0"/>
    <x v="1"/>
    <n v="87243"/>
    <x v="76"/>
    <x v="0"/>
  </r>
  <r>
    <n v="24"/>
    <x v="0"/>
    <x v="2"/>
    <n v="3"/>
    <n v="3"/>
    <x v="0"/>
    <n v="231.99999999974401"/>
    <x v="2"/>
    <n v="0"/>
    <n v="0"/>
    <n v="0"/>
    <x v="1"/>
    <n v="91260"/>
    <x v="77"/>
    <x v="0"/>
  </r>
  <r>
    <n v="25"/>
    <x v="0"/>
    <x v="3"/>
    <n v="3"/>
    <n v="1"/>
    <x v="0"/>
    <n v="206.40000000007299"/>
    <x v="2"/>
    <n v="0"/>
    <n v="0"/>
    <n v="0"/>
    <x v="1"/>
    <n v="88569"/>
    <x v="78"/>
    <x v="0"/>
  </r>
  <r>
    <n v="26"/>
    <x v="0"/>
    <x v="3"/>
    <n v="3"/>
    <n v="2"/>
    <x v="0"/>
    <n v="197.600000000264"/>
    <x v="2"/>
    <n v="0"/>
    <n v="0"/>
    <n v="0"/>
    <x v="1"/>
    <n v="105524"/>
    <x v="79"/>
    <x v="0"/>
  </r>
  <r>
    <n v="27"/>
    <x v="0"/>
    <x v="3"/>
    <n v="3"/>
    <n v="3"/>
    <x v="0"/>
    <n v="270.59999999963202"/>
    <x v="2"/>
    <n v="0"/>
    <n v="0"/>
    <n v="0"/>
    <x v="1"/>
    <n v="112389"/>
    <x v="80"/>
    <x v="0"/>
  </r>
  <r>
    <n v="1"/>
    <x v="0"/>
    <x v="0"/>
    <n v="2"/>
    <n v="1"/>
    <x v="1"/>
    <n v="686.60000000022603"/>
    <x v="0"/>
    <n v="133155"/>
    <n v="2000"/>
    <n v="20"/>
    <x v="0"/>
    <n v="288805.57"/>
    <x v="81"/>
    <x v="0"/>
  </r>
  <r>
    <n v="2"/>
    <x v="0"/>
    <x v="0"/>
    <n v="2"/>
    <n v="2"/>
    <x v="1"/>
    <n v="595.39999999991301"/>
    <x v="0"/>
    <n v="199936.00000000099"/>
    <n v="2000"/>
    <n v="20"/>
    <x v="0"/>
    <n v="205245.97"/>
    <x v="82"/>
    <x v="1"/>
  </r>
  <r>
    <n v="3"/>
    <x v="0"/>
    <x v="0"/>
    <n v="2"/>
    <n v="3"/>
    <x v="1"/>
    <n v="510.39999999993302"/>
    <x v="0"/>
    <n v="165412"/>
    <n v="2000"/>
    <n v="20"/>
    <x v="0"/>
    <n v="268965.96999999997"/>
    <x v="83"/>
    <x v="1"/>
  </r>
  <r>
    <n v="4"/>
    <x v="0"/>
    <x v="0"/>
    <n v="3"/>
    <n v="1"/>
    <x v="1"/>
    <n v="455.79999999958397"/>
    <x v="0"/>
    <n v="162882"/>
    <n v="2000"/>
    <n v="20"/>
    <x v="0"/>
    <n v="290765.96999999997"/>
    <x v="84"/>
    <x v="1"/>
  </r>
  <r>
    <n v="5"/>
    <x v="0"/>
    <x v="0"/>
    <n v="3"/>
    <n v="2"/>
    <x v="1"/>
    <n v="514.60000000034302"/>
    <x v="0"/>
    <n v="141655.99999999901"/>
    <n v="2000"/>
    <n v="20"/>
    <x v="0"/>
    <n v="190805.97"/>
    <x v="85"/>
    <x v="1"/>
  </r>
  <r>
    <n v="6"/>
    <x v="0"/>
    <x v="0"/>
    <n v="3"/>
    <n v="3"/>
    <x v="1"/>
    <n v="535.59999999990305"/>
    <x v="0"/>
    <n v="373666"/>
    <n v="2000"/>
    <n v="20"/>
    <x v="0"/>
    <n v="295044.77"/>
    <x v="86"/>
    <x v="1"/>
  </r>
  <r>
    <n v="7"/>
    <x v="0"/>
    <x v="1"/>
    <n v="2"/>
    <n v="1"/>
    <x v="1"/>
    <n v="354.799999999855"/>
    <x v="0"/>
    <n v="163982.00000000099"/>
    <n v="2000"/>
    <n v="20"/>
    <x v="0"/>
    <n v="201045.57"/>
    <x v="87"/>
    <x v="0"/>
  </r>
  <r>
    <n v="8"/>
    <x v="0"/>
    <x v="1"/>
    <n v="2"/>
    <n v="2"/>
    <x v="1"/>
    <n v="408.79999999958699"/>
    <x v="0"/>
    <n v="405767.00000000099"/>
    <n v="2000"/>
    <n v="20"/>
    <x v="0"/>
    <n v="211365.97"/>
    <x v="88"/>
    <x v="1"/>
  </r>
  <r>
    <n v="9"/>
    <x v="0"/>
    <x v="1"/>
    <n v="2"/>
    <n v="3"/>
    <x v="1"/>
    <n v="315.400000000565"/>
    <x v="0"/>
    <n v="252100"/>
    <n v="2000"/>
    <n v="20"/>
    <x v="0"/>
    <n v="235403.97"/>
    <x v="89"/>
    <x v="1"/>
  </r>
  <r>
    <n v="10"/>
    <x v="0"/>
    <x v="1"/>
    <n v="3"/>
    <n v="1"/>
    <x v="1"/>
    <n v="303.20000000010299"/>
    <x v="0"/>
    <n v="297907"/>
    <n v="2000"/>
    <n v="20"/>
    <x v="0"/>
    <n v="227526.37"/>
    <x v="90"/>
    <x v="1"/>
  </r>
  <r>
    <n v="11"/>
    <x v="0"/>
    <x v="1"/>
    <n v="3"/>
    <n v="2"/>
    <x v="1"/>
    <n v="291.60000000025798"/>
    <x v="0"/>
    <n v="486182"/>
    <n v="2000"/>
    <n v="20"/>
    <x v="0"/>
    <n v="204844.77"/>
    <x v="91"/>
    <x v="1"/>
  </r>
  <r>
    <n v="12"/>
    <x v="0"/>
    <x v="1"/>
    <n v="3"/>
    <n v="3"/>
    <x v="1"/>
    <n v="339.79999999971301"/>
    <x v="0"/>
    <n v="514257.00000000099"/>
    <n v="2000"/>
    <n v="20"/>
    <x v="0"/>
    <n v="237645.57"/>
    <x v="92"/>
    <x v="1"/>
  </r>
  <r>
    <n v="13"/>
    <x v="0"/>
    <x v="1"/>
    <n v="2"/>
    <n v="1"/>
    <x v="1"/>
    <n v="225.19999999985899"/>
    <x v="0"/>
    <n v="231354.99999999901"/>
    <n v="2000"/>
    <n v="20"/>
    <x v="0"/>
    <n v="227726.37"/>
    <x v="93"/>
    <x v="0"/>
  </r>
  <r>
    <n v="14"/>
    <x v="0"/>
    <x v="1"/>
    <n v="2"/>
    <n v="2"/>
    <x v="1"/>
    <n v="285.80000000033601"/>
    <x v="0"/>
    <n v="254110.00000000099"/>
    <n v="2000"/>
    <n v="20"/>
    <x v="0"/>
    <n v="197965.57"/>
    <x v="94"/>
    <x v="1"/>
  </r>
  <r>
    <n v="15"/>
    <x v="0"/>
    <x v="1"/>
    <n v="2"/>
    <n v="3"/>
    <x v="1"/>
    <n v="273.80000000007999"/>
    <x v="0"/>
    <n v="343735.00000000099"/>
    <n v="2000"/>
    <n v="20"/>
    <x v="0"/>
    <n v="198165.57"/>
    <x v="95"/>
    <x v="1"/>
  </r>
  <r>
    <n v="16"/>
    <x v="0"/>
    <x v="1"/>
    <n v="3"/>
    <n v="1"/>
    <x v="1"/>
    <n v="261.80000000017901"/>
    <x v="0"/>
    <n v="356192.00000000198"/>
    <n v="2000"/>
    <n v="20"/>
    <x v="0"/>
    <n v="223526.37"/>
    <x v="96"/>
    <x v="1"/>
  </r>
  <r>
    <n v="17"/>
    <x v="0"/>
    <x v="1"/>
    <n v="3"/>
    <n v="2"/>
    <x v="1"/>
    <n v="255.000000001004"/>
    <x v="0"/>
    <n v="274740.00000000099"/>
    <n v="2000"/>
    <n v="20"/>
    <x v="0"/>
    <n v="230726.37"/>
    <x v="97"/>
    <x v="1"/>
  </r>
  <r>
    <n v="18"/>
    <x v="0"/>
    <x v="1"/>
    <n v="3"/>
    <n v="3"/>
    <x v="1"/>
    <n v="307.79999999950297"/>
    <x v="0"/>
    <n v="771308.99999999895"/>
    <n v="2000"/>
    <n v="20"/>
    <x v="0"/>
    <n v="270764.37"/>
    <x v="98"/>
    <x v="1"/>
  </r>
  <r>
    <n v="19"/>
    <x v="0"/>
    <x v="2"/>
    <n v="2"/>
    <n v="1"/>
    <x v="1"/>
    <n v="241.399999999459"/>
    <x v="0"/>
    <n v="274275.99999999697"/>
    <n v="2000"/>
    <n v="20"/>
    <x v="0"/>
    <n v="207166.37"/>
    <x v="99"/>
    <x v="0"/>
  </r>
  <r>
    <n v="20"/>
    <x v="0"/>
    <x v="2"/>
    <n v="2"/>
    <n v="2"/>
    <x v="1"/>
    <n v="301.59999999952402"/>
    <x v="0"/>
    <n v="556574.00000000105"/>
    <n v="2000"/>
    <n v="20"/>
    <x v="0"/>
    <n v="208166.37"/>
    <x v="100"/>
    <x v="1"/>
  </r>
  <r>
    <n v="21"/>
    <x v="0"/>
    <x v="2"/>
    <n v="2"/>
    <n v="3"/>
    <x v="1"/>
    <n v="295.000000000201"/>
    <x v="0"/>
    <n v="1036061"/>
    <n v="2000"/>
    <n v="20"/>
    <x v="0"/>
    <n v="209485.97"/>
    <x v="101"/>
    <x v="1"/>
  </r>
  <r>
    <n v="22"/>
    <x v="0"/>
    <x v="2"/>
    <n v="3"/>
    <n v="1"/>
    <x v="1"/>
    <n v="284.20000000011203"/>
    <x v="0"/>
    <n v="788309.00000000198"/>
    <n v="2000"/>
    <n v="20"/>
    <x v="0"/>
    <n v="237887.17"/>
    <x v="102"/>
    <x v="1"/>
  </r>
  <r>
    <n v="23"/>
    <x v="0"/>
    <x v="2"/>
    <n v="3"/>
    <n v="2"/>
    <x v="1"/>
    <n v="292.800000000426"/>
    <x v="0"/>
    <n v="713013"/>
    <n v="2000"/>
    <n v="20"/>
    <x v="0"/>
    <n v="296286.37"/>
    <x v="103"/>
    <x v="1"/>
  </r>
  <r>
    <n v="24"/>
    <x v="0"/>
    <x v="2"/>
    <n v="3"/>
    <n v="3"/>
    <x v="1"/>
    <n v="352.60000000043601"/>
    <x v="0"/>
    <n v="1699718"/>
    <n v="2000"/>
    <n v="20"/>
    <x v="0"/>
    <n v="192927.17"/>
    <x v="104"/>
    <x v="1"/>
  </r>
  <r>
    <n v="25"/>
    <x v="0"/>
    <x v="3"/>
    <n v="3"/>
    <n v="1"/>
    <x v="1"/>
    <n v="315.00000000015399"/>
    <x v="0"/>
    <n v="748591.99999999895"/>
    <n v="2000"/>
    <n v="20"/>
    <x v="0"/>
    <n v="215366.77"/>
    <x v="105"/>
    <x v="1"/>
  </r>
  <r>
    <n v="26"/>
    <x v="0"/>
    <x v="3"/>
    <n v="3"/>
    <n v="2"/>
    <x v="1"/>
    <n v="324.400000000224"/>
    <x v="0"/>
    <n v="1090027"/>
    <n v="2000"/>
    <n v="20"/>
    <x v="0"/>
    <n v="207129.57"/>
    <x v="106"/>
    <x v="1"/>
  </r>
  <r>
    <n v="27"/>
    <x v="0"/>
    <x v="3"/>
    <n v="3"/>
    <n v="3"/>
    <x v="1"/>
    <n v="408.40000000024202"/>
    <x v="0"/>
    <n v="1930913"/>
    <n v="2000"/>
    <n v="20"/>
    <x v="0"/>
    <n v="220085.57"/>
    <x v="107"/>
    <x v="1"/>
  </r>
  <r>
    <n v="1"/>
    <x v="0"/>
    <x v="0"/>
    <n v="2"/>
    <n v="1"/>
    <x v="1"/>
    <n v="686.60000000022603"/>
    <x v="0"/>
    <n v="133155"/>
    <n v="3000"/>
    <n v="20"/>
    <x v="0"/>
    <n v="425245.57"/>
    <x v="108"/>
    <x v="0"/>
  </r>
  <r>
    <n v="2"/>
    <x v="0"/>
    <x v="0"/>
    <n v="2"/>
    <n v="2"/>
    <x v="1"/>
    <n v="595.39999999991301"/>
    <x v="0"/>
    <n v="199936.00000000099"/>
    <n v="3000"/>
    <n v="20"/>
    <x v="0"/>
    <n v="299905.96999999997"/>
    <x v="109"/>
    <x v="1"/>
  </r>
  <r>
    <n v="3"/>
    <x v="0"/>
    <x v="0"/>
    <n v="2"/>
    <n v="3"/>
    <x v="1"/>
    <n v="510.39999999993302"/>
    <x v="0"/>
    <n v="165412"/>
    <n v="3000"/>
    <n v="20"/>
    <x v="0"/>
    <n v="395485.97"/>
    <x v="110"/>
    <x v="1"/>
  </r>
  <r>
    <n v="4"/>
    <x v="0"/>
    <x v="0"/>
    <n v="3"/>
    <n v="1"/>
    <x v="1"/>
    <n v="455.79999999958397"/>
    <x v="0"/>
    <n v="162882"/>
    <n v="3000"/>
    <n v="20"/>
    <x v="0"/>
    <n v="428185.97"/>
    <x v="111"/>
    <x v="1"/>
  </r>
  <r>
    <n v="5"/>
    <x v="0"/>
    <x v="0"/>
    <n v="3"/>
    <n v="2"/>
    <x v="1"/>
    <n v="514.60000000034302"/>
    <x v="0"/>
    <n v="141655.99999999901"/>
    <n v="3000"/>
    <n v="20"/>
    <x v="0"/>
    <n v="278245.96999999997"/>
    <x v="112"/>
    <x v="0"/>
  </r>
  <r>
    <n v="6"/>
    <x v="0"/>
    <x v="0"/>
    <n v="3"/>
    <n v="3"/>
    <x v="1"/>
    <n v="535.59999999990305"/>
    <x v="0"/>
    <n v="373666"/>
    <n v="3000"/>
    <n v="20"/>
    <x v="0"/>
    <n v="434604.77"/>
    <x v="113"/>
    <x v="1"/>
  </r>
  <r>
    <n v="7"/>
    <x v="0"/>
    <x v="1"/>
    <n v="2"/>
    <n v="1"/>
    <x v="1"/>
    <n v="354.799999999855"/>
    <x v="0"/>
    <n v="163982.00000000099"/>
    <n v="3000"/>
    <n v="20"/>
    <x v="0"/>
    <n v="293605.57"/>
    <x v="114"/>
    <x v="1"/>
  </r>
  <r>
    <n v="8"/>
    <x v="0"/>
    <x v="1"/>
    <n v="2"/>
    <n v="2"/>
    <x v="1"/>
    <n v="408.79999999958699"/>
    <x v="0"/>
    <n v="405767.00000000099"/>
    <n v="3000"/>
    <n v="20"/>
    <x v="0"/>
    <n v="309085.96999999997"/>
    <x v="115"/>
    <x v="1"/>
  </r>
  <r>
    <n v="9"/>
    <x v="0"/>
    <x v="1"/>
    <n v="2"/>
    <n v="3"/>
    <x v="1"/>
    <n v="315.400000000565"/>
    <x v="0"/>
    <n v="252100"/>
    <n v="3000"/>
    <n v="20"/>
    <x v="0"/>
    <n v="345143.97"/>
    <x v="116"/>
    <x v="1"/>
  </r>
  <r>
    <n v="10"/>
    <x v="0"/>
    <x v="1"/>
    <n v="3"/>
    <n v="1"/>
    <x v="1"/>
    <n v="303.20000000010299"/>
    <x v="0"/>
    <n v="297907"/>
    <n v="3000"/>
    <n v="20"/>
    <x v="0"/>
    <n v="333326.37"/>
    <x v="117"/>
    <x v="1"/>
  </r>
  <r>
    <n v="11"/>
    <x v="0"/>
    <x v="1"/>
    <n v="3"/>
    <n v="2"/>
    <x v="1"/>
    <n v="291.60000000025798"/>
    <x v="0"/>
    <n v="486182"/>
    <n v="3000"/>
    <n v="20"/>
    <x v="0"/>
    <n v="299304.77"/>
    <x v="118"/>
    <x v="1"/>
  </r>
  <r>
    <n v="12"/>
    <x v="0"/>
    <x v="1"/>
    <n v="3"/>
    <n v="3"/>
    <x v="1"/>
    <n v="339.79999999971301"/>
    <x v="0"/>
    <n v="514257.00000000099"/>
    <n v="3000"/>
    <n v="20"/>
    <x v="0"/>
    <n v="348505.57"/>
    <x v="119"/>
    <x v="1"/>
  </r>
  <r>
    <n v="13"/>
    <x v="0"/>
    <x v="1"/>
    <n v="2"/>
    <n v="1"/>
    <x v="1"/>
    <n v="225.19999999985899"/>
    <x v="0"/>
    <n v="231354.99999999901"/>
    <n v="3000"/>
    <n v="20"/>
    <x v="0"/>
    <n v="333626.37"/>
    <x v="120"/>
    <x v="0"/>
  </r>
  <r>
    <n v="14"/>
    <x v="0"/>
    <x v="1"/>
    <n v="2"/>
    <n v="2"/>
    <x v="1"/>
    <n v="285.80000000033601"/>
    <x v="0"/>
    <n v="254110.00000000099"/>
    <n v="3000"/>
    <n v="20"/>
    <x v="0"/>
    <n v="288985.57"/>
    <x v="121"/>
    <x v="1"/>
  </r>
  <r>
    <n v="15"/>
    <x v="0"/>
    <x v="1"/>
    <n v="2"/>
    <n v="3"/>
    <x v="1"/>
    <n v="273.80000000007999"/>
    <x v="0"/>
    <n v="343735.00000000099"/>
    <n v="3000"/>
    <n v="20"/>
    <x v="0"/>
    <n v="289285.57"/>
    <x v="122"/>
    <x v="1"/>
  </r>
  <r>
    <n v="16"/>
    <x v="0"/>
    <x v="1"/>
    <n v="3"/>
    <n v="1"/>
    <x v="1"/>
    <n v="261.80000000017901"/>
    <x v="0"/>
    <n v="356192.00000000198"/>
    <n v="3000"/>
    <n v="20"/>
    <x v="0"/>
    <n v="327326.37"/>
    <x v="123"/>
    <x v="1"/>
  </r>
  <r>
    <n v="17"/>
    <x v="0"/>
    <x v="1"/>
    <n v="3"/>
    <n v="2"/>
    <x v="1"/>
    <n v="255.000000001004"/>
    <x v="0"/>
    <n v="274740.00000000099"/>
    <n v="3000"/>
    <n v="20"/>
    <x v="0"/>
    <n v="338126.37"/>
    <x v="124"/>
    <x v="1"/>
  </r>
  <r>
    <n v="18"/>
    <x v="0"/>
    <x v="1"/>
    <n v="3"/>
    <n v="3"/>
    <x v="1"/>
    <n v="307.79999999950297"/>
    <x v="0"/>
    <n v="771308.99999999895"/>
    <n v="3000"/>
    <n v="20"/>
    <x v="0"/>
    <n v="398184.37"/>
    <x v="125"/>
    <x v="1"/>
  </r>
  <r>
    <n v="19"/>
    <x v="0"/>
    <x v="2"/>
    <n v="2"/>
    <n v="1"/>
    <x v="1"/>
    <n v="241.399999999459"/>
    <x v="0"/>
    <n v="274275.99999999697"/>
    <n v="3000"/>
    <n v="20"/>
    <x v="0"/>
    <n v="302786.37"/>
    <x v="126"/>
    <x v="0"/>
  </r>
  <r>
    <n v="20"/>
    <x v="0"/>
    <x v="2"/>
    <n v="2"/>
    <n v="2"/>
    <x v="1"/>
    <n v="301.59999999952402"/>
    <x v="0"/>
    <n v="556574.00000000105"/>
    <n v="3000"/>
    <n v="20"/>
    <x v="0"/>
    <n v="304286.37"/>
    <x v="127"/>
    <x v="1"/>
  </r>
  <r>
    <n v="21"/>
    <x v="0"/>
    <x v="2"/>
    <n v="2"/>
    <n v="3"/>
    <x v="1"/>
    <n v="295.000000000201"/>
    <x v="0"/>
    <n v="1036061"/>
    <n v="3000"/>
    <n v="20"/>
    <x v="0"/>
    <n v="306265.96999999997"/>
    <x v="128"/>
    <x v="1"/>
  </r>
  <r>
    <n v="22"/>
    <x v="0"/>
    <x v="2"/>
    <n v="3"/>
    <n v="1"/>
    <x v="1"/>
    <n v="284.20000000011203"/>
    <x v="0"/>
    <n v="788309.00000000198"/>
    <n v="3000"/>
    <n v="20"/>
    <x v="0"/>
    <n v="348867.17"/>
    <x v="129"/>
    <x v="1"/>
  </r>
  <r>
    <n v="23"/>
    <x v="0"/>
    <x v="2"/>
    <n v="3"/>
    <n v="2"/>
    <x v="1"/>
    <n v="292.800000000426"/>
    <x v="0"/>
    <n v="713013"/>
    <n v="3000"/>
    <n v="20"/>
    <x v="0"/>
    <n v="436466.37"/>
    <x v="130"/>
    <x v="1"/>
  </r>
  <r>
    <n v="24"/>
    <x v="0"/>
    <x v="2"/>
    <n v="3"/>
    <n v="3"/>
    <x v="1"/>
    <n v="352.60000000043601"/>
    <x v="0"/>
    <n v="1699718"/>
    <n v="3000"/>
    <n v="20"/>
    <x v="0"/>
    <n v="281427.17"/>
    <x v="131"/>
    <x v="1"/>
  </r>
  <r>
    <n v="25"/>
    <x v="0"/>
    <x v="3"/>
    <n v="3"/>
    <n v="1"/>
    <x v="1"/>
    <n v="315.00000000015399"/>
    <x v="0"/>
    <n v="748591.99999999895"/>
    <n v="3000"/>
    <n v="20"/>
    <x v="0"/>
    <n v="315086.77"/>
    <x v="132"/>
    <x v="1"/>
  </r>
  <r>
    <n v="26"/>
    <x v="0"/>
    <x v="3"/>
    <n v="3"/>
    <n v="2"/>
    <x v="1"/>
    <n v="324.400000000224"/>
    <x v="0"/>
    <n v="1090027"/>
    <n v="3000"/>
    <n v="20"/>
    <x v="0"/>
    <n v="302729.57"/>
    <x v="133"/>
    <x v="1"/>
  </r>
  <r>
    <n v="27"/>
    <x v="0"/>
    <x v="3"/>
    <n v="3"/>
    <n v="3"/>
    <x v="1"/>
    <n v="408.40000000024202"/>
    <x v="0"/>
    <n v="1930913"/>
    <n v="3000"/>
    <n v="20"/>
    <x v="0"/>
    <n v="322165.57"/>
    <x v="134"/>
    <x v="1"/>
  </r>
  <r>
    <n v="1"/>
    <x v="0"/>
    <x v="0"/>
    <n v="2"/>
    <n v="1"/>
    <x v="1"/>
    <n v="686.60000000022603"/>
    <x v="0"/>
    <n v="133155"/>
    <n v="5000"/>
    <n v="20"/>
    <x v="0"/>
    <n v="698125.57"/>
    <x v="135"/>
    <x v="0"/>
  </r>
  <r>
    <n v="2"/>
    <x v="0"/>
    <x v="0"/>
    <n v="2"/>
    <n v="2"/>
    <x v="1"/>
    <n v="595.39999999991301"/>
    <x v="0"/>
    <n v="199936.00000000099"/>
    <n v="5000"/>
    <n v="20"/>
    <x v="0"/>
    <n v="489225.97"/>
    <x v="136"/>
    <x v="1"/>
  </r>
  <r>
    <n v="3"/>
    <x v="0"/>
    <x v="0"/>
    <n v="2"/>
    <n v="3"/>
    <x v="1"/>
    <n v="510.39999999993302"/>
    <x v="0"/>
    <n v="165412"/>
    <n v="5000"/>
    <n v="20"/>
    <x v="0"/>
    <n v="648525.97"/>
    <x v="137"/>
    <x v="1"/>
  </r>
  <r>
    <n v="4"/>
    <x v="0"/>
    <x v="0"/>
    <n v="3"/>
    <n v="1"/>
    <x v="1"/>
    <n v="455.79999999958397"/>
    <x v="0"/>
    <n v="162882"/>
    <n v="5000"/>
    <n v="20"/>
    <x v="0"/>
    <n v="703025.97"/>
    <x v="138"/>
    <x v="0"/>
  </r>
  <r>
    <n v="5"/>
    <x v="0"/>
    <x v="0"/>
    <n v="3"/>
    <n v="2"/>
    <x v="1"/>
    <n v="514.60000000034302"/>
    <x v="0"/>
    <n v="141655.99999999901"/>
    <n v="5000"/>
    <n v="20"/>
    <x v="0"/>
    <n v="453125.97"/>
    <x v="139"/>
    <x v="1"/>
  </r>
  <r>
    <n v="6"/>
    <x v="0"/>
    <x v="0"/>
    <n v="3"/>
    <n v="3"/>
    <x v="1"/>
    <n v="535.59999999990305"/>
    <x v="0"/>
    <n v="373666"/>
    <n v="5000"/>
    <n v="20"/>
    <x v="0"/>
    <n v="713724.77"/>
    <x v="140"/>
    <x v="1"/>
  </r>
  <r>
    <n v="7"/>
    <x v="0"/>
    <x v="1"/>
    <n v="2"/>
    <n v="1"/>
    <x v="1"/>
    <n v="354.799999999855"/>
    <x v="0"/>
    <n v="163982.00000000099"/>
    <n v="5000"/>
    <n v="20"/>
    <x v="0"/>
    <n v="478725.57"/>
    <x v="141"/>
    <x v="0"/>
  </r>
  <r>
    <n v="8"/>
    <x v="0"/>
    <x v="1"/>
    <n v="2"/>
    <n v="2"/>
    <x v="1"/>
    <n v="408.79999999958699"/>
    <x v="0"/>
    <n v="405767.00000000099"/>
    <n v="5000"/>
    <n v="20"/>
    <x v="0"/>
    <n v="504525.97"/>
    <x v="142"/>
    <x v="1"/>
  </r>
  <r>
    <n v="9"/>
    <x v="0"/>
    <x v="1"/>
    <n v="2"/>
    <n v="3"/>
    <x v="1"/>
    <n v="315.400000000565"/>
    <x v="0"/>
    <n v="252100"/>
    <n v="5000"/>
    <n v="20"/>
    <x v="0"/>
    <n v="564623.97"/>
    <x v="143"/>
    <x v="1"/>
  </r>
  <r>
    <n v="10"/>
    <x v="0"/>
    <x v="1"/>
    <n v="3"/>
    <n v="1"/>
    <x v="1"/>
    <n v="303.20000000010299"/>
    <x v="0"/>
    <n v="297907"/>
    <n v="5000"/>
    <n v="20"/>
    <x v="0"/>
    <n v="544926.37"/>
    <x v="144"/>
    <x v="1"/>
  </r>
  <r>
    <n v="11"/>
    <x v="0"/>
    <x v="1"/>
    <n v="3"/>
    <n v="2"/>
    <x v="1"/>
    <n v="291.60000000025798"/>
    <x v="0"/>
    <n v="486182"/>
    <n v="5000"/>
    <n v="20"/>
    <x v="0"/>
    <n v="488224.77"/>
    <x v="145"/>
    <x v="1"/>
  </r>
  <r>
    <n v="12"/>
    <x v="0"/>
    <x v="1"/>
    <n v="3"/>
    <n v="3"/>
    <x v="1"/>
    <n v="339.79999999971301"/>
    <x v="0"/>
    <n v="514257.00000000099"/>
    <n v="5000"/>
    <n v="20"/>
    <x v="0"/>
    <n v="570225.56999999995"/>
    <x v="146"/>
    <x v="1"/>
  </r>
  <r>
    <n v="13"/>
    <x v="0"/>
    <x v="1"/>
    <n v="2"/>
    <n v="1"/>
    <x v="1"/>
    <n v="225.19999999985899"/>
    <x v="0"/>
    <n v="231354.99999999901"/>
    <n v="5000"/>
    <n v="20"/>
    <x v="0"/>
    <n v="545426.37"/>
    <x v="147"/>
    <x v="0"/>
  </r>
  <r>
    <n v="14"/>
    <x v="0"/>
    <x v="1"/>
    <n v="2"/>
    <n v="2"/>
    <x v="1"/>
    <n v="285.80000000033601"/>
    <x v="0"/>
    <n v="254110.00000000099"/>
    <n v="5000"/>
    <n v="20"/>
    <x v="0"/>
    <n v="471025.57"/>
    <x v="148"/>
    <x v="1"/>
  </r>
  <r>
    <n v="15"/>
    <x v="0"/>
    <x v="1"/>
    <n v="2"/>
    <n v="3"/>
    <x v="1"/>
    <n v="273.80000000007999"/>
    <x v="0"/>
    <n v="343735.00000000099"/>
    <n v="5000"/>
    <n v="20"/>
    <x v="0"/>
    <n v="471525.57"/>
    <x v="149"/>
    <x v="1"/>
  </r>
  <r>
    <n v="16"/>
    <x v="0"/>
    <x v="1"/>
    <n v="3"/>
    <n v="1"/>
    <x v="1"/>
    <n v="261.80000000017901"/>
    <x v="0"/>
    <n v="356192.00000000198"/>
    <n v="5000"/>
    <n v="20"/>
    <x v="0"/>
    <n v="534926.37"/>
    <x v="150"/>
    <x v="1"/>
  </r>
  <r>
    <n v="17"/>
    <x v="0"/>
    <x v="1"/>
    <n v="3"/>
    <n v="2"/>
    <x v="1"/>
    <n v="255.000000001004"/>
    <x v="0"/>
    <n v="274740.00000000099"/>
    <n v="5000"/>
    <n v="20"/>
    <x v="0"/>
    <n v="552926.37"/>
    <x v="151"/>
    <x v="1"/>
  </r>
  <r>
    <n v="18"/>
    <x v="0"/>
    <x v="1"/>
    <n v="3"/>
    <n v="3"/>
    <x v="1"/>
    <n v="307.79999999950297"/>
    <x v="0"/>
    <n v="771308.99999999895"/>
    <n v="5000"/>
    <n v="20"/>
    <x v="0"/>
    <n v="653024.37"/>
    <x v="152"/>
    <x v="1"/>
  </r>
  <r>
    <n v="19"/>
    <x v="0"/>
    <x v="2"/>
    <n v="2"/>
    <n v="1"/>
    <x v="1"/>
    <n v="241.399999999459"/>
    <x v="0"/>
    <n v="274275.99999999697"/>
    <n v="5000"/>
    <n v="20"/>
    <x v="0"/>
    <n v="494026.37"/>
    <x v="153"/>
    <x v="0"/>
  </r>
  <r>
    <n v="20"/>
    <x v="0"/>
    <x v="2"/>
    <n v="2"/>
    <n v="2"/>
    <x v="1"/>
    <n v="301.59999999952402"/>
    <x v="0"/>
    <n v="556574.00000000105"/>
    <n v="5000"/>
    <n v="20"/>
    <x v="0"/>
    <n v="496526.37"/>
    <x v="154"/>
    <x v="1"/>
  </r>
  <r>
    <n v="21"/>
    <x v="0"/>
    <x v="2"/>
    <n v="2"/>
    <n v="3"/>
    <x v="1"/>
    <n v="295.000000000201"/>
    <x v="0"/>
    <n v="1036061"/>
    <n v="5000"/>
    <n v="20"/>
    <x v="0"/>
    <n v="499825.97"/>
    <x v="155"/>
    <x v="1"/>
  </r>
  <r>
    <n v="22"/>
    <x v="0"/>
    <x v="2"/>
    <n v="3"/>
    <n v="1"/>
    <x v="1"/>
    <n v="284.20000000011203"/>
    <x v="0"/>
    <n v="788309.00000000198"/>
    <n v="5000"/>
    <n v="20"/>
    <x v="0"/>
    <n v="570827.17000000004"/>
    <x v="156"/>
    <x v="1"/>
  </r>
  <r>
    <n v="23"/>
    <x v="0"/>
    <x v="2"/>
    <n v="3"/>
    <n v="2"/>
    <x v="1"/>
    <n v="292.800000000426"/>
    <x v="0"/>
    <n v="713013"/>
    <n v="5000"/>
    <n v="20"/>
    <x v="0"/>
    <n v="716826.37"/>
    <x v="157"/>
    <x v="1"/>
  </r>
  <r>
    <n v="24"/>
    <x v="0"/>
    <x v="2"/>
    <n v="3"/>
    <n v="3"/>
    <x v="1"/>
    <n v="352.60000000043601"/>
    <x v="0"/>
    <n v="1699718"/>
    <n v="5000"/>
    <n v="20"/>
    <x v="0"/>
    <n v="458427.17"/>
    <x v="158"/>
    <x v="1"/>
  </r>
  <r>
    <n v="25"/>
    <x v="0"/>
    <x v="3"/>
    <n v="3"/>
    <n v="1"/>
    <x v="1"/>
    <n v="315.00000000015399"/>
    <x v="0"/>
    <n v="748591.99999999895"/>
    <n v="5000"/>
    <n v="20"/>
    <x v="0"/>
    <n v="514526.77"/>
    <x v="159"/>
    <x v="1"/>
  </r>
  <r>
    <n v="26"/>
    <x v="0"/>
    <x v="3"/>
    <n v="3"/>
    <n v="2"/>
    <x v="1"/>
    <n v="324.400000000224"/>
    <x v="0"/>
    <n v="1090027"/>
    <n v="5000"/>
    <n v="20"/>
    <x v="0"/>
    <n v="493929.57"/>
    <x v="160"/>
    <x v="1"/>
  </r>
  <r>
    <n v="27"/>
    <x v="0"/>
    <x v="3"/>
    <n v="3"/>
    <n v="3"/>
    <x v="1"/>
    <n v="408.40000000024202"/>
    <x v="0"/>
    <n v="1930913"/>
    <n v="5000"/>
    <n v="20"/>
    <x v="0"/>
    <n v="526325.56999999995"/>
    <x v="161"/>
    <x v="1"/>
  </r>
  <r>
    <n v="1"/>
    <x v="0"/>
    <x v="0"/>
    <n v="2"/>
    <n v="1"/>
    <x v="1"/>
    <n v="686.60000000022603"/>
    <x v="0"/>
    <n v="133155"/>
    <n v="4000"/>
    <n v="60"/>
    <x v="0"/>
    <n v="721689.57"/>
    <x v="162"/>
    <x v="0"/>
  </r>
  <r>
    <n v="2"/>
    <x v="0"/>
    <x v="0"/>
    <n v="2"/>
    <n v="2"/>
    <x v="1"/>
    <n v="595.39999999991301"/>
    <x v="0"/>
    <n v="199936.00000000099"/>
    <n v="4000"/>
    <n v="60"/>
    <x v="0"/>
    <n v="554569.97"/>
    <x v="163"/>
    <x v="1"/>
  </r>
  <r>
    <n v="3"/>
    <x v="0"/>
    <x v="0"/>
    <n v="2"/>
    <n v="3"/>
    <x v="1"/>
    <n v="510.39999999993302"/>
    <x v="0"/>
    <n v="165412"/>
    <n v="4000"/>
    <n v="60"/>
    <x v="0"/>
    <n v="682009.97"/>
    <x v="164"/>
    <x v="1"/>
  </r>
  <r>
    <n v="4"/>
    <x v="0"/>
    <x v="0"/>
    <n v="3"/>
    <n v="1"/>
    <x v="1"/>
    <n v="455.79999999958397"/>
    <x v="0"/>
    <n v="162882"/>
    <n v="4000"/>
    <n v="60"/>
    <x v="0"/>
    <n v="725609.57"/>
    <x v="165"/>
    <x v="1"/>
  </r>
  <r>
    <n v="5"/>
    <x v="0"/>
    <x v="0"/>
    <n v="3"/>
    <n v="2"/>
    <x v="1"/>
    <n v="514.60000000034302"/>
    <x v="0"/>
    <n v="141655.99999999901"/>
    <n v="4000"/>
    <n v="60"/>
    <x v="0"/>
    <n v="525689.17000000004"/>
    <x v="166"/>
    <x v="1"/>
  </r>
  <r>
    <n v="6"/>
    <x v="0"/>
    <x v="0"/>
    <n v="3"/>
    <n v="3"/>
    <x v="1"/>
    <n v="535.59999999990305"/>
    <x v="0"/>
    <n v="373666"/>
    <n v="4000"/>
    <n v="60"/>
    <x v="0"/>
    <n v="734167.17"/>
    <x v="167"/>
    <x v="1"/>
  </r>
  <r>
    <n v="7"/>
    <x v="0"/>
    <x v="1"/>
    <n v="2"/>
    <n v="1"/>
    <x v="1"/>
    <n v="354.799999999855"/>
    <x v="0"/>
    <n v="163982.00000000099"/>
    <n v="4000"/>
    <n v="60"/>
    <x v="0"/>
    <n v="546168.37"/>
    <x v="168"/>
    <x v="0"/>
  </r>
  <r>
    <n v="8"/>
    <x v="0"/>
    <x v="1"/>
    <n v="2"/>
    <n v="2"/>
    <x v="1"/>
    <n v="408.79999999958699"/>
    <x v="0"/>
    <n v="405767.00000000099"/>
    <n v="4000"/>
    <n v="60"/>
    <x v="0"/>
    <n v="566809.17000000004"/>
    <x v="169"/>
    <x v="1"/>
  </r>
  <r>
    <n v="9"/>
    <x v="0"/>
    <x v="1"/>
    <n v="2"/>
    <n v="3"/>
    <x v="1"/>
    <n v="315.400000000565"/>
    <x v="0"/>
    <n v="252100"/>
    <n v="4000"/>
    <n v="60"/>
    <x v="0"/>
    <n v="614887.97"/>
    <x v="170"/>
    <x v="1"/>
  </r>
  <r>
    <n v="10"/>
    <x v="0"/>
    <x v="1"/>
    <n v="3"/>
    <n v="1"/>
    <x v="1"/>
    <n v="303.20000000010299"/>
    <x v="0"/>
    <n v="297907"/>
    <n v="4000"/>
    <n v="60"/>
    <x v="0"/>
    <n v="599129.56999999995"/>
    <x v="171"/>
    <x v="0"/>
  </r>
  <r>
    <n v="11"/>
    <x v="0"/>
    <x v="1"/>
    <n v="3"/>
    <n v="2"/>
    <x v="1"/>
    <n v="291.60000000025798"/>
    <x v="0"/>
    <n v="486182"/>
    <n v="4000"/>
    <n v="60"/>
    <x v="0"/>
    <n v="553768.77"/>
    <x v="172"/>
    <x v="1"/>
  </r>
  <r>
    <n v="12"/>
    <x v="0"/>
    <x v="1"/>
    <n v="3"/>
    <n v="3"/>
    <x v="1"/>
    <n v="339.79999999971301"/>
    <x v="0"/>
    <n v="514257.00000000099"/>
    <n v="4000"/>
    <n v="60"/>
    <x v="0"/>
    <n v="619368.77"/>
    <x v="173"/>
    <x v="1"/>
  </r>
  <r>
    <n v="13"/>
    <x v="0"/>
    <x v="1"/>
    <n v="2"/>
    <n v="1"/>
    <x v="1"/>
    <n v="225.19999999985899"/>
    <x v="0"/>
    <n v="231354.99999999901"/>
    <n v="4000"/>
    <n v="60"/>
    <x v="0"/>
    <n v="599529.56999999995"/>
    <x v="174"/>
    <x v="0"/>
  </r>
  <r>
    <n v="14"/>
    <x v="0"/>
    <x v="1"/>
    <n v="2"/>
    <n v="2"/>
    <x v="1"/>
    <n v="285.80000000033601"/>
    <x v="0"/>
    <n v="254110.00000000099"/>
    <n v="4000"/>
    <n v="60"/>
    <x v="0"/>
    <n v="540009.56999999995"/>
    <x v="175"/>
    <x v="1"/>
  </r>
  <r>
    <n v="15"/>
    <x v="0"/>
    <x v="1"/>
    <n v="2"/>
    <n v="3"/>
    <x v="1"/>
    <n v="273.80000000007999"/>
    <x v="0"/>
    <n v="343735.00000000099"/>
    <n v="4000"/>
    <n v="60"/>
    <x v="0"/>
    <n v="540408.77"/>
    <x v="176"/>
    <x v="1"/>
  </r>
  <r>
    <n v="16"/>
    <x v="0"/>
    <x v="1"/>
    <n v="3"/>
    <n v="1"/>
    <x v="1"/>
    <n v="261.80000000017901"/>
    <x v="0"/>
    <n v="356192.00000000198"/>
    <n v="4000"/>
    <n v="60"/>
    <x v="0"/>
    <n v="591129.17000000004"/>
    <x v="177"/>
    <x v="1"/>
  </r>
  <r>
    <n v="17"/>
    <x v="0"/>
    <x v="1"/>
    <n v="3"/>
    <n v="2"/>
    <x v="1"/>
    <n v="255.000000001004"/>
    <x v="0"/>
    <n v="274740.00000000099"/>
    <n v="4000"/>
    <n v="60"/>
    <x v="0"/>
    <n v="605529.56999999995"/>
    <x v="178"/>
    <x v="1"/>
  </r>
  <r>
    <n v="18"/>
    <x v="0"/>
    <x v="1"/>
    <n v="3"/>
    <n v="3"/>
    <x v="1"/>
    <n v="307.79999999950297"/>
    <x v="0"/>
    <n v="771308.99999999895"/>
    <n v="4000"/>
    <n v="60"/>
    <x v="0"/>
    <n v="685607.17"/>
    <x v="179"/>
    <x v="1"/>
  </r>
  <r>
    <n v="19"/>
    <x v="0"/>
    <x v="2"/>
    <n v="2"/>
    <n v="1"/>
    <x v="1"/>
    <n v="241.399999999459"/>
    <x v="0"/>
    <n v="274275.99999999697"/>
    <n v="4000"/>
    <n v="60"/>
    <x v="0"/>
    <n v="558409.97"/>
    <x v="180"/>
    <x v="0"/>
  </r>
  <r>
    <n v="20"/>
    <x v="0"/>
    <x v="2"/>
    <n v="2"/>
    <n v="2"/>
    <x v="1"/>
    <n v="301.59999999952402"/>
    <x v="0"/>
    <n v="556574.00000000105"/>
    <n v="4000"/>
    <n v="60"/>
    <x v="0"/>
    <n v="560409.56999999995"/>
    <x v="181"/>
    <x v="1"/>
  </r>
  <r>
    <n v="21"/>
    <x v="0"/>
    <x v="2"/>
    <n v="2"/>
    <n v="3"/>
    <x v="1"/>
    <n v="295.000000000201"/>
    <x v="0"/>
    <n v="1036061"/>
    <n v="4000"/>
    <n v="60"/>
    <x v="0"/>
    <n v="563048.77"/>
    <x v="182"/>
    <x v="1"/>
  </r>
  <r>
    <n v="22"/>
    <x v="0"/>
    <x v="2"/>
    <n v="3"/>
    <n v="1"/>
    <x v="1"/>
    <n v="284.20000000011203"/>
    <x v="0"/>
    <n v="788309.00000000198"/>
    <n v="4000"/>
    <n v="60"/>
    <x v="0"/>
    <n v="619849.97"/>
    <x v="183"/>
    <x v="1"/>
  </r>
  <r>
    <n v="23"/>
    <x v="0"/>
    <x v="2"/>
    <n v="3"/>
    <n v="2"/>
    <x v="1"/>
    <n v="292.800000000426"/>
    <x v="0"/>
    <n v="713013"/>
    <n v="4000"/>
    <n v="60"/>
    <x v="0"/>
    <n v="736649.17"/>
    <x v="184"/>
    <x v="1"/>
  </r>
  <r>
    <n v="24"/>
    <x v="0"/>
    <x v="2"/>
    <n v="3"/>
    <n v="3"/>
    <x v="1"/>
    <n v="352.60000000043601"/>
    <x v="0"/>
    <n v="1699718"/>
    <n v="4000"/>
    <n v="60"/>
    <x v="0"/>
    <n v="529929.97"/>
    <x v="185"/>
    <x v="1"/>
  </r>
  <r>
    <n v="25"/>
    <x v="0"/>
    <x v="3"/>
    <n v="3"/>
    <n v="1"/>
    <x v="1"/>
    <n v="315.00000000015399"/>
    <x v="0"/>
    <n v="748591.99999999895"/>
    <n v="4000"/>
    <n v="60"/>
    <x v="0"/>
    <n v="574809.97"/>
    <x v="186"/>
    <x v="1"/>
  </r>
  <r>
    <n v="26"/>
    <x v="0"/>
    <x v="3"/>
    <n v="3"/>
    <n v="2"/>
    <x v="1"/>
    <n v="324.400000000224"/>
    <x v="0"/>
    <n v="1090027"/>
    <n v="4000"/>
    <n v="60"/>
    <x v="0"/>
    <n v="558331.17000000004"/>
    <x v="187"/>
    <x v="1"/>
  </r>
  <r>
    <n v="27"/>
    <x v="0"/>
    <x v="3"/>
    <n v="3"/>
    <n v="3"/>
    <x v="1"/>
    <n v="408.40000000024202"/>
    <x v="0"/>
    <n v="1930913"/>
    <n v="4000"/>
    <n v="60"/>
    <x v="0"/>
    <n v="584245.97"/>
    <x v="188"/>
    <x v="1"/>
  </r>
  <r>
    <n v="1"/>
    <x v="0"/>
    <x v="0"/>
    <n v="2"/>
    <n v="1"/>
    <x v="1"/>
    <n v="686.60000000022603"/>
    <x v="0"/>
    <n v="133155"/>
    <n v="2000"/>
    <n v="100"/>
    <x v="0"/>
    <n v="448809.57"/>
    <x v="189"/>
    <x v="0"/>
  </r>
  <r>
    <n v="2"/>
    <x v="0"/>
    <x v="0"/>
    <n v="2"/>
    <n v="2"/>
    <x v="1"/>
    <n v="595.39999999991301"/>
    <x v="0"/>
    <n v="199936.00000000099"/>
    <n v="2000"/>
    <n v="100"/>
    <x v="0"/>
    <n v="365247.97"/>
    <x v="190"/>
    <x v="1"/>
  </r>
  <r>
    <n v="3"/>
    <x v="0"/>
    <x v="0"/>
    <n v="2"/>
    <n v="3"/>
    <x v="1"/>
    <n v="510.39999999993302"/>
    <x v="0"/>
    <n v="165412"/>
    <n v="2000"/>
    <n v="100"/>
    <x v="0"/>
    <n v="428969.57"/>
    <x v="191"/>
    <x v="1"/>
  </r>
  <r>
    <n v="4"/>
    <x v="0"/>
    <x v="0"/>
    <n v="3"/>
    <n v="1"/>
    <x v="1"/>
    <n v="455.79999999958397"/>
    <x v="0"/>
    <n v="162882"/>
    <n v="2000"/>
    <n v="100"/>
    <x v="0"/>
    <n v="450769.97"/>
    <x v="192"/>
    <x v="1"/>
  </r>
  <r>
    <n v="5"/>
    <x v="0"/>
    <x v="0"/>
    <n v="3"/>
    <n v="2"/>
    <x v="1"/>
    <n v="514.60000000034302"/>
    <x v="0"/>
    <n v="141655.99999999901"/>
    <n v="2000"/>
    <n v="100"/>
    <x v="0"/>
    <n v="350808.37"/>
    <x v="193"/>
    <x v="1"/>
  </r>
  <r>
    <n v="6"/>
    <x v="0"/>
    <x v="0"/>
    <n v="3"/>
    <n v="3"/>
    <x v="1"/>
    <n v="535.59999999990305"/>
    <x v="0"/>
    <n v="373666"/>
    <n v="2000"/>
    <n v="100"/>
    <x v="0"/>
    <n v="455046.77"/>
    <x v="194"/>
    <x v="1"/>
  </r>
  <r>
    <n v="7"/>
    <x v="0"/>
    <x v="1"/>
    <n v="2"/>
    <n v="1"/>
    <x v="1"/>
    <n v="354.799999999855"/>
    <x v="0"/>
    <n v="163982.00000000099"/>
    <n v="2000"/>
    <n v="100"/>
    <x v="0"/>
    <n v="361049.17"/>
    <x v="195"/>
    <x v="0"/>
  </r>
  <r>
    <n v="8"/>
    <x v="0"/>
    <x v="1"/>
    <n v="2"/>
    <n v="2"/>
    <x v="1"/>
    <n v="408.79999999958699"/>
    <x v="0"/>
    <n v="405767.00000000099"/>
    <n v="2000"/>
    <n v="100"/>
    <x v="0"/>
    <n v="371368.77"/>
    <x v="196"/>
    <x v="1"/>
  </r>
  <r>
    <n v="9"/>
    <x v="0"/>
    <x v="1"/>
    <n v="2"/>
    <n v="3"/>
    <x v="1"/>
    <n v="315.400000000565"/>
    <x v="0"/>
    <n v="252100"/>
    <n v="2000"/>
    <n v="100"/>
    <x v="0"/>
    <n v="395406.77"/>
    <x v="197"/>
    <x v="1"/>
  </r>
  <r>
    <n v="10"/>
    <x v="0"/>
    <x v="1"/>
    <n v="3"/>
    <n v="1"/>
    <x v="1"/>
    <n v="303.20000000010299"/>
    <x v="0"/>
    <n v="297907"/>
    <n v="2000"/>
    <n v="100"/>
    <x v="0"/>
    <n v="387528.77"/>
    <x v="198"/>
    <x v="1"/>
  </r>
  <r>
    <n v="11"/>
    <x v="0"/>
    <x v="1"/>
    <n v="3"/>
    <n v="2"/>
    <x v="1"/>
    <n v="291.60000000025798"/>
    <x v="0"/>
    <n v="486182"/>
    <n v="2000"/>
    <n v="100"/>
    <x v="0"/>
    <n v="364848.37"/>
    <x v="199"/>
    <x v="1"/>
  </r>
  <r>
    <n v="12"/>
    <x v="0"/>
    <x v="1"/>
    <n v="3"/>
    <n v="3"/>
    <x v="1"/>
    <n v="339.79999999971301"/>
    <x v="0"/>
    <n v="514257.00000000099"/>
    <n v="2000"/>
    <n v="100"/>
    <x v="0"/>
    <n v="397648.37"/>
    <x v="200"/>
    <x v="1"/>
  </r>
  <r>
    <n v="13"/>
    <x v="0"/>
    <x v="1"/>
    <n v="2"/>
    <n v="1"/>
    <x v="1"/>
    <n v="225.19999999985899"/>
    <x v="0"/>
    <n v="231354.99999999901"/>
    <n v="2000"/>
    <n v="100"/>
    <x v="0"/>
    <n v="387729.57"/>
    <x v="201"/>
    <x v="0"/>
  </r>
  <r>
    <n v="14"/>
    <x v="0"/>
    <x v="1"/>
    <n v="2"/>
    <n v="2"/>
    <x v="1"/>
    <n v="285.80000000033601"/>
    <x v="0"/>
    <n v="254110.00000000099"/>
    <n v="2000"/>
    <n v="100"/>
    <x v="0"/>
    <n v="357968.77"/>
    <x v="202"/>
    <x v="1"/>
  </r>
  <r>
    <n v="15"/>
    <x v="0"/>
    <x v="1"/>
    <n v="2"/>
    <n v="3"/>
    <x v="1"/>
    <n v="273.80000000007999"/>
    <x v="0"/>
    <n v="343735.00000000099"/>
    <n v="2000"/>
    <n v="100"/>
    <x v="0"/>
    <n v="358168.37"/>
    <x v="203"/>
    <x v="1"/>
  </r>
  <r>
    <n v="16"/>
    <x v="0"/>
    <x v="1"/>
    <n v="3"/>
    <n v="1"/>
    <x v="1"/>
    <n v="261.80000000017901"/>
    <x v="0"/>
    <n v="356192.00000000198"/>
    <n v="2000"/>
    <n v="100"/>
    <x v="0"/>
    <n v="383528.37"/>
    <x v="204"/>
    <x v="1"/>
  </r>
  <r>
    <n v="17"/>
    <x v="0"/>
    <x v="1"/>
    <n v="3"/>
    <n v="2"/>
    <x v="1"/>
    <n v="255.000000001004"/>
    <x v="0"/>
    <n v="274740.00000000099"/>
    <n v="2000"/>
    <n v="100"/>
    <x v="0"/>
    <n v="390729.17"/>
    <x v="205"/>
    <x v="1"/>
  </r>
  <r>
    <n v="18"/>
    <x v="0"/>
    <x v="1"/>
    <n v="3"/>
    <n v="3"/>
    <x v="1"/>
    <n v="307.79999999950297"/>
    <x v="0"/>
    <n v="771308.99999999895"/>
    <n v="2000"/>
    <n v="100"/>
    <x v="0"/>
    <n v="430766.37"/>
    <x v="206"/>
    <x v="1"/>
  </r>
  <r>
    <n v="19"/>
    <x v="0"/>
    <x v="2"/>
    <n v="2"/>
    <n v="1"/>
    <x v="1"/>
    <n v="241.399999999459"/>
    <x v="0"/>
    <n v="274275.99999999697"/>
    <n v="2000"/>
    <n v="100"/>
    <x v="0"/>
    <n v="367169.17"/>
    <x v="207"/>
    <x v="0"/>
  </r>
  <r>
    <n v="20"/>
    <x v="0"/>
    <x v="2"/>
    <n v="2"/>
    <n v="2"/>
    <x v="1"/>
    <n v="301.59999999952402"/>
    <x v="0"/>
    <n v="556574.00000000105"/>
    <n v="2000"/>
    <n v="100"/>
    <x v="0"/>
    <n v="368169.17"/>
    <x v="208"/>
    <x v="1"/>
  </r>
  <r>
    <n v="21"/>
    <x v="0"/>
    <x v="2"/>
    <n v="2"/>
    <n v="3"/>
    <x v="1"/>
    <n v="295.000000000201"/>
    <x v="0"/>
    <n v="1036061"/>
    <n v="2000"/>
    <n v="100"/>
    <x v="0"/>
    <n v="369488.37"/>
    <x v="209"/>
    <x v="1"/>
  </r>
  <r>
    <n v="22"/>
    <x v="0"/>
    <x v="2"/>
    <n v="3"/>
    <n v="1"/>
    <x v="1"/>
    <n v="284.20000000011203"/>
    <x v="0"/>
    <n v="788309.00000000198"/>
    <n v="2000"/>
    <n v="100"/>
    <x v="0"/>
    <n v="397889.57"/>
    <x v="210"/>
    <x v="1"/>
  </r>
  <r>
    <n v="23"/>
    <x v="0"/>
    <x v="2"/>
    <n v="3"/>
    <n v="2"/>
    <x v="1"/>
    <n v="292.800000000426"/>
    <x v="0"/>
    <n v="713013"/>
    <n v="2000"/>
    <n v="100"/>
    <x v="0"/>
    <n v="456289.97"/>
    <x v="211"/>
    <x v="1"/>
  </r>
  <r>
    <n v="24"/>
    <x v="0"/>
    <x v="2"/>
    <n v="3"/>
    <n v="3"/>
    <x v="1"/>
    <n v="352.60000000043601"/>
    <x v="0"/>
    <n v="1699718"/>
    <n v="2000"/>
    <n v="100"/>
    <x v="0"/>
    <n v="352929.57"/>
    <x v="212"/>
    <x v="1"/>
  </r>
  <r>
    <n v="25"/>
    <x v="0"/>
    <x v="3"/>
    <n v="3"/>
    <n v="1"/>
    <x v="1"/>
    <n v="315.00000000015399"/>
    <x v="0"/>
    <n v="748591.99999999895"/>
    <n v="2000"/>
    <n v="100"/>
    <x v="0"/>
    <n v="375369.57"/>
    <x v="213"/>
    <x v="1"/>
  </r>
  <r>
    <n v="26"/>
    <x v="0"/>
    <x v="3"/>
    <n v="3"/>
    <n v="2"/>
    <x v="1"/>
    <n v="324.400000000224"/>
    <x v="0"/>
    <n v="1090027"/>
    <n v="2000"/>
    <n v="100"/>
    <x v="0"/>
    <n v="367130.37"/>
    <x v="214"/>
    <x v="1"/>
  </r>
  <r>
    <n v="27"/>
    <x v="0"/>
    <x v="3"/>
    <n v="3"/>
    <n v="3"/>
    <x v="1"/>
    <n v="408.40000000024202"/>
    <x v="0"/>
    <n v="1930913"/>
    <n v="2000"/>
    <n v="100"/>
    <x v="0"/>
    <n v="380087.17"/>
    <x v="215"/>
    <x v="1"/>
  </r>
  <r>
    <n v="1"/>
    <x v="0"/>
    <x v="0"/>
    <n v="2"/>
    <n v="1"/>
    <x v="1"/>
    <n v="686.60000000022603"/>
    <x v="0"/>
    <n v="133155"/>
    <n v="3000"/>
    <n v="100"/>
    <x v="0"/>
    <n v="665247.56999999995"/>
    <x v="216"/>
    <x v="0"/>
  </r>
  <r>
    <n v="2"/>
    <x v="0"/>
    <x v="0"/>
    <n v="2"/>
    <n v="2"/>
    <x v="1"/>
    <n v="595.39999999991301"/>
    <x v="0"/>
    <n v="199936.00000000099"/>
    <n v="3000"/>
    <n v="100"/>
    <x v="0"/>
    <n v="539908.77"/>
    <x v="217"/>
    <x v="1"/>
  </r>
  <r>
    <n v="3"/>
    <x v="0"/>
    <x v="0"/>
    <n v="2"/>
    <n v="3"/>
    <x v="1"/>
    <n v="510.39999999993302"/>
    <x v="0"/>
    <n v="165412"/>
    <n v="3000"/>
    <n v="100"/>
    <x v="0"/>
    <n v="635488.37"/>
    <x v="218"/>
    <x v="1"/>
  </r>
  <r>
    <n v="4"/>
    <x v="0"/>
    <x v="0"/>
    <n v="3"/>
    <n v="1"/>
    <x v="1"/>
    <n v="455.79999999958397"/>
    <x v="0"/>
    <n v="162882"/>
    <n v="3000"/>
    <n v="100"/>
    <x v="0"/>
    <n v="668187.97"/>
    <x v="219"/>
    <x v="0"/>
  </r>
  <r>
    <n v="5"/>
    <x v="0"/>
    <x v="0"/>
    <n v="3"/>
    <n v="2"/>
    <x v="1"/>
    <n v="514.60000000034302"/>
    <x v="0"/>
    <n v="141655.99999999901"/>
    <n v="3000"/>
    <n v="100"/>
    <x v="0"/>
    <n v="518247.97"/>
    <x v="220"/>
    <x v="0"/>
  </r>
  <r>
    <n v="6"/>
    <x v="0"/>
    <x v="0"/>
    <n v="3"/>
    <n v="3"/>
    <x v="1"/>
    <n v="535.59999999990305"/>
    <x v="0"/>
    <n v="373666"/>
    <n v="3000"/>
    <n v="100"/>
    <x v="0"/>
    <n v="674606.37"/>
    <x v="221"/>
    <x v="1"/>
  </r>
  <r>
    <n v="7"/>
    <x v="0"/>
    <x v="1"/>
    <n v="2"/>
    <n v="1"/>
    <x v="1"/>
    <n v="354.799999999855"/>
    <x v="0"/>
    <n v="163982.00000000099"/>
    <n v="3000"/>
    <n v="100"/>
    <x v="0"/>
    <n v="533608.37"/>
    <x v="222"/>
    <x v="0"/>
  </r>
  <r>
    <n v="8"/>
    <x v="0"/>
    <x v="1"/>
    <n v="2"/>
    <n v="2"/>
    <x v="1"/>
    <n v="408.79999999958699"/>
    <x v="0"/>
    <n v="405767.00000000099"/>
    <n v="3000"/>
    <n v="100"/>
    <x v="0"/>
    <n v="549087.17000000004"/>
    <x v="223"/>
    <x v="1"/>
  </r>
  <r>
    <n v="9"/>
    <x v="0"/>
    <x v="1"/>
    <n v="2"/>
    <n v="3"/>
    <x v="1"/>
    <n v="315.400000000565"/>
    <x v="0"/>
    <n v="252100"/>
    <n v="3000"/>
    <n v="100"/>
    <x v="0"/>
    <n v="585148.37"/>
    <x v="224"/>
    <x v="1"/>
  </r>
  <r>
    <n v="10"/>
    <x v="0"/>
    <x v="1"/>
    <n v="3"/>
    <n v="1"/>
    <x v="1"/>
    <n v="303.20000000010299"/>
    <x v="0"/>
    <n v="297907"/>
    <n v="3000"/>
    <n v="100"/>
    <x v="0"/>
    <n v="573328.37"/>
    <x v="225"/>
    <x v="1"/>
  </r>
  <r>
    <n v="11"/>
    <x v="0"/>
    <x v="1"/>
    <n v="3"/>
    <n v="2"/>
    <x v="1"/>
    <n v="291.60000000025798"/>
    <x v="0"/>
    <n v="486182"/>
    <n v="3000"/>
    <n v="100"/>
    <x v="0"/>
    <n v="539307.17000000004"/>
    <x v="226"/>
    <x v="1"/>
  </r>
  <r>
    <n v="12"/>
    <x v="0"/>
    <x v="1"/>
    <n v="3"/>
    <n v="3"/>
    <x v="1"/>
    <n v="339.79999999971301"/>
    <x v="0"/>
    <n v="514257.00000000099"/>
    <n v="3000"/>
    <n v="100"/>
    <x v="0"/>
    <n v="588507.97"/>
    <x v="227"/>
    <x v="1"/>
  </r>
  <r>
    <n v="13"/>
    <x v="0"/>
    <x v="1"/>
    <n v="2"/>
    <n v="1"/>
    <x v="1"/>
    <n v="225.19999999985899"/>
    <x v="0"/>
    <n v="231354.99999999901"/>
    <n v="3000"/>
    <n v="100"/>
    <x v="0"/>
    <n v="573628.37"/>
    <x v="228"/>
    <x v="0"/>
  </r>
  <r>
    <n v="14"/>
    <x v="0"/>
    <x v="1"/>
    <n v="2"/>
    <n v="2"/>
    <x v="1"/>
    <n v="285.80000000033601"/>
    <x v="0"/>
    <n v="254110.00000000099"/>
    <n v="3000"/>
    <n v="100"/>
    <x v="0"/>
    <n v="528987.17000000004"/>
    <x v="229"/>
    <x v="1"/>
  </r>
  <r>
    <n v="15"/>
    <x v="0"/>
    <x v="1"/>
    <n v="2"/>
    <n v="3"/>
    <x v="1"/>
    <n v="273.80000000007999"/>
    <x v="0"/>
    <n v="343735.00000000099"/>
    <n v="3000"/>
    <n v="100"/>
    <x v="0"/>
    <n v="529287.56999999995"/>
    <x v="230"/>
    <x v="1"/>
  </r>
  <r>
    <n v="16"/>
    <x v="0"/>
    <x v="1"/>
    <n v="3"/>
    <n v="1"/>
    <x v="1"/>
    <n v="261.80000000017901"/>
    <x v="0"/>
    <n v="356192.00000000198"/>
    <n v="3000"/>
    <n v="100"/>
    <x v="0"/>
    <n v="567327.97"/>
    <x v="231"/>
    <x v="1"/>
  </r>
  <r>
    <n v="17"/>
    <x v="0"/>
    <x v="1"/>
    <n v="3"/>
    <n v="2"/>
    <x v="1"/>
    <n v="255.000000001004"/>
    <x v="0"/>
    <n v="274740.00000000099"/>
    <n v="3000"/>
    <n v="100"/>
    <x v="0"/>
    <n v="578128.37"/>
    <x v="232"/>
    <x v="0"/>
  </r>
  <r>
    <n v="18"/>
    <x v="0"/>
    <x v="1"/>
    <n v="3"/>
    <n v="3"/>
    <x v="1"/>
    <n v="307.79999999950297"/>
    <x v="0"/>
    <n v="771308.99999999895"/>
    <n v="3000"/>
    <n v="100"/>
    <x v="0"/>
    <n v="638185.97"/>
    <x v="233"/>
    <x v="1"/>
  </r>
  <r>
    <n v="19"/>
    <x v="0"/>
    <x v="2"/>
    <n v="2"/>
    <n v="1"/>
    <x v="1"/>
    <n v="241.399999999459"/>
    <x v="0"/>
    <n v="274275.99999999697"/>
    <n v="3000"/>
    <n v="100"/>
    <x v="0"/>
    <n v="542787.97"/>
    <x v="234"/>
    <x v="0"/>
  </r>
  <r>
    <n v="20"/>
    <x v="0"/>
    <x v="2"/>
    <n v="2"/>
    <n v="2"/>
    <x v="1"/>
    <n v="301.59999999952402"/>
    <x v="0"/>
    <n v="556574.00000000105"/>
    <n v="3000"/>
    <n v="100"/>
    <x v="0"/>
    <n v="544287.56999999995"/>
    <x v="235"/>
    <x v="1"/>
  </r>
  <r>
    <n v="21"/>
    <x v="0"/>
    <x v="2"/>
    <n v="2"/>
    <n v="3"/>
    <x v="1"/>
    <n v="295.000000000201"/>
    <x v="0"/>
    <n v="1036061"/>
    <n v="3000"/>
    <n v="100"/>
    <x v="0"/>
    <n v="546266.77"/>
    <x v="236"/>
    <x v="1"/>
  </r>
  <r>
    <n v="22"/>
    <x v="0"/>
    <x v="2"/>
    <n v="3"/>
    <n v="1"/>
    <x v="1"/>
    <n v="284.20000000011203"/>
    <x v="0"/>
    <n v="788309.00000000198"/>
    <n v="3000"/>
    <n v="100"/>
    <x v="0"/>
    <n v="588868.37"/>
    <x v="237"/>
    <x v="1"/>
  </r>
  <r>
    <n v="23"/>
    <x v="0"/>
    <x v="2"/>
    <n v="3"/>
    <n v="2"/>
    <x v="1"/>
    <n v="292.800000000426"/>
    <x v="0"/>
    <n v="713013"/>
    <n v="3000"/>
    <n v="100"/>
    <x v="0"/>
    <n v="676469.17"/>
    <x v="238"/>
    <x v="1"/>
  </r>
  <r>
    <n v="24"/>
    <x v="0"/>
    <x v="2"/>
    <n v="3"/>
    <n v="3"/>
    <x v="1"/>
    <n v="352.60000000043601"/>
    <x v="0"/>
    <n v="1699718"/>
    <n v="3000"/>
    <n v="100"/>
    <x v="0"/>
    <n v="521428.77"/>
    <x v="239"/>
    <x v="1"/>
  </r>
  <r>
    <n v="25"/>
    <x v="0"/>
    <x v="3"/>
    <n v="3"/>
    <n v="1"/>
    <x v="1"/>
    <n v="315.00000000015399"/>
    <x v="0"/>
    <n v="748591.99999999895"/>
    <n v="3000"/>
    <n v="100"/>
    <x v="0"/>
    <n v="555088.77"/>
    <x v="240"/>
    <x v="1"/>
  </r>
  <r>
    <n v="26"/>
    <x v="0"/>
    <x v="3"/>
    <n v="3"/>
    <n v="2"/>
    <x v="1"/>
    <n v="324.400000000224"/>
    <x v="0"/>
    <n v="1090027"/>
    <n v="3000"/>
    <n v="100"/>
    <x v="0"/>
    <n v="542729.97"/>
    <x v="241"/>
    <x v="1"/>
  </r>
  <r>
    <n v="27"/>
    <x v="0"/>
    <x v="3"/>
    <n v="3"/>
    <n v="3"/>
    <x v="1"/>
    <n v="408.40000000024202"/>
    <x v="0"/>
    <n v="1930913"/>
    <n v="3000"/>
    <n v="100"/>
    <x v="0"/>
    <n v="562165.17000000004"/>
    <x v="242"/>
    <x v="1"/>
  </r>
  <r>
    <n v="1"/>
    <x v="0"/>
    <x v="0"/>
    <n v="2"/>
    <n v="1"/>
    <x v="1"/>
    <n v="686.60000000022603"/>
    <x v="0"/>
    <n v="133155"/>
    <n v="2000"/>
    <n v="200"/>
    <x v="0"/>
    <n v="648807.56999999995"/>
    <x v="243"/>
    <x v="0"/>
  </r>
  <r>
    <n v="2"/>
    <x v="0"/>
    <x v="0"/>
    <n v="2"/>
    <n v="2"/>
    <x v="1"/>
    <n v="595.39999999991301"/>
    <x v="0"/>
    <n v="199936.00000000099"/>
    <n v="2000"/>
    <n v="200"/>
    <x v="0"/>
    <n v="565247.56999999995"/>
    <x v="244"/>
    <x v="1"/>
  </r>
  <r>
    <n v="3"/>
    <x v="0"/>
    <x v="0"/>
    <n v="2"/>
    <n v="3"/>
    <x v="1"/>
    <n v="510.39999999993302"/>
    <x v="0"/>
    <n v="165412"/>
    <n v="2000"/>
    <n v="200"/>
    <x v="0"/>
    <n v="628967.56999999995"/>
    <x v="245"/>
    <x v="1"/>
  </r>
  <r>
    <n v="4"/>
    <x v="0"/>
    <x v="0"/>
    <n v="3"/>
    <n v="1"/>
    <x v="1"/>
    <n v="455.79999999958397"/>
    <x v="0"/>
    <n v="162882"/>
    <n v="2000"/>
    <n v="200"/>
    <x v="0"/>
    <n v="650767.56999999995"/>
    <x v="246"/>
    <x v="1"/>
  </r>
  <r>
    <n v="5"/>
    <x v="0"/>
    <x v="0"/>
    <n v="3"/>
    <n v="2"/>
    <x v="1"/>
    <n v="514.60000000034302"/>
    <x v="0"/>
    <n v="141655.99999999901"/>
    <n v="2000"/>
    <n v="200"/>
    <x v="0"/>
    <n v="550806.77"/>
    <x v="247"/>
    <x v="0"/>
  </r>
  <r>
    <n v="6"/>
    <x v="0"/>
    <x v="0"/>
    <n v="3"/>
    <n v="3"/>
    <x v="1"/>
    <n v="535.59999999990305"/>
    <x v="0"/>
    <n v="373666"/>
    <n v="2000"/>
    <n v="200"/>
    <x v="0"/>
    <n v="655045.56999999995"/>
    <x v="248"/>
    <x v="1"/>
  </r>
  <r>
    <n v="7"/>
    <x v="0"/>
    <x v="1"/>
    <n v="2"/>
    <n v="1"/>
    <x v="1"/>
    <n v="354.799999999855"/>
    <x v="0"/>
    <n v="163982.00000000099"/>
    <n v="2000"/>
    <n v="200"/>
    <x v="0"/>
    <n v="561047.97"/>
    <x v="249"/>
    <x v="1"/>
  </r>
  <r>
    <n v="8"/>
    <x v="0"/>
    <x v="1"/>
    <n v="2"/>
    <n v="2"/>
    <x v="1"/>
    <n v="408.79999999958699"/>
    <x v="0"/>
    <n v="405767.00000000099"/>
    <n v="2000"/>
    <n v="200"/>
    <x v="0"/>
    <n v="571367.56999999995"/>
    <x v="250"/>
    <x v="1"/>
  </r>
  <r>
    <n v="9"/>
    <x v="0"/>
    <x v="1"/>
    <n v="2"/>
    <n v="3"/>
    <x v="1"/>
    <n v="315.400000000565"/>
    <x v="0"/>
    <n v="252100"/>
    <n v="2000"/>
    <n v="200"/>
    <x v="0"/>
    <n v="595407.97"/>
    <x v="251"/>
    <x v="1"/>
  </r>
  <r>
    <n v="10"/>
    <x v="0"/>
    <x v="1"/>
    <n v="3"/>
    <n v="1"/>
    <x v="1"/>
    <n v="303.20000000010299"/>
    <x v="0"/>
    <n v="297907"/>
    <n v="2000"/>
    <n v="200"/>
    <x v="0"/>
    <n v="587527.56999999995"/>
    <x v="252"/>
    <x v="1"/>
  </r>
  <r>
    <n v="11"/>
    <x v="0"/>
    <x v="1"/>
    <n v="3"/>
    <n v="2"/>
    <x v="1"/>
    <n v="291.60000000025798"/>
    <x v="0"/>
    <n v="486182"/>
    <n v="2000"/>
    <n v="200"/>
    <x v="0"/>
    <n v="564846.77"/>
    <x v="253"/>
    <x v="1"/>
  </r>
  <r>
    <n v="12"/>
    <x v="0"/>
    <x v="1"/>
    <n v="3"/>
    <n v="3"/>
    <x v="1"/>
    <n v="339.79999999971301"/>
    <x v="0"/>
    <n v="514257.00000000099"/>
    <n v="2000"/>
    <n v="200"/>
    <x v="0"/>
    <n v="597646.77"/>
    <x v="254"/>
    <x v="1"/>
  </r>
  <r>
    <n v="13"/>
    <x v="0"/>
    <x v="1"/>
    <n v="2"/>
    <n v="1"/>
    <x v="1"/>
    <n v="225.19999999985899"/>
    <x v="0"/>
    <n v="231354.99999999901"/>
    <n v="2000"/>
    <n v="200"/>
    <x v="0"/>
    <n v="587727.56999999995"/>
    <x v="255"/>
    <x v="0"/>
  </r>
  <r>
    <n v="14"/>
    <x v="0"/>
    <x v="1"/>
    <n v="2"/>
    <n v="2"/>
    <x v="1"/>
    <n v="285.80000000033601"/>
    <x v="0"/>
    <n v="254110.00000000099"/>
    <n v="2000"/>
    <n v="200"/>
    <x v="0"/>
    <n v="557967.17000000004"/>
    <x v="256"/>
    <x v="1"/>
  </r>
  <r>
    <n v="15"/>
    <x v="0"/>
    <x v="1"/>
    <n v="2"/>
    <n v="3"/>
    <x v="1"/>
    <n v="273.80000000007999"/>
    <x v="0"/>
    <n v="343735.00000000099"/>
    <n v="2000"/>
    <n v="200"/>
    <x v="0"/>
    <n v="558166.77"/>
    <x v="257"/>
    <x v="1"/>
  </r>
  <r>
    <n v="16"/>
    <x v="0"/>
    <x v="1"/>
    <n v="3"/>
    <n v="1"/>
    <x v="1"/>
    <n v="261.80000000017901"/>
    <x v="0"/>
    <n v="356192.00000000198"/>
    <n v="2000"/>
    <n v="200"/>
    <x v="0"/>
    <n v="583527.17000000004"/>
    <x v="258"/>
    <x v="1"/>
  </r>
  <r>
    <n v="17"/>
    <x v="0"/>
    <x v="1"/>
    <n v="3"/>
    <n v="2"/>
    <x v="1"/>
    <n v="255.000000001004"/>
    <x v="0"/>
    <n v="274740.00000000099"/>
    <n v="2000"/>
    <n v="200"/>
    <x v="0"/>
    <n v="590727.56999999995"/>
    <x v="259"/>
    <x v="1"/>
  </r>
  <r>
    <n v="18"/>
    <x v="0"/>
    <x v="1"/>
    <n v="3"/>
    <n v="3"/>
    <x v="1"/>
    <n v="307.79999999950297"/>
    <x v="0"/>
    <n v="771308.99999999895"/>
    <n v="2000"/>
    <n v="200"/>
    <x v="0"/>
    <n v="630764.77"/>
    <x v="260"/>
    <x v="1"/>
  </r>
  <r>
    <n v="19"/>
    <x v="0"/>
    <x v="2"/>
    <n v="2"/>
    <n v="1"/>
    <x v="1"/>
    <n v="241.399999999459"/>
    <x v="0"/>
    <n v="274275.99999999697"/>
    <n v="2000"/>
    <n v="200"/>
    <x v="0"/>
    <n v="567168.37"/>
    <x v="261"/>
    <x v="1"/>
  </r>
  <r>
    <n v="20"/>
    <x v="0"/>
    <x v="2"/>
    <n v="2"/>
    <n v="2"/>
    <x v="1"/>
    <n v="301.59999999952402"/>
    <x v="0"/>
    <n v="556574.00000000105"/>
    <n v="2000"/>
    <n v="200"/>
    <x v="0"/>
    <n v="568167.56999999995"/>
    <x v="262"/>
    <x v="1"/>
  </r>
  <r>
    <n v="21"/>
    <x v="0"/>
    <x v="2"/>
    <n v="2"/>
    <n v="3"/>
    <x v="1"/>
    <n v="295.000000000201"/>
    <x v="0"/>
    <n v="1036061"/>
    <n v="2000"/>
    <n v="200"/>
    <x v="0"/>
    <n v="569487.17000000004"/>
    <x v="263"/>
    <x v="1"/>
  </r>
  <r>
    <n v="22"/>
    <x v="0"/>
    <x v="2"/>
    <n v="3"/>
    <n v="1"/>
    <x v="1"/>
    <n v="284.20000000011203"/>
    <x v="0"/>
    <n v="788309.00000000198"/>
    <n v="2000"/>
    <n v="200"/>
    <x v="0"/>
    <n v="597887.97"/>
    <x v="264"/>
    <x v="1"/>
  </r>
  <r>
    <n v="23"/>
    <x v="0"/>
    <x v="2"/>
    <n v="3"/>
    <n v="2"/>
    <x v="1"/>
    <n v="292.800000000426"/>
    <x v="0"/>
    <n v="713013"/>
    <n v="2000"/>
    <n v="200"/>
    <x v="0"/>
    <n v="656288.77"/>
    <x v="265"/>
    <x v="1"/>
  </r>
  <r>
    <n v="24"/>
    <x v="0"/>
    <x v="2"/>
    <n v="3"/>
    <n v="3"/>
    <x v="1"/>
    <n v="352.60000000043601"/>
    <x v="0"/>
    <n v="1699718"/>
    <n v="2000"/>
    <n v="200"/>
    <x v="0"/>
    <n v="552927.97"/>
    <x v="266"/>
    <x v="1"/>
  </r>
  <r>
    <n v="25"/>
    <x v="0"/>
    <x v="3"/>
    <n v="3"/>
    <n v="1"/>
    <x v="1"/>
    <n v="315.00000000015399"/>
    <x v="0"/>
    <n v="748591.99999999895"/>
    <n v="2000"/>
    <n v="200"/>
    <x v="0"/>
    <n v="575367.97"/>
    <x v="267"/>
    <x v="1"/>
  </r>
  <r>
    <n v="26"/>
    <x v="0"/>
    <x v="3"/>
    <n v="3"/>
    <n v="2"/>
    <x v="1"/>
    <n v="324.400000000224"/>
    <x v="0"/>
    <n v="1090027"/>
    <n v="2000"/>
    <n v="200"/>
    <x v="0"/>
    <n v="567129.17000000004"/>
    <x v="268"/>
    <x v="1"/>
  </r>
  <r>
    <n v="27"/>
    <x v="0"/>
    <x v="3"/>
    <n v="3"/>
    <n v="3"/>
    <x v="1"/>
    <n v="408.40000000024202"/>
    <x v="0"/>
    <n v="1930913"/>
    <n v="2000"/>
    <n v="200"/>
    <x v="0"/>
    <n v="580084.77"/>
    <x v="269"/>
    <x v="1"/>
  </r>
  <r>
    <n v="1"/>
    <x v="0"/>
    <x v="0"/>
    <n v="2"/>
    <n v="1"/>
    <x v="1"/>
    <n v="686.60000000022603"/>
    <x v="0"/>
    <n v="133155"/>
    <n v="2000"/>
    <n v="300"/>
    <x v="0"/>
    <n v="848807.57"/>
    <x v="270"/>
    <x v="0"/>
  </r>
  <r>
    <n v="2"/>
    <x v="0"/>
    <x v="0"/>
    <n v="2"/>
    <n v="2"/>
    <x v="1"/>
    <n v="595.39999999991301"/>
    <x v="0"/>
    <n v="199936.00000000099"/>
    <n v="2000"/>
    <n v="300"/>
    <x v="0"/>
    <n v="765246.77"/>
    <x v="271"/>
    <x v="1"/>
  </r>
  <r>
    <n v="3"/>
    <x v="0"/>
    <x v="0"/>
    <n v="2"/>
    <n v="3"/>
    <x v="1"/>
    <n v="510.39999999993302"/>
    <x v="0"/>
    <n v="165412"/>
    <n v="2000"/>
    <n v="300"/>
    <x v="0"/>
    <n v="828967.97"/>
    <x v="272"/>
    <x v="0"/>
  </r>
  <r>
    <n v="4"/>
    <x v="0"/>
    <x v="0"/>
    <n v="3"/>
    <n v="1"/>
    <x v="1"/>
    <n v="455.79999999958397"/>
    <x v="0"/>
    <n v="162882"/>
    <n v="2000"/>
    <n v="300"/>
    <x v="0"/>
    <n v="850767.97"/>
    <x v="273"/>
    <x v="0"/>
  </r>
  <r>
    <n v="5"/>
    <x v="0"/>
    <x v="0"/>
    <n v="3"/>
    <n v="2"/>
    <x v="1"/>
    <n v="514.60000000034302"/>
    <x v="0"/>
    <n v="141655.99999999901"/>
    <n v="2000"/>
    <n v="300"/>
    <x v="0"/>
    <n v="750807.17"/>
    <x v="274"/>
    <x v="1"/>
  </r>
  <r>
    <n v="6"/>
    <x v="0"/>
    <x v="0"/>
    <n v="3"/>
    <n v="3"/>
    <x v="1"/>
    <n v="535.59999999990305"/>
    <x v="0"/>
    <n v="373666"/>
    <n v="2000"/>
    <n v="300"/>
    <x v="0"/>
    <n v="855045.57"/>
    <x v="275"/>
    <x v="1"/>
  </r>
  <r>
    <n v="7"/>
    <x v="0"/>
    <x v="1"/>
    <n v="2"/>
    <n v="1"/>
    <x v="1"/>
    <n v="354.799999999855"/>
    <x v="0"/>
    <n v="163982.00000000099"/>
    <n v="2000"/>
    <n v="300"/>
    <x v="0"/>
    <n v="761046.77"/>
    <x v="276"/>
    <x v="0"/>
  </r>
  <r>
    <n v="8"/>
    <x v="0"/>
    <x v="1"/>
    <n v="2"/>
    <n v="2"/>
    <x v="1"/>
    <n v="408.79999999958699"/>
    <x v="0"/>
    <n v="405767.00000000099"/>
    <n v="2000"/>
    <n v="300"/>
    <x v="0"/>
    <n v="771366.77"/>
    <x v="277"/>
    <x v="1"/>
  </r>
  <r>
    <n v="9"/>
    <x v="0"/>
    <x v="1"/>
    <n v="2"/>
    <n v="3"/>
    <x v="1"/>
    <n v="315.400000000565"/>
    <x v="0"/>
    <n v="252100"/>
    <n v="2000"/>
    <n v="300"/>
    <x v="0"/>
    <n v="795405.17"/>
    <x v="278"/>
    <x v="1"/>
  </r>
  <r>
    <n v="10"/>
    <x v="0"/>
    <x v="1"/>
    <n v="3"/>
    <n v="1"/>
    <x v="1"/>
    <n v="303.20000000010299"/>
    <x v="0"/>
    <n v="297907"/>
    <n v="2000"/>
    <n v="300"/>
    <x v="0"/>
    <n v="787527.57"/>
    <x v="279"/>
    <x v="1"/>
  </r>
  <r>
    <n v="11"/>
    <x v="0"/>
    <x v="1"/>
    <n v="3"/>
    <n v="2"/>
    <x v="1"/>
    <n v="291.60000000025798"/>
    <x v="0"/>
    <n v="486182"/>
    <n v="2000"/>
    <n v="300"/>
    <x v="0"/>
    <n v="764845.97"/>
    <x v="280"/>
    <x v="1"/>
  </r>
  <r>
    <n v="12"/>
    <x v="0"/>
    <x v="1"/>
    <n v="3"/>
    <n v="3"/>
    <x v="1"/>
    <n v="339.79999999971301"/>
    <x v="0"/>
    <n v="514257.00000000099"/>
    <n v="2000"/>
    <n v="300"/>
    <x v="0"/>
    <n v="797646.77"/>
    <x v="281"/>
    <x v="1"/>
  </r>
  <r>
    <n v="13"/>
    <x v="0"/>
    <x v="1"/>
    <n v="2"/>
    <n v="1"/>
    <x v="1"/>
    <n v="225.19999999985899"/>
    <x v="0"/>
    <n v="231354.99999999901"/>
    <n v="2000"/>
    <n v="300"/>
    <x v="0"/>
    <n v="787727.97"/>
    <x v="282"/>
    <x v="0"/>
  </r>
  <r>
    <n v="14"/>
    <x v="0"/>
    <x v="1"/>
    <n v="2"/>
    <n v="2"/>
    <x v="1"/>
    <n v="285.80000000033601"/>
    <x v="0"/>
    <n v="254110.00000000099"/>
    <n v="2000"/>
    <n v="300"/>
    <x v="0"/>
    <n v="757967.17"/>
    <x v="283"/>
    <x v="1"/>
  </r>
  <r>
    <n v="15"/>
    <x v="0"/>
    <x v="1"/>
    <n v="2"/>
    <n v="3"/>
    <x v="1"/>
    <n v="273.80000000007999"/>
    <x v="0"/>
    <n v="343735.00000000099"/>
    <n v="2000"/>
    <n v="300"/>
    <x v="0"/>
    <n v="758166.77"/>
    <x v="284"/>
    <x v="1"/>
  </r>
  <r>
    <n v="16"/>
    <x v="0"/>
    <x v="1"/>
    <n v="3"/>
    <n v="1"/>
    <x v="1"/>
    <n v="261.80000000017901"/>
    <x v="0"/>
    <n v="356192.00000000198"/>
    <n v="2000"/>
    <n v="300"/>
    <x v="0"/>
    <n v="783527.17"/>
    <x v="285"/>
    <x v="1"/>
  </r>
  <r>
    <n v="17"/>
    <x v="0"/>
    <x v="1"/>
    <n v="3"/>
    <n v="2"/>
    <x v="1"/>
    <n v="255.000000001004"/>
    <x v="0"/>
    <n v="274740.00000000099"/>
    <n v="2000"/>
    <n v="300"/>
    <x v="0"/>
    <n v="790727.57"/>
    <x v="286"/>
    <x v="1"/>
  </r>
  <r>
    <n v="18"/>
    <x v="0"/>
    <x v="1"/>
    <n v="3"/>
    <n v="3"/>
    <x v="1"/>
    <n v="307.79999999950297"/>
    <x v="0"/>
    <n v="771308.99999999895"/>
    <n v="2000"/>
    <n v="300"/>
    <x v="0"/>
    <n v="830765.17"/>
    <x v="287"/>
    <x v="1"/>
  </r>
  <r>
    <n v="19"/>
    <x v="0"/>
    <x v="2"/>
    <n v="2"/>
    <n v="1"/>
    <x v="1"/>
    <n v="241.399999999459"/>
    <x v="0"/>
    <n v="274275.99999999697"/>
    <n v="2000"/>
    <n v="300"/>
    <x v="0"/>
    <n v="767167.57"/>
    <x v="288"/>
    <x v="0"/>
  </r>
  <r>
    <n v="20"/>
    <x v="0"/>
    <x v="2"/>
    <n v="2"/>
    <n v="2"/>
    <x v="1"/>
    <n v="301.59999999952402"/>
    <x v="0"/>
    <n v="556574.00000000105"/>
    <n v="2000"/>
    <n v="300"/>
    <x v="0"/>
    <n v="768166.77"/>
    <x v="289"/>
    <x v="1"/>
  </r>
  <r>
    <n v="21"/>
    <x v="0"/>
    <x v="2"/>
    <n v="2"/>
    <n v="3"/>
    <x v="1"/>
    <n v="295.000000000201"/>
    <x v="0"/>
    <n v="1036061"/>
    <n v="2000"/>
    <n v="300"/>
    <x v="0"/>
    <n v="769486.77"/>
    <x v="290"/>
    <x v="1"/>
  </r>
  <r>
    <n v="22"/>
    <x v="0"/>
    <x v="2"/>
    <n v="3"/>
    <n v="1"/>
    <x v="1"/>
    <n v="284.20000000011203"/>
    <x v="0"/>
    <n v="788309.00000000198"/>
    <n v="2000"/>
    <n v="300"/>
    <x v="0"/>
    <n v="797887.57"/>
    <x v="291"/>
    <x v="1"/>
  </r>
  <r>
    <n v="23"/>
    <x v="0"/>
    <x v="2"/>
    <n v="3"/>
    <n v="2"/>
    <x v="1"/>
    <n v="292.800000000426"/>
    <x v="0"/>
    <n v="713013"/>
    <n v="2000"/>
    <n v="300"/>
    <x v="0"/>
    <n v="856288.77"/>
    <x v="292"/>
    <x v="1"/>
  </r>
  <r>
    <n v="24"/>
    <x v="0"/>
    <x v="2"/>
    <n v="3"/>
    <n v="3"/>
    <x v="1"/>
    <n v="352.60000000043601"/>
    <x v="0"/>
    <n v="1699718"/>
    <n v="2000"/>
    <n v="300"/>
    <x v="0"/>
    <n v="752928.37"/>
    <x v="293"/>
    <x v="1"/>
  </r>
  <r>
    <n v="25"/>
    <x v="0"/>
    <x v="3"/>
    <n v="3"/>
    <n v="1"/>
    <x v="1"/>
    <n v="315.00000000015399"/>
    <x v="0"/>
    <n v="748591.99999999895"/>
    <n v="2000"/>
    <n v="300"/>
    <x v="0"/>
    <n v="775367.57"/>
    <x v="294"/>
    <x v="1"/>
  </r>
  <r>
    <n v="26"/>
    <x v="0"/>
    <x v="3"/>
    <n v="3"/>
    <n v="2"/>
    <x v="1"/>
    <n v="324.400000000224"/>
    <x v="0"/>
    <n v="1090027"/>
    <n v="2000"/>
    <n v="300"/>
    <x v="0"/>
    <n v="767129.17"/>
    <x v="295"/>
    <x v="1"/>
  </r>
  <r>
    <n v="27"/>
    <x v="0"/>
    <x v="3"/>
    <n v="3"/>
    <n v="3"/>
    <x v="1"/>
    <n v="408.40000000024202"/>
    <x v="0"/>
    <n v="1930913"/>
    <n v="2000"/>
    <n v="300"/>
    <x v="0"/>
    <n v="780084.37"/>
    <x v="296"/>
    <x v="1"/>
  </r>
  <r>
    <n v="1"/>
    <x v="0"/>
    <x v="0"/>
    <n v="2"/>
    <n v="1"/>
    <x v="1"/>
    <n v="686.60000000022603"/>
    <x v="0"/>
    <n v="133155"/>
    <n v="1000"/>
    <n v="300"/>
    <x v="0"/>
    <n v="432367.17"/>
    <x v="297"/>
    <x v="0"/>
  </r>
  <r>
    <n v="2"/>
    <x v="0"/>
    <x v="0"/>
    <n v="2"/>
    <n v="2"/>
    <x v="1"/>
    <n v="595.39999999991301"/>
    <x v="0"/>
    <n v="199936.00000000099"/>
    <n v="1000"/>
    <n v="300"/>
    <x v="0"/>
    <n v="390586.77"/>
    <x v="298"/>
    <x v="1"/>
  </r>
  <r>
    <n v="3"/>
    <x v="0"/>
    <x v="0"/>
    <n v="2"/>
    <n v="3"/>
    <x v="1"/>
    <n v="510.39999999993302"/>
    <x v="0"/>
    <n v="165412"/>
    <n v="1000"/>
    <n v="300"/>
    <x v="0"/>
    <n v="422447.17"/>
    <x v="299"/>
    <x v="1"/>
  </r>
  <r>
    <n v="4"/>
    <x v="0"/>
    <x v="0"/>
    <n v="3"/>
    <n v="1"/>
    <x v="1"/>
    <n v="455.79999999958397"/>
    <x v="0"/>
    <n v="162882"/>
    <n v="1000"/>
    <n v="300"/>
    <x v="0"/>
    <n v="433347.57"/>
    <x v="300"/>
    <x v="1"/>
  </r>
  <r>
    <n v="5"/>
    <x v="0"/>
    <x v="0"/>
    <n v="3"/>
    <n v="2"/>
    <x v="1"/>
    <n v="514.60000000034302"/>
    <x v="0"/>
    <n v="141655.99999999901"/>
    <n v="1000"/>
    <n v="300"/>
    <x v="0"/>
    <n v="383366.77"/>
    <x v="301"/>
    <x v="1"/>
  </r>
  <r>
    <n v="6"/>
    <x v="0"/>
    <x v="0"/>
    <n v="3"/>
    <n v="3"/>
    <x v="1"/>
    <n v="535.59999999990305"/>
    <x v="0"/>
    <n v="373666"/>
    <n v="1000"/>
    <n v="300"/>
    <x v="0"/>
    <n v="435485.17"/>
    <x v="302"/>
    <x v="1"/>
  </r>
  <r>
    <n v="7"/>
    <x v="0"/>
    <x v="1"/>
    <n v="2"/>
    <n v="1"/>
    <x v="1"/>
    <n v="354.799999999855"/>
    <x v="0"/>
    <n v="163982.00000000099"/>
    <n v="1000"/>
    <n v="300"/>
    <x v="0"/>
    <n v="388486.37"/>
    <x v="303"/>
    <x v="0"/>
  </r>
  <r>
    <n v="8"/>
    <x v="0"/>
    <x v="1"/>
    <n v="2"/>
    <n v="2"/>
    <x v="1"/>
    <n v="408.79999999958699"/>
    <x v="0"/>
    <n v="405767.00000000099"/>
    <n v="1000"/>
    <n v="300"/>
    <x v="0"/>
    <n v="393647.17"/>
    <x v="304"/>
    <x v="1"/>
  </r>
  <r>
    <n v="9"/>
    <x v="0"/>
    <x v="1"/>
    <n v="2"/>
    <n v="3"/>
    <x v="1"/>
    <n v="315.400000000565"/>
    <x v="0"/>
    <n v="252100"/>
    <n v="1000"/>
    <n v="300"/>
    <x v="0"/>
    <n v="405665.97"/>
    <x v="305"/>
    <x v="1"/>
  </r>
  <r>
    <n v="10"/>
    <x v="0"/>
    <x v="1"/>
    <n v="3"/>
    <n v="1"/>
    <x v="1"/>
    <n v="303.20000000010299"/>
    <x v="0"/>
    <n v="297907"/>
    <n v="1000"/>
    <n v="300"/>
    <x v="0"/>
    <n v="401727.17"/>
    <x v="306"/>
    <x v="1"/>
  </r>
  <r>
    <n v="11"/>
    <x v="0"/>
    <x v="1"/>
    <n v="3"/>
    <n v="2"/>
    <x v="1"/>
    <n v="291.60000000025798"/>
    <x v="0"/>
    <n v="486182"/>
    <n v="1000"/>
    <n v="300"/>
    <x v="0"/>
    <n v="390386.37"/>
    <x v="307"/>
    <x v="1"/>
  </r>
  <r>
    <n v="12"/>
    <x v="0"/>
    <x v="1"/>
    <n v="3"/>
    <n v="3"/>
    <x v="1"/>
    <n v="339.79999999971301"/>
    <x v="0"/>
    <n v="514257.00000000099"/>
    <n v="1000"/>
    <n v="300"/>
    <x v="0"/>
    <n v="406786.37"/>
    <x v="308"/>
    <x v="1"/>
  </r>
  <r>
    <n v="13"/>
    <x v="0"/>
    <x v="1"/>
    <n v="2"/>
    <n v="1"/>
    <x v="1"/>
    <n v="225.19999999985899"/>
    <x v="0"/>
    <n v="231354.99999999901"/>
    <n v="1000"/>
    <n v="300"/>
    <x v="0"/>
    <n v="401827.17"/>
    <x v="309"/>
    <x v="0"/>
  </r>
  <r>
    <n v="14"/>
    <x v="0"/>
    <x v="1"/>
    <n v="2"/>
    <n v="2"/>
    <x v="1"/>
    <n v="285.80000000033601"/>
    <x v="0"/>
    <n v="254110.00000000099"/>
    <n v="1000"/>
    <n v="300"/>
    <x v="0"/>
    <n v="386946.37"/>
    <x v="310"/>
    <x v="1"/>
  </r>
  <r>
    <n v="15"/>
    <x v="0"/>
    <x v="1"/>
    <n v="2"/>
    <n v="3"/>
    <x v="1"/>
    <n v="273.80000000007999"/>
    <x v="0"/>
    <n v="343735.00000000099"/>
    <n v="1000"/>
    <n v="300"/>
    <x v="0"/>
    <n v="387046.77"/>
    <x v="311"/>
    <x v="1"/>
  </r>
  <r>
    <n v="16"/>
    <x v="0"/>
    <x v="1"/>
    <n v="3"/>
    <n v="1"/>
    <x v="1"/>
    <n v="261.80000000017901"/>
    <x v="0"/>
    <n v="356192.00000000198"/>
    <n v="1000"/>
    <n v="300"/>
    <x v="0"/>
    <n v="399726.77"/>
    <x v="312"/>
    <x v="1"/>
  </r>
  <r>
    <n v="17"/>
    <x v="0"/>
    <x v="1"/>
    <n v="3"/>
    <n v="2"/>
    <x v="1"/>
    <n v="255.000000001004"/>
    <x v="0"/>
    <n v="274740.00000000099"/>
    <n v="1000"/>
    <n v="300"/>
    <x v="0"/>
    <n v="403327.17"/>
    <x v="313"/>
    <x v="1"/>
  </r>
  <r>
    <n v="18"/>
    <x v="0"/>
    <x v="1"/>
    <n v="3"/>
    <n v="3"/>
    <x v="1"/>
    <n v="307.79999999950297"/>
    <x v="0"/>
    <n v="771308.99999999895"/>
    <n v="1000"/>
    <n v="300"/>
    <x v="0"/>
    <n v="423345.17"/>
    <x v="314"/>
    <x v="1"/>
  </r>
  <r>
    <n v="19"/>
    <x v="0"/>
    <x v="2"/>
    <n v="2"/>
    <n v="1"/>
    <x v="1"/>
    <n v="241.399999999459"/>
    <x v="0"/>
    <n v="274275.99999999697"/>
    <n v="1000"/>
    <n v="300"/>
    <x v="0"/>
    <n v="391547.17"/>
    <x v="315"/>
    <x v="1"/>
  </r>
  <r>
    <n v="20"/>
    <x v="0"/>
    <x v="2"/>
    <n v="2"/>
    <n v="2"/>
    <x v="1"/>
    <n v="301.59999999952402"/>
    <x v="0"/>
    <n v="556574.00000000105"/>
    <n v="1000"/>
    <n v="300"/>
    <x v="0"/>
    <n v="392047.17"/>
    <x v="316"/>
    <x v="1"/>
  </r>
  <r>
    <n v="21"/>
    <x v="0"/>
    <x v="2"/>
    <n v="2"/>
    <n v="3"/>
    <x v="1"/>
    <n v="295.000000000201"/>
    <x v="0"/>
    <n v="1036061"/>
    <n v="1000"/>
    <n v="300"/>
    <x v="0"/>
    <n v="392706.37"/>
    <x v="317"/>
    <x v="1"/>
  </r>
  <r>
    <n v="22"/>
    <x v="0"/>
    <x v="2"/>
    <n v="3"/>
    <n v="1"/>
    <x v="1"/>
    <n v="284.20000000011203"/>
    <x v="0"/>
    <n v="788309.00000000198"/>
    <n v="1000"/>
    <n v="300"/>
    <x v="0"/>
    <n v="406906.77"/>
    <x v="318"/>
    <x v="1"/>
  </r>
  <r>
    <n v="23"/>
    <x v="0"/>
    <x v="2"/>
    <n v="3"/>
    <n v="2"/>
    <x v="1"/>
    <n v="292.800000000426"/>
    <x v="0"/>
    <n v="713013"/>
    <n v="1000"/>
    <n v="300"/>
    <x v="0"/>
    <n v="436107.97"/>
    <x v="319"/>
    <x v="1"/>
  </r>
  <r>
    <n v="24"/>
    <x v="0"/>
    <x v="2"/>
    <n v="3"/>
    <n v="3"/>
    <x v="1"/>
    <n v="352.60000000043601"/>
    <x v="0"/>
    <n v="1699718"/>
    <n v="1000"/>
    <n v="300"/>
    <x v="0"/>
    <n v="384427.17"/>
    <x v="320"/>
    <x v="1"/>
  </r>
  <r>
    <n v="25"/>
    <x v="0"/>
    <x v="3"/>
    <n v="3"/>
    <n v="1"/>
    <x v="1"/>
    <n v="315.00000000015399"/>
    <x v="0"/>
    <n v="748591.99999999895"/>
    <n v="1000"/>
    <n v="300"/>
    <x v="0"/>
    <n v="395647.57"/>
    <x v="321"/>
    <x v="1"/>
  </r>
  <r>
    <n v="26"/>
    <x v="0"/>
    <x v="3"/>
    <n v="3"/>
    <n v="2"/>
    <x v="1"/>
    <n v="324.400000000224"/>
    <x v="0"/>
    <n v="1090027"/>
    <n v="1000"/>
    <n v="300"/>
    <x v="0"/>
    <n v="391527.97"/>
    <x v="322"/>
    <x v="1"/>
  </r>
  <r>
    <n v="27"/>
    <x v="0"/>
    <x v="3"/>
    <n v="3"/>
    <n v="3"/>
    <x v="1"/>
    <n v="408.40000000024202"/>
    <x v="0"/>
    <n v="1930913"/>
    <n v="1000"/>
    <n v="300"/>
    <x v="0"/>
    <n v="398005.57"/>
    <x v="323"/>
    <x v="1"/>
  </r>
  <r>
    <n v="1"/>
    <x v="0"/>
    <x v="0"/>
    <n v="2"/>
    <n v="1"/>
    <x v="1"/>
    <n v="686.60000000022603"/>
    <x v="0"/>
    <n v="133155"/>
    <n v="1000"/>
    <n v="500"/>
    <x v="0"/>
    <n v="632363.97"/>
    <x v="324"/>
    <x v="0"/>
  </r>
  <r>
    <n v="2"/>
    <x v="0"/>
    <x v="0"/>
    <n v="2"/>
    <n v="2"/>
    <x v="1"/>
    <n v="595.39999999991301"/>
    <x v="0"/>
    <n v="199936.00000000099"/>
    <n v="1000"/>
    <n v="500"/>
    <x v="0"/>
    <n v="590583.17000000004"/>
    <x v="325"/>
    <x v="1"/>
  </r>
  <r>
    <n v="3"/>
    <x v="0"/>
    <x v="0"/>
    <n v="2"/>
    <n v="3"/>
    <x v="1"/>
    <n v="510.39999999993302"/>
    <x v="0"/>
    <n v="165412"/>
    <n v="1000"/>
    <n v="500"/>
    <x v="0"/>
    <n v="622444.37"/>
    <x v="326"/>
    <x v="0"/>
  </r>
  <r>
    <n v="4"/>
    <x v="0"/>
    <x v="0"/>
    <n v="3"/>
    <n v="1"/>
    <x v="1"/>
    <n v="455.79999999958397"/>
    <x v="0"/>
    <n v="162882"/>
    <n v="1000"/>
    <n v="500"/>
    <x v="0"/>
    <n v="633343.97"/>
    <x v="327"/>
    <x v="0"/>
  </r>
  <r>
    <n v="5"/>
    <x v="0"/>
    <x v="0"/>
    <n v="3"/>
    <n v="2"/>
    <x v="1"/>
    <n v="514.60000000034302"/>
    <x v="0"/>
    <n v="141655.99999999901"/>
    <n v="1000"/>
    <n v="500"/>
    <x v="0"/>
    <n v="583363.56999999995"/>
    <x v="328"/>
    <x v="1"/>
  </r>
  <r>
    <n v="6"/>
    <x v="0"/>
    <x v="0"/>
    <n v="3"/>
    <n v="3"/>
    <x v="1"/>
    <n v="535.59999999990305"/>
    <x v="0"/>
    <n v="373666"/>
    <n v="1000"/>
    <n v="500"/>
    <x v="0"/>
    <n v="635481.97"/>
    <x v="329"/>
    <x v="1"/>
  </r>
  <r>
    <n v="7"/>
    <x v="0"/>
    <x v="1"/>
    <n v="2"/>
    <n v="1"/>
    <x v="1"/>
    <n v="354.799999999855"/>
    <x v="0"/>
    <n v="163982.00000000099"/>
    <n v="1000"/>
    <n v="500"/>
    <x v="0"/>
    <n v="588483.56999999995"/>
    <x v="330"/>
    <x v="1"/>
  </r>
  <r>
    <n v="8"/>
    <x v="0"/>
    <x v="1"/>
    <n v="2"/>
    <n v="2"/>
    <x v="1"/>
    <n v="408.79999999958699"/>
    <x v="0"/>
    <n v="405767.00000000099"/>
    <n v="1000"/>
    <n v="500"/>
    <x v="0"/>
    <n v="593643.17000000004"/>
    <x v="331"/>
    <x v="1"/>
  </r>
  <r>
    <n v="9"/>
    <x v="0"/>
    <x v="1"/>
    <n v="2"/>
    <n v="3"/>
    <x v="1"/>
    <n v="315.400000000565"/>
    <x v="0"/>
    <n v="252100"/>
    <n v="1000"/>
    <n v="500"/>
    <x v="0"/>
    <n v="605662.77"/>
    <x v="332"/>
    <x v="1"/>
  </r>
  <r>
    <n v="10"/>
    <x v="0"/>
    <x v="1"/>
    <n v="3"/>
    <n v="1"/>
    <x v="1"/>
    <n v="303.20000000010299"/>
    <x v="0"/>
    <n v="297907"/>
    <n v="1000"/>
    <n v="500"/>
    <x v="0"/>
    <n v="601723.97"/>
    <x v="333"/>
    <x v="1"/>
  </r>
  <r>
    <n v="11"/>
    <x v="0"/>
    <x v="1"/>
    <n v="3"/>
    <n v="2"/>
    <x v="1"/>
    <n v="291.60000000025798"/>
    <x v="0"/>
    <n v="486182"/>
    <n v="1000"/>
    <n v="500"/>
    <x v="0"/>
    <n v="590383.17000000004"/>
    <x v="334"/>
    <x v="1"/>
  </r>
  <r>
    <n v="12"/>
    <x v="0"/>
    <x v="1"/>
    <n v="3"/>
    <n v="3"/>
    <x v="1"/>
    <n v="339.79999999971301"/>
    <x v="0"/>
    <n v="514257.00000000099"/>
    <n v="1000"/>
    <n v="500"/>
    <x v="0"/>
    <n v="606783.17000000004"/>
    <x v="335"/>
    <x v="1"/>
  </r>
  <r>
    <n v="13"/>
    <x v="0"/>
    <x v="1"/>
    <n v="2"/>
    <n v="1"/>
    <x v="1"/>
    <n v="225.19999999985899"/>
    <x v="0"/>
    <n v="231354.99999999901"/>
    <n v="1000"/>
    <n v="500"/>
    <x v="0"/>
    <n v="601823.97"/>
    <x v="336"/>
    <x v="0"/>
  </r>
  <r>
    <n v="14"/>
    <x v="0"/>
    <x v="1"/>
    <n v="2"/>
    <n v="2"/>
    <x v="1"/>
    <n v="285.80000000033601"/>
    <x v="0"/>
    <n v="254110.00000000099"/>
    <n v="1000"/>
    <n v="500"/>
    <x v="0"/>
    <n v="586943.97"/>
    <x v="337"/>
    <x v="1"/>
  </r>
  <r>
    <n v="15"/>
    <x v="0"/>
    <x v="1"/>
    <n v="2"/>
    <n v="3"/>
    <x v="1"/>
    <n v="273.80000000007999"/>
    <x v="0"/>
    <n v="343735.00000000099"/>
    <n v="1000"/>
    <n v="500"/>
    <x v="0"/>
    <n v="587043.97"/>
    <x v="338"/>
    <x v="1"/>
  </r>
  <r>
    <n v="16"/>
    <x v="0"/>
    <x v="1"/>
    <n v="3"/>
    <n v="1"/>
    <x v="1"/>
    <n v="261.80000000017901"/>
    <x v="0"/>
    <n v="356192.00000000198"/>
    <n v="1000"/>
    <n v="500"/>
    <x v="0"/>
    <n v="599723.97"/>
    <x v="339"/>
    <x v="1"/>
  </r>
  <r>
    <n v="17"/>
    <x v="0"/>
    <x v="1"/>
    <n v="3"/>
    <n v="2"/>
    <x v="1"/>
    <n v="255.000000001004"/>
    <x v="0"/>
    <n v="274740.00000000099"/>
    <n v="1000"/>
    <n v="500"/>
    <x v="0"/>
    <n v="603323.97"/>
    <x v="340"/>
    <x v="1"/>
  </r>
  <r>
    <n v="18"/>
    <x v="0"/>
    <x v="1"/>
    <n v="3"/>
    <n v="3"/>
    <x v="1"/>
    <n v="307.79999999950297"/>
    <x v="0"/>
    <n v="771308.99999999895"/>
    <n v="1000"/>
    <n v="500"/>
    <x v="0"/>
    <n v="623341.17000000004"/>
    <x v="341"/>
    <x v="1"/>
  </r>
  <r>
    <n v="19"/>
    <x v="0"/>
    <x v="2"/>
    <n v="2"/>
    <n v="1"/>
    <x v="1"/>
    <n v="241.399999999459"/>
    <x v="0"/>
    <n v="274275.99999999697"/>
    <n v="1000"/>
    <n v="500"/>
    <x v="0"/>
    <n v="591543.17000000004"/>
    <x v="342"/>
    <x v="0"/>
  </r>
  <r>
    <n v="20"/>
    <x v="0"/>
    <x v="2"/>
    <n v="2"/>
    <n v="2"/>
    <x v="1"/>
    <n v="301.59999999952402"/>
    <x v="0"/>
    <n v="556574.00000000105"/>
    <n v="1000"/>
    <n v="500"/>
    <x v="0"/>
    <n v="592044.37"/>
    <x v="343"/>
    <x v="1"/>
  </r>
  <r>
    <n v="21"/>
    <x v="0"/>
    <x v="2"/>
    <n v="2"/>
    <n v="3"/>
    <x v="1"/>
    <n v="295.000000000201"/>
    <x v="0"/>
    <n v="1036061"/>
    <n v="1000"/>
    <n v="500"/>
    <x v="0"/>
    <n v="592703.56999999995"/>
    <x v="344"/>
    <x v="1"/>
  </r>
  <r>
    <n v="22"/>
    <x v="0"/>
    <x v="2"/>
    <n v="3"/>
    <n v="1"/>
    <x v="1"/>
    <n v="284.20000000011203"/>
    <x v="0"/>
    <n v="788309.00000000198"/>
    <n v="1000"/>
    <n v="500"/>
    <x v="0"/>
    <n v="606904.37"/>
    <x v="345"/>
    <x v="1"/>
  </r>
  <r>
    <n v="23"/>
    <x v="0"/>
    <x v="2"/>
    <n v="3"/>
    <n v="2"/>
    <x v="1"/>
    <n v="292.800000000426"/>
    <x v="0"/>
    <n v="713013"/>
    <n v="1000"/>
    <n v="500"/>
    <x v="0"/>
    <n v="636105.17000000004"/>
    <x v="346"/>
    <x v="1"/>
  </r>
  <r>
    <n v="24"/>
    <x v="0"/>
    <x v="2"/>
    <n v="3"/>
    <n v="3"/>
    <x v="1"/>
    <n v="352.60000000043601"/>
    <x v="0"/>
    <n v="1699718"/>
    <n v="1000"/>
    <n v="500"/>
    <x v="0"/>
    <n v="584425.17000000004"/>
    <x v="347"/>
    <x v="1"/>
  </r>
  <r>
    <n v="25"/>
    <x v="0"/>
    <x v="3"/>
    <n v="3"/>
    <n v="1"/>
    <x v="1"/>
    <n v="315.00000000015399"/>
    <x v="0"/>
    <n v="748591.99999999895"/>
    <n v="1000"/>
    <n v="500"/>
    <x v="0"/>
    <n v="595644.37"/>
    <x v="348"/>
    <x v="1"/>
  </r>
  <r>
    <n v="26"/>
    <x v="0"/>
    <x v="3"/>
    <n v="3"/>
    <n v="2"/>
    <x v="1"/>
    <n v="324.400000000224"/>
    <x v="0"/>
    <n v="1090027"/>
    <n v="1000"/>
    <n v="500"/>
    <x v="0"/>
    <n v="591526.37"/>
    <x v="349"/>
    <x v="1"/>
  </r>
  <r>
    <n v="27"/>
    <x v="0"/>
    <x v="3"/>
    <n v="3"/>
    <n v="3"/>
    <x v="1"/>
    <n v="408.40000000024202"/>
    <x v="0"/>
    <n v="1930913"/>
    <n v="1000"/>
    <n v="500"/>
    <x v="0"/>
    <n v="598002.37"/>
    <x v="350"/>
    <x v="1"/>
  </r>
  <r>
    <n v="1"/>
    <x v="0"/>
    <x v="0"/>
    <n v="2"/>
    <n v="1"/>
    <x v="1"/>
    <n v="686.60000000022603"/>
    <x v="0"/>
    <n v="133155"/>
    <n v="1000"/>
    <n v="700"/>
    <x v="0"/>
    <n v="832363.97"/>
    <x v="351"/>
    <x v="0"/>
  </r>
  <r>
    <n v="2"/>
    <x v="0"/>
    <x v="0"/>
    <n v="2"/>
    <n v="2"/>
    <x v="1"/>
    <n v="595.39999999991301"/>
    <x v="0"/>
    <n v="199936.00000000099"/>
    <n v="1000"/>
    <n v="700"/>
    <x v="0"/>
    <n v="790583.17"/>
    <x v="352"/>
    <x v="1"/>
  </r>
  <r>
    <n v="3"/>
    <x v="0"/>
    <x v="0"/>
    <n v="2"/>
    <n v="3"/>
    <x v="1"/>
    <n v="510.39999999993302"/>
    <x v="0"/>
    <n v="165412"/>
    <n v="1000"/>
    <n v="700"/>
    <x v="0"/>
    <n v="822444.37"/>
    <x v="353"/>
    <x v="1"/>
  </r>
  <r>
    <n v="4"/>
    <x v="0"/>
    <x v="0"/>
    <n v="3"/>
    <n v="1"/>
    <x v="1"/>
    <n v="455.79999999958397"/>
    <x v="0"/>
    <n v="162882"/>
    <n v="1000"/>
    <n v="700"/>
    <x v="0"/>
    <n v="833343.97"/>
    <x v="354"/>
    <x v="0"/>
  </r>
  <r>
    <n v="5"/>
    <x v="0"/>
    <x v="0"/>
    <n v="3"/>
    <n v="2"/>
    <x v="1"/>
    <n v="514.60000000034302"/>
    <x v="0"/>
    <n v="141655.99999999901"/>
    <n v="1000"/>
    <n v="700"/>
    <x v="0"/>
    <n v="783363.57"/>
    <x v="355"/>
    <x v="0"/>
  </r>
  <r>
    <n v="6"/>
    <x v="0"/>
    <x v="0"/>
    <n v="3"/>
    <n v="3"/>
    <x v="1"/>
    <n v="535.59999999990305"/>
    <x v="0"/>
    <n v="373666"/>
    <n v="1000"/>
    <n v="700"/>
    <x v="0"/>
    <n v="835481.97"/>
    <x v="356"/>
    <x v="1"/>
  </r>
  <r>
    <n v="7"/>
    <x v="0"/>
    <x v="1"/>
    <n v="2"/>
    <n v="1"/>
    <x v="1"/>
    <n v="354.799999999855"/>
    <x v="0"/>
    <n v="163982.00000000099"/>
    <n v="1000"/>
    <n v="700"/>
    <x v="0"/>
    <n v="788483.57"/>
    <x v="357"/>
    <x v="1"/>
  </r>
  <r>
    <n v="8"/>
    <x v="0"/>
    <x v="1"/>
    <n v="2"/>
    <n v="2"/>
    <x v="1"/>
    <n v="408.79999999958699"/>
    <x v="0"/>
    <n v="405767.00000000099"/>
    <n v="1000"/>
    <n v="700"/>
    <x v="0"/>
    <n v="793643.17"/>
    <x v="358"/>
    <x v="1"/>
  </r>
  <r>
    <n v="9"/>
    <x v="0"/>
    <x v="1"/>
    <n v="2"/>
    <n v="3"/>
    <x v="1"/>
    <n v="315.400000000565"/>
    <x v="0"/>
    <n v="252100"/>
    <n v="1000"/>
    <n v="700"/>
    <x v="0"/>
    <n v="805662.77"/>
    <x v="359"/>
    <x v="1"/>
  </r>
  <r>
    <n v="10"/>
    <x v="0"/>
    <x v="1"/>
    <n v="3"/>
    <n v="1"/>
    <x v="1"/>
    <n v="303.20000000010299"/>
    <x v="0"/>
    <n v="297907"/>
    <n v="1000"/>
    <n v="700"/>
    <x v="0"/>
    <n v="801723.97"/>
    <x v="360"/>
    <x v="1"/>
  </r>
  <r>
    <n v="11"/>
    <x v="0"/>
    <x v="1"/>
    <n v="3"/>
    <n v="2"/>
    <x v="1"/>
    <n v="291.60000000025798"/>
    <x v="0"/>
    <n v="486182"/>
    <n v="1000"/>
    <n v="700"/>
    <x v="0"/>
    <n v="790383.17"/>
    <x v="361"/>
    <x v="1"/>
  </r>
  <r>
    <n v="12"/>
    <x v="0"/>
    <x v="1"/>
    <n v="3"/>
    <n v="3"/>
    <x v="1"/>
    <n v="339.79999999971301"/>
    <x v="0"/>
    <n v="514257.00000000099"/>
    <n v="1000"/>
    <n v="700"/>
    <x v="0"/>
    <n v="806783.17"/>
    <x v="362"/>
    <x v="1"/>
  </r>
  <r>
    <n v="13"/>
    <x v="0"/>
    <x v="1"/>
    <n v="2"/>
    <n v="1"/>
    <x v="1"/>
    <n v="225.19999999985899"/>
    <x v="0"/>
    <n v="231354.99999999901"/>
    <n v="1000"/>
    <n v="700"/>
    <x v="0"/>
    <n v="801823.97"/>
    <x v="363"/>
    <x v="0"/>
  </r>
  <r>
    <n v="14"/>
    <x v="0"/>
    <x v="1"/>
    <n v="2"/>
    <n v="2"/>
    <x v="1"/>
    <n v="285.80000000033601"/>
    <x v="0"/>
    <n v="254110.00000000099"/>
    <n v="1000"/>
    <n v="700"/>
    <x v="0"/>
    <n v="786943.97"/>
    <x v="364"/>
    <x v="1"/>
  </r>
  <r>
    <n v="15"/>
    <x v="0"/>
    <x v="1"/>
    <n v="2"/>
    <n v="3"/>
    <x v="1"/>
    <n v="273.80000000007999"/>
    <x v="0"/>
    <n v="343735.00000000099"/>
    <n v="1000"/>
    <n v="700"/>
    <x v="0"/>
    <n v="787043.97"/>
    <x v="365"/>
    <x v="1"/>
  </r>
  <r>
    <n v="16"/>
    <x v="0"/>
    <x v="1"/>
    <n v="3"/>
    <n v="1"/>
    <x v="1"/>
    <n v="261.80000000017901"/>
    <x v="0"/>
    <n v="356192.00000000198"/>
    <n v="1000"/>
    <n v="700"/>
    <x v="0"/>
    <n v="799723.97"/>
    <x v="366"/>
    <x v="1"/>
  </r>
  <r>
    <n v="17"/>
    <x v="0"/>
    <x v="1"/>
    <n v="3"/>
    <n v="2"/>
    <x v="1"/>
    <n v="255.000000001004"/>
    <x v="0"/>
    <n v="274740.00000000099"/>
    <n v="1000"/>
    <n v="700"/>
    <x v="0"/>
    <n v="803323.97"/>
    <x v="367"/>
    <x v="1"/>
  </r>
  <r>
    <n v="18"/>
    <x v="0"/>
    <x v="1"/>
    <n v="3"/>
    <n v="3"/>
    <x v="1"/>
    <n v="307.79999999950297"/>
    <x v="0"/>
    <n v="771308.99999999895"/>
    <n v="1000"/>
    <n v="700"/>
    <x v="0"/>
    <n v="823341.17"/>
    <x v="368"/>
    <x v="1"/>
  </r>
  <r>
    <n v="19"/>
    <x v="0"/>
    <x v="2"/>
    <n v="2"/>
    <n v="1"/>
    <x v="1"/>
    <n v="241.399999999459"/>
    <x v="0"/>
    <n v="274275.99999999697"/>
    <n v="1000"/>
    <n v="700"/>
    <x v="0"/>
    <n v="791543.17"/>
    <x v="369"/>
    <x v="1"/>
  </r>
  <r>
    <n v="20"/>
    <x v="0"/>
    <x v="2"/>
    <n v="2"/>
    <n v="2"/>
    <x v="1"/>
    <n v="301.59999999952402"/>
    <x v="0"/>
    <n v="556574.00000000105"/>
    <n v="1000"/>
    <n v="700"/>
    <x v="0"/>
    <n v="792044.37"/>
    <x v="370"/>
    <x v="1"/>
  </r>
  <r>
    <n v="21"/>
    <x v="0"/>
    <x v="2"/>
    <n v="2"/>
    <n v="3"/>
    <x v="1"/>
    <n v="295.000000000201"/>
    <x v="0"/>
    <n v="1036061"/>
    <n v="1000"/>
    <n v="700"/>
    <x v="0"/>
    <n v="792703.57"/>
    <x v="371"/>
    <x v="1"/>
  </r>
  <r>
    <n v="22"/>
    <x v="0"/>
    <x v="2"/>
    <n v="3"/>
    <n v="1"/>
    <x v="1"/>
    <n v="284.20000000011203"/>
    <x v="0"/>
    <n v="788309.00000000198"/>
    <n v="1000"/>
    <n v="700"/>
    <x v="0"/>
    <n v="806904.37"/>
    <x v="372"/>
    <x v="1"/>
  </r>
  <r>
    <n v="23"/>
    <x v="0"/>
    <x v="2"/>
    <n v="3"/>
    <n v="2"/>
    <x v="1"/>
    <n v="292.800000000426"/>
    <x v="0"/>
    <n v="713013"/>
    <n v="1000"/>
    <n v="700"/>
    <x v="0"/>
    <n v="836105.17"/>
    <x v="373"/>
    <x v="1"/>
  </r>
  <r>
    <n v="24"/>
    <x v="0"/>
    <x v="2"/>
    <n v="3"/>
    <n v="3"/>
    <x v="1"/>
    <n v="352.60000000043601"/>
    <x v="0"/>
    <n v="1699718"/>
    <n v="1000"/>
    <n v="700"/>
    <x v="0"/>
    <n v="784425.17"/>
    <x v="374"/>
    <x v="1"/>
  </r>
  <r>
    <n v="25"/>
    <x v="0"/>
    <x v="3"/>
    <n v="3"/>
    <n v="1"/>
    <x v="1"/>
    <n v="315.00000000015399"/>
    <x v="0"/>
    <n v="748591.99999999895"/>
    <n v="1000"/>
    <n v="700"/>
    <x v="0"/>
    <n v="795644.37"/>
    <x v="375"/>
    <x v="1"/>
  </r>
  <r>
    <n v="26"/>
    <x v="0"/>
    <x v="3"/>
    <n v="3"/>
    <n v="2"/>
    <x v="1"/>
    <n v="324.400000000224"/>
    <x v="0"/>
    <n v="1090027"/>
    <n v="1000"/>
    <n v="700"/>
    <x v="0"/>
    <n v="791526.37"/>
    <x v="376"/>
    <x v="1"/>
  </r>
  <r>
    <n v="27"/>
    <x v="0"/>
    <x v="3"/>
    <n v="3"/>
    <n v="3"/>
    <x v="1"/>
    <n v="408.40000000024202"/>
    <x v="0"/>
    <n v="1930913"/>
    <n v="1000"/>
    <n v="700"/>
    <x v="0"/>
    <n v="798002.37"/>
    <x v="377"/>
    <x v="1"/>
  </r>
  <r>
    <n v="1"/>
    <x v="0"/>
    <x v="0"/>
    <n v="2"/>
    <n v="1"/>
    <x v="1"/>
    <n v="686.60000000022603"/>
    <x v="1"/>
    <n v="41551.999999967396"/>
    <n v="1000"/>
    <n v="300"/>
    <x v="0"/>
    <n v="381587.21"/>
    <x v="378"/>
    <x v="0"/>
  </r>
  <r>
    <n v="2"/>
    <x v="0"/>
    <x v="0"/>
    <n v="2"/>
    <n v="2"/>
    <x v="1"/>
    <n v="595.39999999991301"/>
    <x v="1"/>
    <n v="274612.00000004697"/>
    <n v="1000"/>
    <n v="300"/>
    <x v="0"/>
    <n v="382707.21"/>
    <x v="379"/>
    <x v="1"/>
  </r>
  <r>
    <n v="3"/>
    <x v="0"/>
    <x v="0"/>
    <n v="2"/>
    <n v="3"/>
    <x v="1"/>
    <n v="510.39999999993302"/>
    <x v="1"/>
    <n v="107829.999999979"/>
    <n v="1000"/>
    <n v="300"/>
    <x v="0"/>
    <n v="394907.21"/>
    <x v="380"/>
    <x v="1"/>
  </r>
  <r>
    <n v="4"/>
    <x v="0"/>
    <x v="0"/>
    <n v="3"/>
    <n v="1"/>
    <x v="1"/>
    <n v="455.79999999958397"/>
    <x v="1"/>
    <n v="73137.000000031097"/>
    <n v="1000"/>
    <n v="300"/>
    <x v="0"/>
    <n v="382627.61"/>
    <x v="381"/>
    <x v="1"/>
  </r>
  <r>
    <n v="5"/>
    <x v="0"/>
    <x v="0"/>
    <n v="3"/>
    <n v="2"/>
    <x v="1"/>
    <n v="514.60000000034302"/>
    <x v="1"/>
    <n v="86206.000000004206"/>
    <n v="1000"/>
    <n v="300"/>
    <x v="0"/>
    <n v="377267.21"/>
    <x v="382"/>
    <x v="1"/>
  </r>
  <r>
    <n v="6"/>
    <x v="0"/>
    <x v="0"/>
    <n v="3"/>
    <n v="3"/>
    <x v="1"/>
    <n v="535.59999999990305"/>
    <x v="1"/>
    <n v="206090.000000017"/>
    <n v="1000"/>
    <n v="300"/>
    <x v="0"/>
    <n v="379947.21"/>
    <x v="383"/>
    <x v="1"/>
  </r>
  <r>
    <n v="7"/>
    <x v="0"/>
    <x v="1"/>
    <n v="2"/>
    <n v="1"/>
    <x v="1"/>
    <n v="354.799999999855"/>
    <x v="1"/>
    <n v="56281.000000012697"/>
    <n v="1000"/>
    <n v="300"/>
    <x v="0"/>
    <n v="401987.21"/>
    <x v="384"/>
    <x v="0"/>
  </r>
  <r>
    <n v="8"/>
    <x v="0"/>
    <x v="1"/>
    <n v="2"/>
    <n v="2"/>
    <x v="1"/>
    <n v="408.79999999958699"/>
    <x v="1"/>
    <n v="241269.00000004499"/>
    <n v="1000"/>
    <n v="300"/>
    <x v="0"/>
    <n v="395467.61"/>
    <x v="385"/>
    <x v="1"/>
  </r>
  <r>
    <n v="9"/>
    <x v="0"/>
    <x v="1"/>
    <n v="2"/>
    <n v="3"/>
    <x v="1"/>
    <n v="315.400000000565"/>
    <x v="1"/>
    <n v="186287.99999998999"/>
    <n v="1000"/>
    <n v="300"/>
    <x v="0"/>
    <n v="412787.21"/>
    <x v="386"/>
    <x v="1"/>
  </r>
  <r>
    <n v="10"/>
    <x v="0"/>
    <x v="1"/>
    <n v="3"/>
    <n v="1"/>
    <x v="1"/>
    <n v="303.20000000010299"/>
    <x v="1"/>
    <n v="234249.999999975"/>
    <n v="1000"/>
    <n v="300"/>
    <x v="0"/>
    <n v="404027.61"/>
    <x v="387"/>
    <x v="1"/>
  </r>
  <r>
    <n v="11"/>
    <x v="0"/>
    <x v="1"/>
    <n v="3"/>
    <n v="2"/>
    <x v="1"/>
    <n v="291.60000000025798"/>
    <x v="1"/>
    <n v="264225.00000001001"/>
    <n v="1000"/>
    <n v="300"/>
    <x v="0"/>
    <n v="410507.21"/>
    <x v="388"/>
    <x v="1"/>
  </r>
  <r>
    <n v="12"/>
    <x v="0"/>
    <x v="1"/>
    <n v="3"/>
    <n v="3"/>
    <x v="1"/>
    <n v="339.79999999971301"/>
    <x v="1"/>
    <n v="238984.00000001601"/>
    <n v="1000"/>
    <n v="300"/>
    <x v="0"/>
    <n v="417627.61"/>
    <x v="389"/>
    <x v="1"/>
  </r>
  <r>
    <n v="13"/>
    <x v="0"/>
    <x v="1"/>
    <n v="2"/>
    <n v="1"/>
    <x v="1"/>
    <n v="225.19999999985899"/>
    <x v="1"/>
    <n v="107898.00000003399"/>
    <n v="1000"/>
    <n v="300"/>
    <x v="0"/>
    <n v="377307.61"/>
    <x v="390"/>
    <x v="0"/>
  </r>
  <r>
    <n v="14"/>
    <x v="0"/>
    <x v="1"/>
    <n v="2"/>
    <n v="2"/>
    <x v="1"/>
    <n v="285.80000000033601"/>
    <x v="1"/>
    <n v="234233.999999958"/>
    <n v="1000"/>
    <n v="300"/>
    <x v="0"/>
    <n v="397228.41"/>
    <x v="391"/>
    <x v="1"/>
  </r>
  <r>
    <n v="15"/>
    <x v="0"/>
    <x v="1"/>
    <n v="2"/>
    <n v="3"/>
    <x v="1"/>
    <n v="273.80000000007999"/>
    <x v="1"/>
    <n v="299454.00000002602"/>
    <n v="1000"/>
    <n v="300"/>
    <x v="0"/>
    <n v="411147.21"/>
    <x v="392"/>
    <x v="1"/>
  </r>
  <r>
    <n v="16"/>
    <x v="0"/>
    <x v="1"/>
    <n v="3"/>
    <n v="1"/>
    <x v="1"/>
    <n v="261.80000000017901"/>
    <x v="1"/>
    <n v="168532.00000002701"/>
    <n v="1000"/>
    <n v="300"/>
    <x v="0"/>
    <n v="385027.21"/>
    <x v="393"/>
    <x v="1"/>
  </r>
  <r>
    <n v="17"/>
    <x v="0"/>
    <x v="1"/>
    <n v="3"/>
    <n v="2"/>
    <x v="1"/>
    <n v="255.000000001004"/>
    <x v="1"/>
    <n v="125322.00000004"/>
    <n v="1000"/>
    <n v="300"/>
    <x v="0"/>
    <n v="384627.21"/>
    <x v="394"/>
    <x v="1"/>
  </r>
  <r>
    <n v="18"/>
    <x v="0"/>
    <x v="1"/>
    <n v="3"/>
    <n v="3"/>
    <x v="1"/>
    <n v="307.79999999950297"/>
    <x v="1"/>
    <n v="445655.99999998498"/>
    <n v="1000"/>
    <n v="300"/>
    <x v="0"/>
    <n v="384906.41"/>
    <x v="395"/>
    <x v="1"/>
  </r>
  <r>
    <n v="19"/>
    <x v="0"/>
    <x v="2"/>
    <n v="2"/>
    <n v="1"/>
    <x v="1"/>
    <n v="241.399999999459"/>
    <x v="1"/>
    <n v="86420.000000032407"/>
    <n v="1000"/>
    <n v="300"/>
    <x v="0"/>
    <n v="402387.21"/>
    <x v="396"/>
    <x v="0"/>
  </r>
  <r>
    <n v="20"/>
    <x v="0"/>
    <x v="2"/>
    <n v="2"/>
    <n v="2"/>
    <x v="1"/>
    <n v="301.59999999952402"/>
    <x v="1"/>
    <n v="298383.99999999901"/>
    <n v="1000"/>
    <n v="300"/>
    <x v="0"/>
    <n v="396867.61"/>
    <x v="397"/>
    <x v="1"/>
  </r>
  <r>
    <n v="21"/>
    <x v="0"/>
    <x v="2"/>
    <n v="2"/>
    <n v="3"/>
    <x v="1"/>
    <n v="295.000000000201"/>
    <x v="1"/>
    <n v="248884.99999997299"/>
    <n v="1000"/>
    <n v="300"/>
    <x v="0"/>
    <n v="383146.41"/>
    <x v="398"/>
    <x v="1"/>
  </r>
  <r>
    <n v="22"/>
    <x v="0"/>
    <x v="2"/>
    <n v="3"/>
    <n v="1"/>
    <x v="1"/>
    <n v="284.20000000011203"/>
    <x v="1"/>
    <n v="193147.00000001001"/>
    <n v="1000"/>
    <n v="300"/>
    <x v="0"/>
    <n v="414867.61"/>
    <x v="399"/>
    <x v="1"/>
  </r>
  <r>
    <n v="23"/>
    <x v="0"/>
    <x v="2"/>
    <n v="3"/>
    <n v="2"/>
    <x v="1"/>
    <n v="292.800000000426"/>
    <x v="1"/>
    <n v="373690.000000011"/>
    <n v="1000"/>
    <n v="300"/>
    <x v="0"/>
    <n v="385226.81"/>
    <x v="400"/>
    <x v="1"/>
  </r>
  <r>
    <n v="24"/>
    <x v="0"/>
    <x v="2"/>
    <n v="3"/>
    <n v="3"/>
    <x v="1"/>
    <n v="352.60000000043601"/>
    <x v="1"/>
    <n v="513671.00000004499"/>
    <n v="1000"/>
    <n v="300"/>
    <x v="0"/>
    <n v="404507.21"/>
    <x v="401"/>
    <x v="1"/>
  </r>
  <r>
    <n v="25"/>
    <x v="0"/>
    <x v="3"/>
    <n v="3"/>
    <n v="1"/>
    <x v="1"/>
    <n v="315.00000000015399"/>
    <x v="1"/>
    <n v="392347.00000002899"/>
    <n v="1000"/>
    <n v="300"/>
    <x v="0"/>
    <n v="411507.61"/>
    <x v="402"/>
    <x v="1"/>
  </r>
  <r>
    <n v="26"/>
    <x v="0"/>
    <x v="3"/>
    <n v="3"/>
    <n v="2"/>
    <x v="1"/>
    <n v="324.400000000224"/>
    <x v="1"/>
    <n v="725330.999999983"/>
    <n v="1000"/>
    <n v="300"/>
    <x v="0"/>
    <n v="384027.61"/>
    <x v="403"/>
    <x v="1"/>
  </r>
  <r>
    <n v="27"/>
    <x v="0"/>
    <x v="3"/>
    <n v="3"/>
    <n v="3"/>
    <x v="1"/>
    <n v="408.40000000024202"/>
    <x v="1"/>
    <n v="531781.00000002398"/>
    <n v="1000"/>
    <n v="300"/>
    <x v="0"/>
    <n v="384826.81"/>
    <x v="404"/>
    <x v="1"/>
  </r>
  <r>
    <n v="1"/>
    <x v="0"/>
    <x v="0"/>
    <n v="2"/>
    <n v="1"/>
    <x v="1"/>
    <n v="686.60000000022603"/>
    <x v="1"/>
    <n v="41551.999999967396"/>
    <n v="1000"/>
    <n v="500"/>
    <x v="0"/>
    <n v="581587.61"/>
    <x v="405"/>
    <x v="0"/>
  </r>
  <r>
    <n v="2"/>
    <x v="0"/>
    <x v="0"/>
    <n v="2"/>
    <n v="2"/>
    <x v="1"/>
    <n v="595.39999999991301"/>
    <x v="1"/>
    <n v="274612.00000004697"/>
    <n v="1000"/>
    <n v="500"/>
    <x v="0"/>
    <n v="582707.61"/>
    <x v="406"/>
    <x v="0"/>
  </r>
  <r>
    <n v="3"/>
    <x v="0"/>
    <x v="0"/>
    <n v="2"/>
    <n v="3"/>
    <x v="1"/>
    <n v="510.39999999993302"/>
    <x v="1"/>
    <n v="107829.999999979"/>
    <n v="1000"/>
    <n v="500"/>
    <x v="0"/>
    <n v="594907.61"/>
    <x v="407"/>
    <x v="0"/>
  </r>
  <r>
    <n v="4"/>
    <x v="0"/>
    <x v="0"/>
    <n v="3"/>
    <n v="1"/>
    <x v="1"/>
    <n v="455.79999999958397"/>
    <x v="1"/>
    <n v="73137.000000031097"/>
    <n v="1000"/>
    <n v="500"/>
    <x v="0"/>
    <n v="582628.01"/>
    <x v="408"/>
    <x v="1"/>
  </r>
  <r>
    <n v="5"/>
    <x v="0"/>
    <x v="0"/>
    <n v="3"/>
    <n v="2"/>
    <x v="1"/>
    <n v="514.60000000034302"/>
    <x v="1"/>
    <n v="86206.000000004206"/>
    <n v="1000"/>
    <n v="500"/>
    <x v="0"/>
    <n v="577267.61"/>
    <x v="409"/>
    <x v="1"/>
  </r>
  <r>
    <n v="6"/>
    <x v="0"/>
    <x v="0"/>
    <n v="3"/>
    <n v="3"/>
    <x v="1"/>
    <n v="535.59999999990305"/>
    <x v="1"/>
    <n v="206090.000000017"/>
    <n v="1000"/>
    <n v="500"/>
    <x v="0"/>
    <n v="579947.61"/>
    <x v="410"/>
    <x v="1"/>
  </r>
  <r>
    <n v="7"/>
    <x v="0"/>
    <x v="1"/>
    <n v="2"/>
    <n v="1"/>
    <x v="1"/>
    <n v="354.799999999855"/>
    <x v="1"/>
    <n v="56281.000000012697"/>
    <n v="1000"/>
    <n v="500"/>
    <x v="0"/>
    <n v="601987.61"/>
    <x v="411"/>
    <x v="0"/>
  </r>
  <r>
    <n v="8"/>
    <x v="0"/>
    <x v="1"/>
    <n v="2"/>
    <n v="2"/>
    <x v="1"/>
    <n v="408.79999999958699"/>
    <x v="1"/>
    <n v="241269.00000004499"/>
    <n v="1000"/>
    <n v="500"/>
    <x v="0"/>
    <n v="595468.01"/>
    <x v="412"/>
    <x v="1"/>
  </r>
  <r>
    <n v="9"/>
    <x v="0"/>
    <x v="1"/>
    <n v="2"/>
    <n v="3"/>
    <x v="1"/>
    <n v="315.400000000565"/>
    <x v="1"/>
    <n v="186287.99999998999"/>
    <n v="1000"/>
    <n v="500"/>
    <x v="0"/>
    <n v="612787.61"/>
    <x v="413"/>
    <x v="1"/>
  </r>
  <r>
    <n v="10"/>
    <x v="0"/>
    <x v="1"/>
    <n v="3"/>
    <n v="1"/>
    <x v="1"/>
    <n v="303.20000000010299"/>
    <x v="1"/>
    <n v="234249.999999975"/>
    <n v="1000"/>
    <n v="500"/>
    <x v="0"/>
    <n v="604028.01"/>
    <x v="414"/>
    <x v="1"/>
  </r>
  <r>
    <n v="11"/>
    <x v="0"/>
    <x v="1"/>
    <n v="3"/>
    <n v="2"/>
    <x v="1"/>
    <n v="291.60000000025798"/>
    <x v="1"/>
    <n v="264225.00000001001"/>
    <n v="1000"/>
    <n v="500"/>
    <x v="0"/>
    <n v="610507.61"/>
    <x v="415"/>
    <x v="1"/>
  </r>
  <r>
    <n v="12"/>
    <x v="0"/>
    <x v="1"/>
    <n v="3"/>
    <n v="3"/>
    <x v="1"/>
    <n v="339.79999999971301"/>
    <x v="1"/>
    <n v="238984.00000001601"/>
    <n v="1000"/>
    <n v="500"/>
    <x v="0"/>
    <n v="617628.01"/>
    <x v="416"/>
    <x v="1"/>
  </r>
  <r>
    <n v="13"/>
    <x v="0"/>
    <x v="1"/>
    <n v="2"/>
    <n v="1"/>
    <x v="1"/>
    <n v="225.19999999985899"/>
    <x v="1"/>
    <n v="107898.00000003399"/>
    <n v="1000"/>
    <n v="500"/>
    <x v="0"/>
    <n v="577308.01"/>
    <x v="417"/>
    <x v="0"/>
  </r>
  <r>
    <n v="14"/>
    <x v="0"/>
    <x v="1"/>
    <n v="2"/>
    <n v="2"/>
    <x v="1"/>
    <n v="285.80000000033601"/>
    <x v="1"/>
    <n v="234233.999999958"/>
    <n v="1000"/>
    <n v="500"/>
    <x v="0"/>
    <n v="597228.81000000006"/>
    <x v="418"/>
    <x v="1"/>
  </r>
  <r>
    <n v="15"/>
    <x v="0"/>
    <x v="1"/>
    <n v="2"/>
    <n v="3"/>
    <x v="1"/>
    <n v="273.80000000007999"/>
    <x v="1"/>
    <n v="299454.00000002602"/>
    <n v="1000"/>
    <n v="500"/>
    <x v="0"/>
    <n v="611147.61"/>
    <x v="419"/>
    <x v="1"/>
  </r>
  <r>
    <n v="16"/>
    <x v="0"/>
    <x v="1"/>
    <n v="3"/>
    <n v="1"/>
    <x v="1"/>
    <n v="261.80000000017901"/>
    <x v="1"/>
    <n v="168532.00000002701"/>
    <n v="1000"/>
    <n v="500"/>
    <x v="0"/>
    <n v="585027.61"/>
    <x v="420"/>
    <x v="1"/>
  </r>
  <r>
    <n v="17"/>
    <x v="0"/>
    <x v="1"/>
    <n v="3"/>
    <n v="2"/>
    <x v="1"/>
    <n v="255.000000001004"/>
    <x v="1"/>
    <n v="125322.00000004"/>
    <n v="1000"/>
    <n v="500"/>
    <x v="0"/>
    <n v="584627.61"/>
    <x v="421"/>
    <x v="1"/>
  </r>
  <r>
    <n v="18"/>
    <x v="0"/>
    <x v="1"/>
    <n v="3"/>
    <n v="3"/>
    <x v="1"/>
    <n v="307.79999999950297"/>
    <x v="1"/>
    <n v="445655.99999998498"/>
    <n v="1000"/>
    <n v="500"/>
    <x v="0"/>
    <n v="584906.81000000006"/>
    <x v="422"/>
    <x v="1"/>
  </r>
  <r>
    <n v="19"/>
    <x v="0"/>
    <x v="2"/>
    <n v="2"/>
    <n v="1"/>
    <x v="1"/>
    <n v="241.399999999459"/>
    <x v="1"/>
    <n v="86420.000000032407"/>
    <n v="1000"/>
    <n v="500"/>
    <x v="0"/>
    <n v="602387.61"/>
    <x v="423"/>
    <x v="0"/>
  </r>
  <r>
    <n v="20"/>
    <x v="0"/>
    <x v="2"/>
    <n v="2"/>
    <n v="2"/>
    <x v="1"/>
    <n v="301.59999999952402"/>
    <x v="1"/>
    <n v="298383.99999999901"/>
    <n v="1000"/>
    <n v="500"/>
    <x v="0"/>
    <n v="596868.01"/>
    <x v="424"/>
    <x v="1"/>
  </r>
  <r>
    <n v="21"/>
    <x v="0"/>
    <x v="2"/>
    <n v="2"/>
    <n v="3"/>
    <x v="1"/>
    <n v="295.000000000201"/>
    <x v="1"/>
    <n v="248884.99999997299"/>
    <n v="1000"/>
    <n v="500"/>
    <x v="0"/>
    <n v="583146.81000000006"/>
    <x v="425"/>
    <x v="1"/>
  </r>
  <r>
    <n v="22"/>
    <x v="0"/>
    <x v="2"/>
    <n v="3"/>
    <n v="1"/>
    <x v="1"/>
    <n v="284.20000000011203"/>
    <x v="1"/>
    <n v="193147.00000001001"/>
    <n v="1000"/>
    <n v="500"/>
    <x v="0"/>
    <n v="614868.01"/>
    <x v="426"/>
    <x v="1"/>
  </r>
  <r>
    <n v="23"/>
    <x v="0"/>
    <x v="2"/>
    <n v="3"/>
    <n v="2"/>
    <x v="1"/>
    <n v="292.800000000426"/>
    <x v="1"/>
    <n v="373690.000000011"/>
    <n v="1000"/>
    <n v="500"/>
    <x v="0"/>
    <n v="585227.21"/>
    <x v="427"/>
    <x v="1"/>
  </r>
  <r>
    <n v="24"/>
    <x v="0"/>
    <x v="2"/>
    <n v="3"/>
    <n v="3"/>
    <x v="1"/>
    <n v="352.60000000043601"/>
    <x v="1"/>
    <n v="513671.00000004499"/>
    <n v="1000"/>
    <n v="500"/>
    <x v="0"/>
    <n v="604507.61"/>
    <x v="428"/>
    <x v="1"/>
  </r>
  <r>
    <n v="25"/>
    <x v="0"/>
    <x v="3"/>
    <n v="3"/>
    <n v="1"/>
    <x v="1"/>
    <n v="315.00000000015399"/>
    <x v="1"/>
    <n v="392347.00000002899"/>
    <n v="1000"/>
    <n v="500"/>
    <x v="0"/>
    <n v="611508.01"/>
    <x v="429"/>
    <x v="1"/>
  </r>
  <r>
    <n v="26"/>
    <x v="0"/>
    <x v="3"/>
    <n v="3"/>
    <n v="2"/>
    <x v="1"/>
    <n v="324.400000000224"/>
    <x v="1"/>
    <n v="725330.999999983"/>
    <n v="1000"/>
    <n v="500"/>
    <x v="0"/>
    <n v="584028.01"/>
    <x v="430"/>
    <x v="1"/>
  </r>
  <r>
    <n v="27"/>
    <x v="0"/>
    <x v="3"/>
    <n v="3"/>
    <n v="3"/>
    <x v="1"/>
    <n v="408.40000000024202"/>
    <x v="1"/>
    <n v="531781.00000002398"/>
    <n v="1000"/>
    <n v="500"/>
    <x v="0"/>
    <n v="584827.21"/>
    <x v="431"/>
    <x v="1"/>
  </r>
  <r>
    <n v="1"/>
    <x v="0"/>
    <x v="0"/>
    <n v="2"/>
    <n v="1"/>
    <x v="1"/>
    <n v="686.60000000022603"/>
    <x v="1"/>
    <n v="41551.999999967396"/>
    <n v="2000"/>
    <n v="20"/>
    <x v="0"/>
    <n v="183947.61"/>
    <x v="432"/>
    <x v="0"/>
  </r>
  <r>
    <n v="2"/>
    <x v="0"/>
    <x v="0"/>
    <n v="2"/>
    <n v="2"/>
    <x v="1"/>
    <n v="595.39999999991301"/>
    <x v="1"/>
    <n v="274612.00000004697"/>
    <n v="2000"/>
    <n v="20"/>
    <x v="0"/>
    <n v="186187.61"/>
    <x v="433"/>
    <x v="1"/>
  </r>
  <r>
    <n v="3"/>
    <x v="0"/>
    <x v="0"/>
    <n v="2"/>
    <n v="3"/>
    <x v="1"/>
    <n v="510.39999999993302"/>
    <x v="1"/>
    <n v="107829.999999979"/>
    <n v="2000"/>
    <n v="20"/>
    <x v="0"/>
    <n v="210587.61"/>
    <x v="434"/>
    <x v="0"/>
  </r>
  <r>
    <n v="4"/>
    <x v="0"/>
    <x v="0"/>
    <n v="3"/>
    <n v="1"/>
    <x v="1"/>
    <n v="455.79999999958397"/>
    <x v="1"/>
    <n v="73137.000000031097"/>
    <n v="2000"/>
    <n v="20"/>
    <x v="0"/>
    <n v="186028.01"/>
    <x v="435"/>
    <x v="0"/>
  </r>
  <r>
    <n v="5"/>
    <x v="0"/>
    <x v="0"/>
    <n v="3"/>
    <n v="2"/>
    <x v="1"/>
    <n v="514.60000000034302"/>
    <x v="1"/>
    <n v="86206.000000004206"/>
    <n v="2000"/>
    <n v="20"/>
    <x v="0"/>
    <n v="175308.01"/>
    <x v="436"/>
    <x v="1"/>
  </r>
  <r>
    <n v="6"/>
    <x v="0"/>
    <x v="0"/>
    <n v="3"/>
    <n v="3"/>
    <x v="1"/>
    <n v="535.59999999990305"/>
    <x v="1"/>
    <n v="206090.000000017"/>
    <n v="2000"/>
    <n v="20"/>
    <x v="0"/>
    <n v="180667.61"/>
    <x v="437"/>
    <x v="1"/>
  </r>
  <r>
    <n v="7"/>
    <x v="0"/>
    <x v="1"/>
    <n v="2"/>
    <n v="1"/>
    <x v="1"/>
    <n v="354.799999999855"/>
    <x v="1"/>
    <n v="56281.000000012697"/>
    <n v="2000"/>
    <n v="20"/>
    <x v="0"/>
    <n v="224747.61"/>
    <x v="438"/>
    <x v="0"/>
  </r>
  <r>
    <n v="8"/>
    <x v="0"/>
    <x v="1"/>
    <n v="2"/>
    <n v="2"/>
    <x v="1"/>
    <n v="408.79999999958699"/>
    <x v="1"/>
    <n v="241269.00000004499"/>
    <n v="2000"/>
    <n v="20"/>
    <x v="0"/>
    <n v="211708.01"/>
    <x v="439"/>
    <x v="1"/>
  </r>
  <r>
    <n v="9"/>
    <x v="0"/>
    <x v="1"/>
    <n v="2"/>
    <n v="3"/>
    <x v="1"/>
    <n v="315.400000000565"/>
    <x v="1"/>
    <n v="186287.99999998999"/>
    <n v="2000"/>
    <n v="20"/>
    <x v="0"/>
    <n v="246347.61"/>
    <x v="440"/>
    <x v="1"/>
  </r>
  <r>
    <n v="10"/>
    <x v="0"/>
    <x v="1"/>
    <n v="3"/>
    <n v="1"/>
    <x v="1"/>
    <n v="303.20000000010299"/>
    <x v="1"/>
    <n v="234249.999999975"/>
    <n v="2000"/>
    <n v="20"/>
    <x v="0"/>
    <n v="228828.01"/>
    <x v="441"/>
    <x v="1"/>
  </r>
  <r>
    <n v="11"/>
    <x v="0"/>
    <x v="1"/>
    <n v="3"/>
    <n v="2"/>
    <x v="1"/>
    <n v="291.60000000025798"/>
    <x v="1"/>
    <n v="264225.00000001001"/>
    <n v="2000"/>
    <n v="20"/>
    <x v="0"/>
    <n v="241787.61"/>
    <x v="442"/>
    <x v="1"/>
  </r>
  <r>
    <n v="12"/>
    <x v="0"/>
    <x v="1"/>
    <n v="3"/>
    <n v="3"/>
    <x v="1"/>
    <n v="339.79999999971301"/>
    <x v="1"/>
    <n v="238984.00000001601"/>
    <n v="2000"/>
    <n v="20"/>
    <x v="0"/>
    <n v="256028.01"/>
    <x v="443"/>
    <x v="1"/>
  </r>
  <r>
    <n v="13"/>
    <x v="0"/>
    <x v="1"/>
    <n v="2"/>
    <n v="1"/>
    <x v="1"/>
    <n v="225.19999999985899"/>
    <x v="1"/>
    <n v="107898.00000003399"/>
    <n v="2000"/>
    <n v="20"/>
    <x v="0"/>
    <n v="175388.01"/>
    <x v="444"/>
    <x v="0"/>
  </r>
  <r>
    <n v="14"/>
    <x v="0"/>
    <x v="1"/>
    <n v="2"/>
    <n v="2"/>
    <x v="1"/>
    <n v="285.80000000033601"/>
    <x v="1"/>
    <n v="234233.999999958"/>
    <n v="2000"/>
    <n v="20"/>
    <x v="0"/>
    <n v="215228.81"/>
    <x v="445"/>
    <x v="1"/>
  </r>
  <r>
    <n v="15"/>
    <x v="0"/>
    <x v="1"/>
    <n v="2"/>
    <n v="3"/>
    <x v="1"/>
    <n v="273.80000000007999"/>
    <x v="1"/>
    <n v="299454.00000002602"/>
    <n v="2000"/>
    <n v="20"/>
    <x v="0"/>
    <n v="243067.61"/>
    <x v="446"/>
    <x v="1"/>
  </r>
  <r>
    <n v="16"/>
    <x v="0"/>
    <x v="1"/>
    <n v="3"/>
    <n v="1"/>
    <x v="1"/>
    <n v="261.80000000017901"/>
    <x v="1"/>
    <n v="168532.00000002701"/>
    <n v="2000"/>
    <n v="20"/>
    <x v="0"/>
    <n v="190827.61"/>
    <x v="447"/>
    <x v="1"/>
  </r>
  <r>
    <n v="17"/>
    <x v="0"/>
    <x v="1"/>
    <n v="3"/>
    <n v="2"/>
    <x v="1"/>
    <n v="255.000000001004"/>
    <x v="1"/>
    <n v="125322.00000004"/>
    <n v="2000"/>
    <n v="20"/>
    <x v="0"/>
    <n v="190027.61"/>
    <x v="448"/>
    <x v="0"/>
  </r>
  <r>
    <n v="18"/>
    <x v="0"/>
    <x v="1"/>
    <n v="3"/>
    <n v="3"/>
    <x v="1"/>
    <n v="307.79999999950297"/>
    <x v="1"/>
    <n v="445655.99999998498"/>
    <n v="2000"/>
    <n v="20"/>
    <x v="0"/>
    <n v="190586.81"/>
    <x v="449"/>
    <x v="1"/>
  </r>
  <r>
    <n v="19"/>
    <x v="0"/>
    <x v="2"/>
    <n v="2"/>
    <n v="1"/>
    <x v="1"/>
    <n v="241.399999999459"/>
    <x v="1"/>
    <n v="86420.000000032407"/>
    <n v="2000"/>
    <n v="20"/>
    <x v="0"/>
    <n v="225547.61"/>
    <x v="450"/>
    <x v="0"/>
  </r>
  <r>
    <n v="20"/>
    <x v="0"/>
    <x v="2"/>
    <n v="2"/>
    <n v="2"/>
    <x v="1"/>
    <n v="301.59999999952402"/>
    <x v="1"/>
    <n v="298383.99999999901"/>
    <n v="2000"/>
    <n v="20"/>
    <x v="0"/>
    <n v="214508.01"/>
    <x v="451"/>
    <x v="1"/>
  </r>
  <r>
    <n v="21"/>
    <x v="0"/>
    <x v="2"/>
    <n v="2"/>
    <n v="3"/>
    <x v="1"/>
    <n v="295.000000000201"/>
    <x v="1"/>
    <n v="248884.99999997299"/>
    <n v="2000"/>
    <n v="20"/>
    <x v="0"/>
    <n v="187066.81"/>
    <x v="452"/>
    <x v="1"/>
  </r>
  <r>
    <n v="22"/>
    <x v="0"/>
    <x v="2"/>
    <n v="3"/>
    <n v="1"/>
    <x v="1"/>
    <n v="284.20000000011203"/>
    <x v="1"/>
    <n v="193147.00000001001"/>
    <n v="2000"/>
    <n v="20"/>
    <x v="0"/>
    <n v="250508.01"/>
    <x v="453"/>
    <x v="1"/>
  </r>
  <r>
    <n v="23"/>
    <x v="0"/>
    <x v="2"/>
    <n v="3"/>
    <n v="2"/>
    <x v="1"/>
    <n v="292.800000000426"/>
    <x v="1"/>
    <n v="373690.000000011"/>
    <n v="2000"/>
    <n v="20"/>
    <x v="0"/>
    <n v="191227.21"/>
    <x v="454"/>
    <x v="1"/>
  </r>
  <r>
    <n v="24"/>
    <x v="0"/>
    <x v="2"/>
    <n v="3"/>
    <n v="3"/>
    <x v="1"/>
    <n v="352.60000000043601"/>
    <x v="1"/>
    <n v="513671.00000004499"/>
    <n v="2000"/>
    <n v="20"/>
    <x v="0"/>
    <n v="229787.61"/>
    <x v="455"/>
    <x v="1"/>
  </r>
  <r>
    <n v="25"/>
    <x v="0"/>
    <x v="3"/>
    <n v="3"/>
    <n v="1"/>
    <x v="1"/>
    <n v="315.00000000015399"/>
    <x v="1"/>
    <n v="392347.00000002899"/>
    <n v="2000"/>
    <n v="20"/>
    <x v="0"/>
    <n v="243788.01"/>
    <x v="456"/>
    <x v="1"/>
  </r>
  <r>
    <n v="26"/>
    <x v="0"/>
    <x v="3"/>
    <n v="3"/>
    <n v="2"/>
    <x v="1"/>
    <n v="324.400000000224"/>
    <x v="1"/>
    <n v="725330.999999983"/>
    <n v="2000"/>
    <n v="20"/>
    <x v="0"/>
    <n v="188828.01"/>
    <x v="457"/>
    <x v="1"/>
  </r>
  <r>
    <n v="27"/>
    <x v="0"/>
    <x v="3"/>
    <n v="3"/>
    <n v="3"/>
    <x v="1"/>
    <n v="408.40000000024202"/>
    <x v="1"/>
    <n v="531781.00000002398"/>
    <n v="2000"/>
    <n v="20"/>
    <x v="0"/>
    <n v="190427.21"/>
    <x v="458"/>
    <x v="1"/>
  </r>
  <r>
    <n v="1"/>
    <x v="0"/>
    <x v="0"/>
    <n v="2"/>
    <n v="1"/>
    <x v="1"/>
    <n v="686.60000000022603"/>
    <x v="1"/>
    <n v="41551.999999967396"/>
    <n v="2000"/>
    <n v="100"/>
    <x v="0"/>
    <n v="343947.61"/>
    <x v="459"/>
    <x v="0"/>
  </r>
  <r>
    <n v="2"/>
    <x v="0"/>
    <x v="0"/>
    <n v="2"/>
    <n v="2"/>
    <x v="1"/>
    <n v="595.39999999991301"/>
    <x v="1"/>
    <n v="274612.00000004697"/>
    <n v="2000"/>
    <n v="100"/>
    <x v="0"/>
    <n v="346187.61"/>
    <x v="460"/>
    <x v="0"/>
  </r>
  <r>
    <n v="3"/>
    <x v="0"/>
    <x v="0"/>
    <n v="2"/>
    <n v="3"/>
    <x v="1"/>
    <n v="510.39999999993302"/>
    <x v="1"/>
    <n v="107829.999999979"/>
    <n v="2000"/>
    <n v="100"/>
    <x v="0"/>
    <n v="370587.61"/>
    <x v="461"/>
    <x v="1"/>
  </r>
  <r>
    <n v="4"/>
    <x v="0"/>
    <x v="0"/>
    <n v="3"/>
    <n v="1"/>
    <x v="1"/>
    <n v="455.79999999958397"/>
    <x v="1"/>
    <n v="73137.000000031097"/>
    <n v="2000"/>
    <n v="100"/>
    <x v="0"/>
    <n v="346028.01"/>
    <x v="462"/>
    <x v="0"/>
  </r>
  <r>
    <n v="5"/>
    <x v="0"/>
    <x v="0"/>
    <n v="3"/>
    <n v="2"/>
    <x v="1"/>
    <n v="514.60000000034302"/>
    <x v="1"/>
    <n v="86206.000000004206"/>
    <n v="2000"/>
    <n v="100"/>
    <x v="0"/>
    <n v="335307.61"/>
    <x v="463"/>
    <x v="0"/>
  </r>
  <r>
    <n v="6"/>
    <x v="0"/>
    <x v="0"/>
    <n v="3"/>
    <n v="3"/>
    <x v="1"/>
    <n v="535.59999999990305"/>
    <x v="1"/>
    <n v="206090.000000017"/>
    <n v="2000"/>
    <n v="100"/>
    <x v="0"/>
    <n v="340667.61"/>
    <x v="464"/>
    <x v="1"/>
  </r>
  <r>
    <n v="7"/>
    <x v="0"/>
    <x v="1"/>
    <n v="2"/>
    <n v="1"/>
    <x v="1"/>
    <n v="354.799999999855"/>
    <x v="1"/>
    <n v="56281.000000012697"/>
    <n v="2000"/>
    <n v="100"/>
    <x v="0"/>
    <n v="384747.61"/>
    <x v="465"/>
    <x v="0"/>
  </r>
  <r>
    <n v="8"/>
    <x v="0"/>
    <x v="1"/>
    <n v="2"/>
    <n v="2"/>
    <x v="1"/>
    <n v="408.79999999958699"/>
    <x v="1"/>
    <n v="241269.00000004499"/>
    <n v="2000"/>
    <n v="100"/>
    <x v="0"/>
    <n v="371708.01"/>
    <x v="466"/>
    <x v="1"/>
  </r>
  <r>
    <n v="9"/>
    <x v="0"/>
    <x v="1"/>
    <n v="2"/>
    <n v="3"/>
    <x v="1"/>
    <n v="315.400000000565"/>
    <x v="1"/>
    <n v="186287.99999998999"/>
    <n v="2000"/>
    <n v="100"/>
    <x v="0"/>
    <n v="406347.61"/>
    <x v="467"/>
    <x v="1"/>
  </r>
  <r>
    <n v="10"/>
    <x v="0"/>
    <x v="1"/>
    <n v="3"/>
    <n v="1"/>
    <x v="1"/>
    <n v="303.20000000010299"/>
    <x v="1"/>
    <n v="234249.999999975"/>
    <n v="2000"/>
    <n v="100"/>
    <x v="0"/>
    <n v="388828.01"/>
    <x v="468"/>
    <x v="1"/>
  </r>
  <r>
    <n v="11"/>
    <x v="0"/>
    <x v="1"/>
    <n v="3"/>
    <n v="2"/>
    <x v="1"/>
    <n v="291.60000000025798"/>
    <x v="1"/>
    <n v="264225.00000001001"/>
    <n v="2000"/>
    <n v="100"/>
    <x v="0"/>
    <n v="401787.61"/>
    <x v="469"/>
    <x v="1"/>
  </r>
  <r>
    <n v="12"/>
    <x v="0"/>
    <x v="1"/>
    <n v="3"/>
    <n v="3"/>
    <x v="1"/>
    <n v="339.79999999971301"/>
    <x v="1"/>
    <n v="238984.00000001601"/>
    <n v="2000"/>
    <n v="100"/>
    <x v="0"/>
    <n v="416028.01"/>
    <x v="470"/>
    <x v="1"/>
  </r>
  <r>
    <n v="13"/>
    <x v="0"/>
    <x v="1"/>
    <n v="2"/>
    <n v="1"/>
    <x v="1"/>
    <n v="225.19999999985899"/>
    <x v="1"/>
    <n v="107898.00000003399"/>
    <n v="2000"/>
    <n v="100"/>
    <x v="0"/>
    <n v="335388.01"/>
    <x v="471"/>
    <x v="0"/>
  </r>
  <r>
    <n v="14"/>
    <x v="0"/>
    <x v="1"/>
    <n v="2"/>
    <n v="2"/>
    <x v="1"/>
    <n v="285.80000000033601"/>
    <x v="1"/>
    <n v="234233.999999958"/>
    <n v="2000"/>
    <n v="100"/>
    <x v="0"/>
    <n v="375228.81"/>
    <x v="472"/>
    <x v="1"/>
  </r>
  <r>
    <n v="15"/>
    <x v="0"/>
    <x v="1"/>
    <n v="2"/>
    <n v="3"/>
    <x v="1"/>
    <n v="273.80000000007999"/>
    <x v="1"/>
    <n v="299454.00000002602"/>
    <n v="2000"/>
    <n v="100"/>
    <x v="0"/>
    <n v="403067.61"/>
    <x v="473"/>
    <x v="1"/>
  </r>
  <r>
    <n v="16"/>
    <x v="0"/>
    <x v="1"/>
    <n v="3"/>
    <n v="1"/>
    <x v="1"/>
    <n v="261.80000000017901"/>
    <x v="1"/>
    <n v="168532.00000002701"/>
    <n v="2000"/>
    <n v="100"/>
    <x v="0"/>
    <n v="350827.61"/>
    <x v="474"/>
    <x v="1"/>
  </r>
  <r>
    <n v="17"/>
    <x v="0"/>
    <x v="1"/>
    <n v="3"/>
    <n v="2"/>
    <x v="1"/>
    <n v="255.000000001004"/>
    <x v="1"/>
    <n v="125322.00000004"/>
    <n v="2000"/>
    <n v="100"/>
    <x v="0"/>
    <n v="350027.61"/>
    <x v="475"/>
    <x v="0"/>
  </r>
  <r>
    <n v="18"/>
    <x v="0"/>
    <x v="1"/>
    <n v="3"/>
    <n v="3"/>
    <x v="1"/>
    <n v="307.79999999950297"/>
    <x v="1"/>
    <n v="445655.99999998498"/>
    <n v="2000"/>
    <n v="100"/>
    <x v="0"/>
    <n v="350586.81"/>
    <x v="476"/>
    <x v="1"/>
  </r>
  <r>
    <n v="19"/>
    <x v="0"/>
    <x v="2"/>
    <n v="2"/>
    <n v="1"/>
    <x v="1"/>
    <n v="241.399999999459"/>
    <x v="1"/>
    <n v="86420.000000032407"/>
    <n v="2000"/>
    <n v="100"/>
    <x v="0"/>
    <n v="385547.61"/>
    <x v="477"/>
    <x v="0"/>
  </r>
  <r>
    <n v="20"/>
    <x v="0"/>
    <x v="2"/>
    <n v="2"/>
    <n v="2"/>
    <x v="1"/>
    <n v="301.59999999952402"/>
    <x v="1"/>
    <n v="298383.99999999901"/>
    <n v="2000"/>
    <n v="100"/>
    <x v="0"/>
    <n v="374508.01"/>
    <x v="478"/>
    <x v="1"/>
  </r>
  <r>
    <n v="21"/>
    <x v="0"/>
    <x v="2"/>
    <n v="2"/>
    <n v="3"/>
    <x v="1"/>
    <n v="295.000000000201"/>
    <x v="1"/>
    <n v="248884.99999997299"/>
    <n v="2000"/>
    <n v="100"/>
    <x v="0"/>
    <n v="347066.81"/>
    <x v="479"/>
    <x v="1"/>
  </r>
  <r>
    <n v="22"/>
    <x v="0"/>
    <x v="2"/>
    <n v="3"/>
    <n v="1"/>
    <x v="1"/>
    <n v="284.20000000011203"/>
    <x v="1"/>
    <n v="193147.00000001001"/>
    <n v="2000"/>
    <n v="100"/>
    <x v="0"/>
    <n v="410508.01"/>
    <x v="480"/>
    <x v="0"/>
  </r>
  <r>
    <n v="23"/>
    <x v="0"/>
    <x v="2"/>
    <n v="3"/>
    <n v="2"/>
    <x v="1"/>
    <n v="292.800000000426"/>
    <x v="1"/>
    <n v="373690.000000011"/>
    <n v="2000"/>
    <n v="100"/>
    <x v="0"/>
    <n v="351227.21"/>
    <x v="481"/>
    <x v="1"/>
  </r>
  <r>
    <n v="24"/>
    <x v="0"/>
    <x v="2"/>
    <n v="3"/>
    <n v="3"/>
    <x v="1"/>
    <n v="352.60000000043601"/>
    <x v="1"/>
    <n v="513671.00000004499"/>
    <n v="2000"/>
    <n v="100"/>
    <x v="0"/>
    <n v="389787.61"/>
    <x v="482"/>
    <x v="1"/>
  </r>
  <r>
    <n v="25"/>
    <x v="0"/>
    <x v="3"/>
    <n v="3"/>
    <n v="1"/>
    <x v="1"/>
    <n v="315.00000000015399"/>
    <x v="1"/>
    <n v="392347.00000002899"/>
    <n v="2000"/>
    <n v="100"/>
    <x v="0"/>
    <n v="403788.01"/>
    <x v="483"/>
    <x v="1"/>
  </r>
  <r>
    <n v="26"/>
    <x v="0"/>
    <x v="3"/>
    <n v="3"/>
    <n v="2"/>
    <x v="1"/>
    <n v="324.400000000224"/>
    <x v="1"/>
    <n v="725330.999999983"/>
    <n v="2000"/>
    <n v="100"/>
    <x v="0"/>
    <n v="348828.01"/>
    <x v="484"/>
    <x v="1"/>
  </r>
  <r>
    <n v="27"/>
    <x v="0"/>
    <x v="3"/>
    <n v="3"/>
    <n v="3"/>
    <x v="1"/>
    <n v="408.40000000024202"/>
    <x v="1"/>
    <n v="531781.00000002398"/>
    <n v="2000"/>
    <n v="100"/>
    <x v="0"/>
    <n v="350427.21"/>
    <x v="485"/>
    <x v="1"/>
  </r>
  <r>
    <n v="1"/>
    <x v="0"/>
    <x v="0"/>
    <n v="2"/>
    <n v="1"/>
    <x v="1"/>
    <n v="686.60000000022603"/>
    <x v="1"/>
    <n v="41551.999999967396"/>
    <n v="3000"/>
    <n v="20"/>
    <x v="0"/>
    <n v="266307.61"/>
    <x v="486"/>
    <x v="0"/>
  </r>
  <r>
    <n v="2"/>
    <x v="0"/>
    <x v="0"/>
    <n v="2"/>
    <n v="2"/>
    <x v="1"/>
    <n v="595.39999999991301"/>
    <x v="1"/>
    <n v="274612.00000004697"/>
    <n v="3000"/>
    <n v="20"/>
    <x v="0"/>
    <n v="269667.61"/>
    <x v="487"/>
    <x v="0"/>
  </r>
  <r>
    <n v="3"/>
    <x v="0"/>
    <x v="0"/>
    <n v="2"/>
    <n v="3"/>
    <x v="1"/>
    <n v="510.39999999993302"/>
    <x v="1"/>
    <n v="107829.999999979"/>
    <n v="3000"/>
    <n v="20"/>
    <x v="0"/>
    <n v="306267.61"/>
    <x v="488"/>
    <x v="0"/>
  </r>
  <r>
    <n v="4"/>
    <x v="0"/>
    <x v="0"/>
    <n v="3"/>
    <n v="1"/>
    <x v="1"/>
    <n v="455.79999999958397"/>
    <x v="1"/>
    <n v="73137.000000031097"/>
    <n v="3000"/>
    <n v="20"/>
    <x v="0"/>
    <n v="269428.01"/>
    <x v="489"/>
    <x v="1"/>
  </r>
  <r>
    <n v="5"/>
    <x v="0"/>
    <x v="0"/>
    <n v="3"/>
    <n v="2"/>
    <x v="1"/>
    <n v="514.60000000034302"/>
    <x v="1"/>
    <n v="86206.000000004206"/>
    <n v="3000"/>
    <n v="20"/>
    <x v="0"/>
    <n v="253348.01"/>
    <x v="490"/>
    <x v="1"/>
  </r>
  <r>
    <n v="6"/>
    <x v="0"/>
    <x v="0"/>
    <n v="3"/>
    <n v="3"/>
    <x v="1"/>
    <n v="535.59999999990305"/>
    <x v="1"/>
    <n v="206090.000000017"/>
    <n v="3000"/>
    <n v="20"/>
    <x v="0"/>
    <n v="261387.61"/>
    <x v="491"/>
    <x v="1"/>
  </r>
  <r>
    <n v="7"/>
    <x v="0"/>
    <x v="1"/>
    <n v="2"/>
    <n v="1"/>
    <x v="1"/>
    <n v="354.799999999855"/>
    <x v="1"/>
    <n v="56281.000000012697"/>
    <n v="3000"/>
    <n v="20"/>
    <x v="0"/>
    <n v="327507.61"/>
    <x v="492"/>
    <x v="0"/>
  </r>
  <r>
    <n v="8"/>
    <x v="0"/>
    <x v="1"/>
    <n v="2"/>
    <n v="2"/>
    <x v="1"/>
    <n v="408.79999999958699"/>
    <x v="1"/>
    <n v="241269.00000004499"/>
    <n v="3000"/>
    <n v="20"/>
    <x v="0"/>
    <n v="307948.01"/>
    <x v="493"/>
    <x v="1"/>
  </r>
  <r>
    <n v="9"/>
    <x v="0"/>
    <x v="1"/>
    <n v="2"/>
    <n v="3"/>
    <x v="1"/>
    <n v="315.400000000565"/>
    <x v="1"/>
    <n v="186287.99999998999"/>
    <n v="3000"/>
    <n v="20"/>
    <x v="0"/>
    <n v="359907.61"/>
    <x v="494"/>
    <x v="1"/>
  </r>
  <r>
    <n v="10"/>
    <x v="0"/>
    <x v="1"/>
    <n v="3"/>
    <n v="1"/>
    <x v="1"/>
    <n v="303.20000000010299"/>
    <x v="1"/>
    <n v="234249.999999975"/>
    <n v="3000"/>
    <n v="20"/>
    <x v="0"/>
    <n v="333628.01"/>
    <x v="495"/>
    <x v="1"/>
  </r>
  <r>
    <n v="11"/>
    <x v="0"/>
    <x v="1"/>
    <n v="3"/>
    <n v="2"/>
    <x v="1"/>
    <n v="291.60000000025798"/>
    <x v="1"/>
    <n v="264225.00000001001"/>
    <n v="3000"/>
    <n v="20"/>
    <x v="0"/>
    <n v="353067.61"/>
    <x v="496"/>
    <x v="1"/>
  </r>
  <r>
    <n v="12"/>
    <x v="0"/>
    <x v="1"/>
    <n v="3"/>
    <n v="3"/>
    <x v="1"/>
    <n v="339.79999999971301"/>
    <x v="1"/>
    <n v="238984.00000001601"/>
    <n v="3000"/>
    <n v="20"/>
    <x v="0"/>
    <n v="374428.01"/>
    <x v="497"/>
    <x v="1"/>
  </r>
  <r>
    <n v="13"/>
    <x v="0"/>
    <x v="1"/>
    <n v="2"/>
    <n v="1"/>
    <x v="1"/>
    <n v="225.19999999985899"/>
    <x v="1"/>
    <n v="107898.00000003399"/>
    <n v="3000"/>
    <n v="20"/>
    <x v="0"/>
    <n v="253468.01"/>
    <x v="498"/>
    <x v="0"/>
  </r>
  <r>
    <n v="14"/>
    <x v="0"/>
    <x v="1"/>
    <n v="2"/>
    <n v="2"/>
    <x v="1"/>
    <n v="285.80000000033601"/>
    <x v="1"/>
    <n v="234233.999999958"/>
    <n v="3000"/>
    <n v="20"/>
    <x v="0"/>
    <n v="313228.81"/>
    <x v="499"/>
    <x v="1"/>
  </r>
  <r>
    <n v="15"/>
    <x v="0"/>
    <x v="1"/>
    <n v="2"/>
    <n v="3"/>
    <x v="1"/>
    <n v="273.80000000007999"/>
    <x v="1"/>
    <n v="299454.00000002602"/>
    <n v="3000"/>
    <n v="20"/>
    <x v="0"/>
    <n v="354987.61"/>
    <x v="500"/>
    <x v="1"/>
  </r>
  <r>
    <n v="16"/>
    <x v="0"/>
    <x v="1"/>
    <n v="3"/>
    <n v="1"/>
    <x v="1"/>
    <n v="261.80000000017901"/>
    <x v="1"/>
    <n v="168532.00000002701"/>
    <n v="3000"/>
    <n v="20"/>
    <x v="0"/>
    <n v="276627.61"/>
    <x v="501"/>
    <x v="1"/>
  </r>
  <r>
    <n v="17"/>
    <x v="0"/>
    <x v="1"/>
    <n v="3"/>
    <n v="2"/>
    <x v="1"/>
    <n v="255.000000001004"/>
    <x v="1"/>
    <n v="125322.00000004"/>
    <n v="3000"/>
    <n v="20"/>
    <x v="0"/>
    <n v="275427.61"/>
    <x v="502"/>
    <x v="0"/>
  </r>
  <r>
    <n v="18"/>
    <x v="0"/>
    <x v="1"/>
    <n v="3"/>
    <n v="3"/>
    <x v="1"/>
    <n v="307.79999999950297"/>
    <x v="1"/>
    <n v="445655.99999998498"/>
    <n v="3000"/>
    <n v="20"/>
    <x v="0"/>
    <n v="276266.81"/>
    <x v="503"/>
    <x v="1"/>
  </r>
  <r>
    <n v="19"/>
    <x v="0"/>
    <x v="2"/>
    <n v="2"/>
    <n v="1"/>
    <x v="1"/>
    <n v="241.399999999459"/>
    <x v="1"/>
    <n v="86420.000000032407"/>
    <n v="3000"/>
    <n v="20"/>
    <x v="0"/>
    <n v="328707.61"/>
    <x v="504"/>
    <x v="0"/>
  </r>
  <r>
    <n v="20"/>
    <x v="0"/>
    <x v="2"/>
    <n v="2"/>
    <n v="2"/>
    <x v="1"/>
    <n v="301.59999999952402"/>
    <x v="1"/>
    <n v="298383.99999999901"/>
    <n v="3000"/>
    <n v="20"/>
    <x v="0"/>
    <n v="312148.01"/>
    <x v="505"/>
    <x v="1"/>
  </r>
  <r>
    <n v="21"/>
    <x v="0"/>
    <x v="2"/>
    <n v="2"/>
    <n v="3"/>
    <x v="1"/>
    <n v="295.000000000201"/>
    <x v="1"/>
    <n v="248884.99999997299"/>
    <n v="3000"/>
    <n v="20"/>
    <x v="0"/>
    <n v="270986.81"/>
    <x v="506"/>
    <x v="1"/>
  </r>
  <r>
    <n v="22"/>
    <x v="0"/>
    <x v="2"/>
    <n v="3"/>
    <n v="1"/>
    <x v="1"/>
    <n v="284.20000000011203"/>
    <x v="1"/>
    <n v="193147.00000001001"/>
    <n v="3000"/>
    <n v="20"/>
    <x v="0"/>
    <n v="366148.01"/>
    <x v="507"/>
    <x v="1"/>
  </r>
  <r>
    <n v="23"/>
    <x v="0"/>
    <x v="2"/>
    <n v="3"/>
    <n v="2"/>
    <x v="1"/>
    <n v="292.800000000426"/>
    <x v="1"/>
    <n v="373690.000000011"/>
    <n v="3000"/>
    <n v="20"/>
    <x v="0"/>
    <n v="277227.21000000002"/>
    <x v="508"/>
    <x v="1"/>
  </r>
  <r>
    <n v="24"/>
    <x v="0"/>
    <x v="2"/>
    <n v="3"/>
    <n v="3"/>
    <x v="1"/>
    <n v="352.60000000043601"/>
    <x v="1"/>
    <n v="513671.00000004499"/>
    <n v="3000"/>
    <n v="20"/>
    <x v="0"/>
    <n v="335067.61"/>
    <x v="509"/>
    <x v="1"/>
  </r>
  <r>
    <n v="25"/>
    <x v="0"/>
    <x v="3"/>
    <n v="3"/>
    <n v="1"/>
    <x v="1"/>
    <n v="315.00000000015399"/>
    <x v="1"/>
    <n v="392347.00000002899"/>
    <n v="3000"/>
    <n v="20"/>
    <x v="0"/>
    <n v="356068.01"/>
    <x v="510"/>
    <x v="1"/>
  </r>
  <r>
    <n v="26"/>
    <x v="0"/>
    <x v="3"/>
    <n v="3"/>
    <n v="2"/>
    <x v="1"/>
    <n v="324.400000000224"/>
    <x v="1"/>
    <n v="725330.999999983"/>
    <n v="3000"/>
    <n v="20"/>
    <x v="0"/>
    <n v="273628.01"/>
    <x v="511"/>
    <x v="1"/>
  </r>
  <r>
    <n v="27"/>
    <x v="0"/>
    <x v="3"/>
    <n v="3"/>
    <n v="3"/>
    <x v="1"/>
    <n v="408.40000000024202"/>
    <x v="1"/>
    <n v="531781.00000002398"/>
    <n v="3000"/>
    <n v="20"/>
    <x v="0"/>
    <n v="276027.21000000002"/>
    <x v="512"/>
    <x v="1"/>
  </r>
  <r>
    <n v="1"/>
    <x v="0"/>
    <x v="0"/>
    <n v="2"/>
    <n v="1"/>
    <x v="1"/>
    <n v="686.60000000022603"/>
    <x v="1"/>
    <n v="41551.999999967396"/>
    <n v="3000"/>
    <n v="100"/>
    <x v="0"/>
    <n v="506307.21"/>
    <x v="513"/>
    <x v="0"/>
  </r>
  <r>
    <n v="2"/>
    <x v="0"/>
    <x v="0"/>
    <n v="2"/>
    <n v="2"/>
    <x v="1"/>
    <n v="595.39999999991301"/>
    <x v="1"/>
    <n v="274612.00000004697"/>
    <n v="3000"/>
    <n v="100"/>
    <x v="0"/>
    <n v="509667.21"/>
    <x v="514"/>
    <x v="0"/>
  </r>
  <r>
    <n v="3"/>
    <x v="0"/>
    <x v="0"/>
    <n v="2"/>
    <n v="3"/>
    <x v="1"/>
    <n v="510.39999999993302"/>
    <x v="1"/>
    <n v="107829.999999979"/>
    <n v="3000"/>
    <n v="100"/>
    <x v="0"/>
    <n v="546267.21"/>
    <x v="515"/>
    <x v="0"/>
  </r>
  <r>
    <n v="4"/>
    <x v="0"/>
    <x v="0"/>
    <n v="3"/>
    <n v="1"/>
    <x v="1"/>
    <n v="455.79999999958397"/>
    <x v="1"/>
    <n v="73137.000000031097"/>
    <n v="3000"/>
    <n v="100"/>
    <x v="0"/>
    <n v="509427.61"/>
    <x v="516"/>
    <x v="0"/>
  </r>
  <r>
    <n v="5"/>
    <x v="0"/>
    <x v="0"/>
    <n v="3"/>
    <n v="2"/>
    <x v="1"/>
    <n v="514.60000000034302"/>
    <x v="1"/>
    <n v="86206.000000004206"/>
    <n v="3000"/>
    <n v="100"/>
    <x v="0"/>
    <n v="493347.21"/>
    <x v="517"/>
    <x v="0"/>
  </r>
  <r>
    <n v="6"/>
    <x v="0"/>
    <x v="0"/>
    <n v="3"/>
    <n v="3"/>
    <x v="1"/>
    <n v="535.59999999990305"/>
    <x v="1"/>
    <n v="206090.000000017"/>
    <n v="3000"/>
    <n v="100"/>
    <x v="0"/>
    <n v="501387.21"/>
    <x v="518"/>
    <x v="1"/>
  </r>
  <r>
    <n v="7"/>
    <x v="0"/>
    <x v="1"/>
    <n v="2"/>
    <n v="1"/>
    <x v="1"/>
    <n v="354.799999999855"/>
    <x v="1"/>
    <n v="56281.000000012697"/>
    <n v="3000"/>
    <n v="100"/>
    <x v="0"/>
    <n v="567507.21"/>
    <x v="519"/>
    <x v="0"/>
  </r>
  <r>
    <n v="8"/>
    <x v="0"/>
    <x v="1"/>
    <n v="2"/>
    <n v="2"/>
    <x v="1"/>
    <n v="408.79999999958699"/>
    <x v="1"/>
    <n v="241269.00000004499"/>
    <n v="3000"/>
    <n v="100"/>
    <x v="0"/>
    <n v="547947.61"/>
    <x v="520"/>
    <x v="1"/>
  </r>
  <r>
    <n v="9"/>
    <x v="0"/>
    <x v="1"/>
    <n v="2"/>
    <n v="3"/>
    <x v="1"/>
    <n v="315.400000000565"/>
    <x v="1"/>
    <n v="186287.99999998999"/>
    <n v="3000"/>
    <n v="100"/>
    <x v="0"/>
    <n v="599907.21"/>
    <x v="521"/>
    <x v="1"/>
  </r>
  <r>
    <n v="10"/>
    <x v="0"/>
    <x v="1"/>
    <n v="3"/>
    <n v="1"/>
    <x v="1"/>
    <n v="303.20000000010299"/>
    <x v="1"/>
    <n v="234249.999999975"/>
    <n v="3000"/>
    <n v="100"/>
    <x v="0"/>
    <n v="573627.61"/>
    <x v="522"/>
    <x v="1"/>
  </r>
  <r>
    <n v="11"/>
    <x v="0"/>
    <x v="1"/>
    <n v="3"/>
    <n v="2"/>
    <x v="1"/>
    <n v="291.60000000025798"/>
    <x v="1"/>
    <n v="264225.00000001001"/>
    <n v="3000"/>
    <n v="100"/>
    <x v="0"/>
    <n v="593067.21"/>
    <x v="523"/>
    <x v="1"/>
  </r>
  <r>
    <n v="12"/>
    <x v="0"/>
    <x v="1"/>
    <n v="3"/>
    <n v="3"/>
    <x v="1"/>
    <n v="339.79999999971301"/>
    <x v="1"/>
    <n v="238984.00000001601"/>
    <n v="3000"/>
    <n v="100"/>
    <x v="0"/>
    <n v="614427.61"/>
    <x v="524"/>
    <x v="1"/>
  </r>
  <r>
    <n v="13"/>
    <x v="0"/>
    <x v="1"/>
    <n v="2"/>
    <n v="1"/>
    <x v="1"/>
    <n v="225.19999999985899"/>
    <x v="1"/>
    <n v="107898.00000003399"/>
    <n v="3000"/>
    <n v="100"/>
    <x v="0"/>
    <n v="493467.61"/>
    <x v="525"/>
    <x v="0"/>
  </r>
  <r>
    <n v="14"/>
    <x v="0"/>
    <x v="1"/>
    <n v="2"/>
    <n v="2"/>
    <x v="1"/>
    <n v="285.80000000033601"/>
    <x v="1"/>
    <n v="234233.999999958"/>
    <n v="3000"/>
    <n v="100"/>
    <x v="0"/>
    <n v="553228.41"/>
    <x v="526"/>
    <x v="1"/>
  </r>
  <r>
    <n v="15"/>
    <x v="0"/>
    <x v="1"/>
    <n v="2"/>
    <n v="3"/>
    <x v="1"/>
    <n v="273.80000000007999"/>
    <x v="1"/>
    <n v="299454.00000002602"/>
    <n v="3000"/>
    <n v="100"/>
    <x v="0"/>
    <n v="594987.21"/>
    <x v="527"/>
    <x v="1"/>
  </r>
  <r>
    <n v="16"/>
    <x v="0"/>
    <x v="1"/>
    <n v="3"/>
    <n v="1"/>
    <x v="1"/>
    <n v="261.80000000017901"/>
    <x v="1"/>
    <n v="168532.00000002701"/>
    <n v="3000"/>
    <n v="100"/>
    <x v="0"/>
    <n v="516627.21"/>
    <x v="528"/>
    <x v="1"/>
  </r>
  <r>
    <n v="17"/>
    <x v="0"/>
    <x v="1"/>
    <n v="3"/>
    <n v="2"/>
    <x v="1"/>
    <n v="255.000000001004"/>
    <x v="1"/>
    <n v="125322.00000004"/>
    <n v="3000"/>
    <n v="100"/>
    <x v="0"/>
    <n v="515427.21"/>
    <x v="529"/>
    <x v="0"/>
  </r>
  <r>
    <n v="18"/>
    <x v="0"/>
    <x v="1"/>
    <n v="3"/>
    <n v="3"/>
    <x v="1"/>
    <n v="307.79999999950297"/>
    <x v="1"/>
    <n v="445655.99999998498"/>
    <n v="3000"/>
    <n v="100"/>
    <x v="0"/>
    <n v="516266.41"/>
    <x v="530"/>
    <x v="1"/>
  </r>
  <r>
    <n v="19"/>
    <x v="0"/>
    <x v="2"/>
    <n v="2"/>
    <n v="1"/>
    <x v="1"/>
    <n v="241.399999999459"/>
    <x v="1"/>
    <n v="86420.000000032407"/>
    <n v="3000"/>
    <n v="100"/>
    <x v="0"/>
    <n v="568707.21"/>
    <x v="531"/>
    <x v="0"/>
  </r>
  <r>
    <n v="20"/>
    <x v="0"/>
    <x v="2"/>
    <n v="2"/>
    <n v="2"/>
    <x v="1"/>
    <n v="301.59999999952402"/>
    <x v="1"/>
    <n v="298383.99999999901"/>
    <n v="3000"/>
    <n v="100"/>
    <x v="0"/>
    <n v="552147.61"/>
    <x v="532"/>
    <x v="0"/>
  </r>
  <r>
    <n v="21"/>
    <x v="0"/>
    <x v="2"/>
    <n v="2"/>
    <n v="3"/>
    <x v="1"/>
    <n v="295.000000000201"/>
    <x v="1"/>
    <n v="248884.99999997299"/>
    <n v="3000"/>
    <n v="100"/>
    <x v="0"/>
    <n v="510986.41"/>
    <x v="533"/>
    <x v="1"/>
  </r>
  <r>
    <n v="22"/>
    <x v="0"/>
    <x v="2"/>
    <n v="3"/>
    <n v="1"/>
    <x v="1"/>
    <n v="284.20000000011203"/>
    <x v="1"/>
    <n v="193147.00000001001"/>
    <n v="3000"/>
    <n v="100"/>
    <x v="0"/>
    <n v="606147.61"/>
    <x v="534"/>
    <x v="1"/>
  </r>
  <r>
    <n v="23"/>
    <x v="0"/>
    <x v="2"/>
    <n v="3"/>
    <n v="2"/>
    <x v="1"/>
    <n v="292.800000000426"/>
    <x v="1"/>
    <n v="373690.000000011"/>
    <n v="3000"/>
    <n v="100"/>
    <x v="0"/>
    <n v="517226.81"/>
    <x v="535"/>
    <x v="1"/>
  </r>
  <r>
    <n v="24"/>
    <x v="0"/>
    <x v="2"/>
    <n v="3"/>
    <n v="3"/>
    <x v="1"/>
    <n v="352.60000000043601"/>
    <x v="1"/>
    <n v="513671.00000004499"/>
    <n v="3000"/>
    <n v="100"/>
    <x v="0"/>
    <n v="575067.21"/>
    <x v="536"/>
    <x v="1"/>
  </r>
  <r>
    <n v="25"/>
    <x v="0"/>
    <x v="3"/>
    <n v="3"/>
    <n v="1"/>
    <x v="1"/>
    <n v="315.00000000015399"/>
    <x v="1"/>
    <n v="392347.00000002899"/>
    <n v="3000"/>
    <n v="100"/>
    <x v="0"/>
    <n v="596067.61"/>
    <x v="537"/>
    <x v="1"/>
  </r>
  <r>
    <n v="26"/>
    <x v="0"/>
    <x v="3"/>
    <n v="3"/>
    <n v="2"/>
    <x v="1"/>
    <n v="324.400000000224"/>
    <x v="1"/>
    <n v="725330.999999983"/>
    <n v="3000"/>
    <n v="100"/>
    <x v="0"/>
    <n v="513627.61"/>
    <x v="538"/>
    <x v="1"/>
  </r>
  <r>
    <n v="27"/>
    <x v="0"/>
    <x v="3"/>
    <n v="3"/>
    <n v="3"/>
    <x v="1"/>
    <n v="408.40000000024202"/>
    <x v="1"/>
    <n v="531781.00000002398"/>
    <n v="3000"/>
    <n v="100"/>
    <x v="0"/>
    <n v="516026.81"/>
    <x v="539"/>
    <x v="1"/>
  </r>
  <r>
    <n v="1"/>
    <x v="0"/>
    <x v="0"/>
    <n v="2"/>
    <n v="1"/>
    <x v="1"/>
    <n v="686.60000000022603"/>
    <x v="1"/>
    <n v="41551.999999967396"/>
    <n v="5000"/>
    <n v="20"/>
    <x v="0"/>
    <n v="431027.61"/>
    <x v="540"/>
    <x v="0"/>
  </r>
  <r>
    <n v="2"/>
    <x v="0"/>
    <x v="0"/>
    <n v="2"/>
    <n v="2"/>
    <x v="1"/>
    <n v="595.39999999991301"/>
    <x v="1"/>
    <n v="274612.00000004697"/>
    <n v="5000"/>
    <n v="20"/>
    <x v="0"/>
    <n v="436627.61"/>
    <x v="541"/>
    <x v="0"/>
  </r>
  <r>
    <n v="3"/>
    <x v="0"/>
    <x v="0"/>
    <n v="2"/>
    <n v="3"/>
    <x v="1"/>
    <n v="510.39999999993302"/>
    <x v="1"/>
    <n v="107829.999999979"/>
    <n v="5000"/>
    <n v="20"/>
    <x v="0"/>
    <n v="497627.61"/>
    <x v="542"/>
    <x v="0"/>
  </r>
  <r>
    <n v="4"/>
    <x v="0"/>
    <x v="0"/>
    <n v="3"/>
    <n v="1"/>
    <x v="1"/>
    <n v="455.79999999958397"/>
    <x v="1"/>
    <n v="73137.000000031097"/>
    <n v="5000"/>
    <n v="20"/>
    <x v="0"/>
    <n v="436228.01"/>
    <x v="543"/>
    <x v="0"/>
  </r>
  <r>
    <n v="5"/>
    <x v="0"/>
    <x v="0"/>
    <n v="3"/>
    <n v="2"/>
    <x v="1"/>
    <n v="514.60000000034302"/>
    <x v="1"/>
    <n v="86206.000000004206"/>
    <n v="5000"/>
    <n v="20"/>
    <x v="0"/>
    <n v="409428.01"/>
    <x v="544"/>
    <x v="1"/>
  </r>
  <r>
    <n v="6"/>
    <x v="0"/>
    <x v="0"/>
    <n v="3"/>
    <n v="3"/>
    <x v="1"/>
    <n v="535.59999999990305"/>
    <x v="1"/>
    <n v="206090.000000017"/>
    <n v="5000"/>
    <n v="20"/>
    <x v="0"/>
    <n v="422827.61"/>
    <x v="545"/>
    <x v="1"/>
  </r>
  <r>
    <n v="7"/>
    <x v="0"/>
    <x v="1"/>
    <n v="2"/>
    <n v="1"/>
    <x v="1"/>
    <n v="354.799999999855"/>
    <x v="1"/>
    <n v="56281.000000012697"/>
    <n v="5000"/>
    <n v="20"/>
    <x v="0"/>
    <n v="533027.61"/>
    <x v="546"/>
    <x v="0"/>
  </r>
  <r>
    <n v="8"/>
    <x v="0"/>
    <x v="1"/>
    <n v="2"/>
    <n v="2"/>
    <x v="1"/>
    <n v="408.79999999958699"/>
    <x v="1"/>
    <n v="241269.00000004499"/>
    <n v="5000"/>
    <n v="20"/>
    <x v="0"/>
    <n v="500428.01"/>
    <x v="547"/>
    <x v="1"/>
  </r>
  <r>
    <n v="9"/>
    <x v="0"/>
    <x v="1"/>
    <n v="2"/>
    <n v="3"/>
    <x v="1"/>
    <n v="315.400000000565"/>
    <x v="1"/>
    <n v="186287.99999998999"/>
    <n v="5000"/>
    <n v="20"/>
    <x v="0"/>
    <n v="587027.61"/>
    <x v="548"/>
    <x v="1"/>
  </r>
  <r>
    <n v="10"/>
    <x v="0"/>
    <x v="1"/>
    <n v="3"/>
    <n v="1"/>
    <x v="1"/>
    <n v="303.20000000010299"/>
    <x v="1"/>
    <n v="234249.999999975"/>
    <n v="5000"/>
    <n v="20"/>
    <x v="0"/>
    <n v="543228.01"/>
    <x v="549"/>
    <x v="1"/>
  </r>
  <r>
    <n v="11"/>
    <x v="0"/>
    <x v="1"/>
    <n v="3"/>
    <n v="2"/>
    <x v="1"/>
    <n v="291.60000000025798"/>
    <x v="1"/>
    <n v="264225.00000001001"/>
    <n v="5000"/>
    <n v="20"/>
    <x v="0"/>
    <n v="575627.61"/>
    <x v="550"/>
    <x v="1"/>
  </r>
  <r>
    <n v="12"/>
    <x v="0"/>
    <x v="1"/>
    <n v="3"/>
    <n v="3"/>
    <x v="1"/>
    <n v="339.79999999971301"/>
    <x v="1"/>
    <n v="238984.00000001601"/>
    <n v="5000"/>
    <n v="20"/>
    <x v="0"/>
    <n v="611228.01"/>
    <x v="551"/>
    <x v="1"/>
  </r>
  <r>
    <n v="13"/>
    <x v="0"/>
    <x v="1"/>
    <n v="2"/>
    <n v="1"/>
    <x v="1"/>
    <n v="225.19999999985899"/>
    <x v="1"/>
    <n v="107898.00000003399"/>
    <n v="5000"/>
    <n v="20"/>
    <x v="0"/>
    <n v="409628.01"/>
    <x v="552"/>
    <x v="0"/>
  </r>
  <r>
    <n v="14"/>
    <x v="0"/>
    <x v="1"/>
    <n v="2"/>
    <n v="2"/>
    <x v="1"/>
    <n v="285.80000000033601"/>
    <x v="1"/>
    <n v="234233.999999958"/>
    <n v="5000"/>
    <n v="20"/>
    <x v="0"/>
    <n v="509228.81"/>
    <x v="553"/>
    <x v="1"/>
  </r>
  <r>
    <n v="15"/>
    <x v="0"/>
    <x v="1"/>
    <n v="2"/>
    <n v="3"/>
    <x v="1"/>
    <n v="273.80000000007999"/>
    <x v="1"/>
    <n v="299454.00000002602"/>
    <n v="5000"/>
    <n v="20"/>
    <x v="0"/>
    <n v="578827.61"/>
    <x v="554"/>
    <x v="1"/>
  </r>
  <r>
    <n v="16"/>
    <x v="0"/>
    <x v="1"/>
    <n v="3"/>
    <n v="1"/>
    <x v="1"/>
    <n v="261.80000000017901"/>
    <x v="1"/>
    <n v="168532.00000002701"/>
    <n v="5000"/>
    <n v="20"/>
    <x v="0"/>
    <n v="448227.61"/>
    <x v="555"/>
    <x v="1"/>
  </r>
  <r>
    <n v="17"/>
    <x v="0"/>
    <x v="1"/>
    <n v="3"/>
    <n v="2"/>
    <x v="1"/>
    <n v="255.000000001004"/>
    <x v="1"/>
    <n v="125322.00000004"/>
    <n v="5000"/>
    <n v="20"/>
    <x v="0"/>
    <n v="446227.61"/>
    <x v="556"/>
    <x v="0"/>
  </r>
  <r>
    <n v="18"/>
    <x v="0"/>
    <x v="1"/>
    <n v="3"/>
    <n v="3"/>
    <x v="1"/>
    <n v="307.79999999950297"/>
    <x v="1"/>
    <n v="445655.99999998498"/>
    <n v="5000"/>
    <n v="20"/>
    <x v="0"/>
    <n v="447626.81"/>
    <x v="557"/>
    <x v="1"/>
  </r>
  <r>
    <n v="19"/>
    <x v="0"/>
    <x v="2"/>
    <n v="2"/>
    <n v="1"/>
    <x v="1"/>
    <n v="241.399999999459"/>
    <x v="1"/>
    <n v="86420.000000032407"/>
    <n v="5000"/>
    <n v="20"/>
    <x v="0"/>
    <n v="535027.61"/>
    <x v="558"/>
    <x v="0"/>
  </r>
  <r>
    <n v="20"/>
    <x v="0"/>
    <x v="2"/>
    <n v="2"/>
    <n v="2"/>
    <x v="1"/>
    <n v="301.59999999952402"/>
    <x v="1"/>
    <n v="298383.99999999901"/>
    <n v="5000"/>
    <n v="20"/>
    <x v="0"/>
    <n v="507428.01"/>
    <x v="559"/>
    <x v="1"/>
  </r>
  <r>
    <n v="21"/>
    <x v="0"/>
    <x v="2"/>
    <n v="2"/>
    <n v="3"/>
    <x v="1"/>
    <n v="295.000000000201"/>
    <x v="1"/>
    <n v="248884.99999997299"/>
    <n v="5000"/>
    <n v="20"/>
    <x v="0"/>
    <n v="438826.81"/>
    <x v="560"/>
    <x v="1"/>
  </r>
  <r>
    <n v="22"/>
    <x v="0"/>
    <x v="2"/>
    <n v="3"/>
    <n v="1"/>
    <x v="1"/>
    <n v="284.20000000011203"/>
    <x v="1"/>
    <n v="193147.00000001001"/>
    <n v="5000"/>
    <n v="20"/>
    <x v="0"/>
    <n v="597428.01"/>
    <x v="561"/>
    <x v="1"/>
  </r>
  <r>
    <n v="23"/>
    <x v="0"/>
    <x v="2"/>
    <n v="3"/>
    <n v="2"/>
    <x v="1"/>
    <n v="292.800000000426"/>
    <x v="1"/>
    <n v="373690.000000011"/>
    <n v="5000"/>
    <n v="20"/>
    <x v="0"/>
    <n v="449227.21"/>
    <x v="562"/>
    <x v="1"/>
  </r>
  <r>
    <n v="24"/>
    <x v="0"/>
    <x v="2"/>
    <n v="3"/>
    <n v="3"/>
    <x v="1"/>
    <n v="352.60000000043601"/>
    <x v="1"/>
    <n v="513671.00000004499"/>
    <n v="5000"/>
    <n v="20"/>
    <x v="0"/>
    <n v="545627.61"/>
    <x v="563"/>
    <x v="1"/>
  </r>
  <r>
    <n v="25"/>
    <x v="0"/>
    <x v="3"/>
    <n v="3"/>
    <n v="1"/>
    <x v="1"/>
    <n v="315.00000000015399"/>
    <x v="1"/>
    <n v="392347.00000002899"/>
    <n v="5000"/>
    <n v="20"/>
    <x v="0"/>
    <n v="580628.01"/>
    <x v="564"/>
    <x v="1"/>
  </r>
  <r>
    <n v="26"/>
    <x v="0"/>
    <x v="3"/>
    <n v="3"/>
    <n v="2"/>
    <x v="1"/>
    <n v="324.400000000224"/>
    <x v="1"/>
    <n v="725330.999999983"/>
    <n v="5000"/>
    <n v="20"/>
    <x v="0"/>
    <n v="443228.01"/>
    <x v="565"/>
    <x v="1"/>
  </r>
  <r>
    <n v="27"/>
    <x v="0"/>
    <x v="3"/>
    <n v="3"/>
    <n v="3"/>
    <x v="1"/>
    <n v="408.40000000024202"/>
    <x v="1"/>
    <n v="531781.00000002398"/>
    <n v="5000"/>
    <n v="20"/>
    <x v="0"/>
    <n v="447227.21"/>
    <x v="566"/>
    <x v="1"/>
  </r>
  <r>
    <n v="1"/>
    <x v="0"/>
    <x v="0"/>
    <n v="2"/>
    <n v="1"/>
    <x v="1"/>
    <n v="686.60000000022603"/>
    <x v="1"/>
    <n v="41551.999999967396"/>
    <n v="4000"/>
    <n v="60"/>
    <x v="0"/>
    <n v="508667.61"/>
    <x v="567"/>
    <x v="0"/>
  </r>
  <r>
    <n v="2"/>
    <x v="0"/>
    <x v="0"/>
    <n v="2"/>
    <n v="2"/>
    <x v="1"/>
    <n v="595.39999999991301"/>
    <x v="1"/>
    <n v="274612.00000004697"/>
    <n v="4000"/>
    <n v="60"/>
    <x v="0"/>
    <n v="513147.61"/>
    <x v="568"/>
    <x v="0"/>
  </r>
  <r>
    <n v="3"/>
    <x v="0"/>
    <x v="0"/>
    <n v="2"/>
    <n v="3"/>
    <x v="1"/>
    <n v="510.39999999993302"/>
    <x v="1"/>
    <n v="107829.999999979"/>
    <n v="4000"/>
    <n v="60"/>
    <x v="0"/>
    <n v="561947.61"/>
    <x v="569"/>
    <x v="0"/>
  </r>
  <r>
    <n v="4"/>
    <x v="0"/>
    <x v="0"/>
    <n v="3"/>
    <n v="1"/>
    <x v="1"/>
    <n v="455.79999999958397"/>
    <x v="1"/>
    <n v="73137.000000031097"/>
    <n v="4000"/>
    <n v="60"/>
    <x v="0"/>
    <n v="512828.01"/>
    <x v="570"/>
    <x v="0"/>
  </r>
  <r>
    <n v="5"/>
    <x v="0"/>
    <x v="0"/>
    <n v="3"/>
    <n v="2"/>
    <x v="1"/>
    <n v="514.60000000034302"/>
    <x v="1"/>
    <n v="86206.000000004206"/>
    <n v="4000"/>
    <n v="60"/>
    <x v="0"/>
    <n v="491388.01"/>
    <x v="571"/>
    <x v="0"/>
  </r>
  <r>
    <n v="6"/>
    <x v="0"/>
    <x v="0"/>
    <n v="3"/>
    <n v="3"/>
    <x v="1"/>
    <n v="535.59999999990305"/>
    <x v="1"/>
    <n v="206090.000000017"/>
    <n v="4000"/>
    <n v="60"/>
    <x v="0"/>
    <n v="502107.61"/>
    <x v="572"/>
    <x v="1"/>
  </r>
  <r>
    <n v="7"/>
    <x v="0"/>
    <x v="1"/>
    <n v="2"/>
    <n v="1"/>
    <x v="1"/>
    <n v="354.799999999855"/>
    <x v="1"/>
    <n v="56281.000000012697"/>
    <n v="4000"/>
    <n v="60"/>
    <x v="0"/>
    <n v="590267.61"/>
    <x v="573"/>
    <x v="0"/>
  </r>
  <r>
    <n v="8"/>
    <x v="0"/>
    <x v="1"/>
    <n v="2"/>
    <n v="2"/>
    <x v="1"/>
    <n v="408.79999999958699"/>
    <x v="1"/>
    <n v="241269.00000004499"/>
    <n v="4000"/>
    <n v="60"/>
    <x v="0"/>
    <n v="564188.01"/>
    <x v="574"/>
    <x v="1"/>
  </r>
  <r>
    <n v="9"/>
    <x v="0"/>
    <x v="1"/>
    <n v="2"/>
    <n v="3"/>
    <x v="1"/>
    <n v="315.400000000565"/>
    <x v="1"/>
    <n v="186287.99999998999"/>
    <n v="4000"/>
    <n v="60"/>
    <x v="0"/>
    <n v="633467.61"/>
    <x v="575"/>
    <x v="1"/>
  </r>
  <r>
    <n v="10"/>
    <x v="0"/>
    <x v="1"/>
    <n v="3"/>
    <n v="1"/>
    <x v="1"/>
    <n v="303.20000000010299"/>
    <x v="1"/>
    <n v="234249.999999975"/>
    <n v="4000"/>
    <n v="60"/>
    <x v="0"/>
    <n v="598428.01"/>
    <x v="576"/>
    <x v="1"/>
  </r>
  <r>
    <n v="11"/>
    <x v="0"/>
    <x v="1"/>
    <n v="3"/>
    <n v="2"/>
    <x v="1"/>
    <n v="291.60000000025798"/>
    <x v="1"/>
    <n v="264225.00000001001"/>
    <n v="4000"/>
    <n v="60"/>
    <x v="0"/>
    <n v="624347.61"/>
    <x v="577"/>
    <x v="1"/>
  </r>
  <r>
    <n v="12"/>
    <x v="0"/>
    <x v="1"/>
    <n v="3"/>
    <n v="3"/>
    <x v="1"/>
    <n v="339.79999999971301"/>
    <x v="1"/>
    <n v="238984.00000001601"/>
    <n v="4000"/>
    <n v="60"/>
    <x v="0"/>
    <n v="652828.01"/>
    <x v="578"/>
    <x v="1"/>
  </r>
  <r>
    <n v="13"/>
    <x v="0"/>
    <x v="1"/>
    <n v="2"/>
    <n v="1"/>
    <x v="1"/>
    <n v="225.19999999985899"/>
    <x v="1"/>
    <n v="107898.00000003399"/>
    <n v="4000"/>
    <n v="60"/>
    <x v="0"/>
    <n v="491548.01"/>
    <x v="579"/>
    <x v="0"/>
  </r>
  <r>
    <n v="14"/>
    <x v="0"/>
    <x v="1"/>
    <n v="2"/>
    <n v="2"/>
    <x v="1"/>
    <n v="285.80000000033601"/>
    <x v="1"/>
    <n v="234233.999999958"/>
    <n v="4000"/>
    <n v="60"/>
    <x v="0"/>
    <n v="571228.81000000006"/>
    <x v="580"/>
    <x v="0"/>
  </r>
  <r>
    <n v="15"/>
    <x v="0"/>
    <x v="1"/>
    <n v="2"/>
    <n v="3"/>
    <x v="1"/>
    <n v="273.80000000007999"/>
    <x v="1"/>
    <n v="299454.00000002602"/>
    <n v="4000"/>
    <n v="60"/>
    <x v="0"/>
    <n v="626907.61"/>
    <x v="581"/>
    <x v="0"/>
  </r>
  <r>
    <n v="16"/>
    <x v="0"/>
    <x v="1"/>
    <n v="3"/>
    <n v="1"/>
    <x v="1"/>
    <n v="261.80000000017901"/>
    <x v="1"/>
    <n v="168532.00000002701"/>
    <n v="4000"/>
    <n v="60"/>
    <x v="0"/>
    <n v="522427.61"/>
    <x v="582"/>
    <x v="1"/>
  </r>
  <r>
    <n v="17"/>
    <x v="0"/>
    <x v="1"/>
    <n v="3"/>
    <n v="2"/>
    <x v="1"/>
    <n v="255.000000001004"/>
    <x v="1"/>
    <n v="125322.00000004"/>
    <n v="4000"/>
    <n v="60"/>
    <x v="0"/>
    <n v="520827.61"/>
    <x v="583"/>
    <x v="0"/>
  </r>
  <r>
    <n v="18"/>
    <x v="0"/>
    <x v="1"/>
    <n v="3"/>
    <n v="3"/>
    <x v="1"/>
    <n v="307.79999999950297"/>
    <x v="1"/>
    <n v="445655.99999998498"/>
    <n v="4000"/>
    <n v="60"/>
    <x v="0"/>
    <n v="521946.81"/>
    <x v="584"/>
    <x v="1"/>
  </r>
  <r>
    <n v="19"/>
    <x v="0"/>
    <x v="2"/>
    <n v="2"/>
    <n v="1"/>
    <x v="1"/>
    <n v="241.399999999459"/>
    <x v="1"/>
    <n v="86420.000000032407"/>
    <n v="4000"/>
    <n v="60"/>
    <x v="0"/>
    <n v="591867.61"/>
    <x v="585"/>
    <x v="0"/>
  </r>
  <r>
    <n v="20"/>
    <x v="0"/>
    <x v="2"/>
    <n v="2"/>
    <n v="2"/>
    <x v="1"/>
    <n v="301.59999999952402"/>
    <x v="1"/>
    <n v="298383.99999999901"/>
    <n v="4000"/>
    <n v="60"/>
    <x v="0"/>
    <n v="569788.01"/>
    <x v="586"/>
    <x v="1"/>
  </r>
  <r>
    <n v="21"/>
    <x v="0"/>
    <x v="2"/>
    <n v="2"/>
    <n v="3"/>
    <x v="1"/>
    <n v="295.000000000201"/>
    <x v="1"/>
    <n v="248884.99999997299"/>
    <n v="4000"/>
    <n v="60"/>
    <x v="0"/>
    <n v="514906.81"/>
    <x v="587"/>
    <x v="1"/>
  </r>
  <r>
    <n v="22"/>
    <x v="0"/>
    <x v="2"/>
    <n v="3"/>
    <n v="1"/>
    <x v="1"/>
    <n v="284.20000000011203"/>
    <x v="1"/>
    <n v="193147.00000001001"/>
    <n v="4000"/>
    <n v="60"/>
    <x v="0"/>
    <n v="641788.01"/>
    <x v="588"/>
    <x v="1"/>
  </r>
  <r>
    <n v="23"/>
    <x v="0"/>
    <x v="2"/>
    <n v="3"/>
    <n v="2"/>
    <x v="1"/>
    <n v="292.800000000426"/>
    <x v="1"/>
    <n v="373690.000000011"/>
    <n v="4000"/>
    <n v="60"/>
    <x v="0"/>
    <n v="523227.21"/>
    <x v="589"/>
    <x v="1"/>
  </r>
  <r>
    <n v="24"/>
    <x v="0"/>
    <x v="2"/>
    <n v="3"/>
    <n v="3"/>
    <x v="1"/>
    <n v="352.60000000043601"/>
    <x v="1"/>
    <n v="513671.00000004499"/>
    <n v="4000"/>
    <n v="60"/>
    <x v="0"/>
    <n v="600347.61"/>
    <x v="590"/>
    <x v="1"/>
  </r>
  <r>
    <n v="25"/>
    <x v="0"/>
    <x v="3"/>
    <n v="3"/>
    <n v="1"/>
    <x v="1"/>
    <n v="315.00000000015399"/>
    <x v="1"/>
    <n v="392347.00000002899"/>
    <n v="4000"/>
    <n v="60"/>
    <x v="0"/>
    <n v="628348.01"/>
    <x v="591"/>
    <x v="1"/>
  </r>
  <r>
    <n v="26"/>
    <x v="0"/>
    <x v="3"/>
    <n v="3"/>
    <n v="2"/>
    <x v="1"/>
    <n v="324.400000000224"/>
    <x v="1"/>
    <n v="725330.999999983"/>
    <n v="4000"/>
    <n v="60"/>
    <x v="0"/>
    <n v="518428.01"/>
    <x v="592"/>
    <x v="1"/>
  </r>
  <r>
    <n v="27"/>
    <x v="0"/>
    <x v="3"/>
    <n v="3"/>
    <n v="3"/>
    <x v="1"/>
    <n v="408.40000000024202"/>
    <x v="1"/>
    <n v="531781.00000002398"/>
    <n v="4000"/>
    <n v="60"/>
    <x v="0"/>
    <n v="521627.21"/>
    <x v="593"/>
    <x v="1"/>
  </r>
  <r>
    <n v="1"/>
    <x v="0"/>
    <x v="0"/>
    <n v="2"/>
    <n v="1"/>
    <x v="1"/>
    <n v="686.60000000022603"/>
    <x v="1"/>
    <n v="41551.999999967396"/>
    <n v="2000"/>
    <n v="200"/>
    <x v="0"/>
    <n v="543947.21"/>
    <x v="594"/>
    <x v="0"/>
  </r>
  <r>
    <n v="2"/>
    <x v="0"/>
    <x v="0"/>
    <n v="2"/>
    <n v="2"/>
    <x v="1"/>
    <n v="595.39999999991301"/>
    <x v="1"/>
    <n v="274612.00000004697"/>
    <n v="2000"/>
    <n v="200"/>
    <x v="0"/>
    <n v="546187.21"/>
    <x v="595"/>
    <x v="0"/>
  </r>
  <r>
    <n v="3"/>
    <x v="0"/>
    <x v="0"/>
    <n v="2"/>
    <n v="3"/>
    <x v="1"/>
    <n v="510.39999999993302"/>
    <x v="1"/>
    <n v="107829.999999979"/>
    <n v="2000"/>
    <n v="200"/>
    <x v="0"/>
    <n v="570587.21"/>
    <x v="596"/>
    <x v="0"/>
  </r>
  <r>
    <n v="4"/>
    <x v="0"/>
    <x v="0"/>
    <n v="3"/>
    <n v="1"/>
    <x v="1"/>
    <n v="455.79999999958397"/>
    <x v="1"/>
    <n v="73137.000000031097"/>
    <n v="2000"/>
    <n v="200"/>
    <x v="0"/>
    <n v="546027.61"/>
    <x v="597"/>
    <x v="0"/>
  </r>
  <r>
    <n v="5"/>
    <x v="0"/>
    <x v="0"/>
    <n v="3"/>
    <n v="2"/>
    <x v="1"/>
    <n v="514.60000000034302"/>
    <x v="1"/>
    <n v="86206.000000004206"/>
    <n v="2000"/>
    <n v="200"/>
    <x v="0"/>
    <n v="535307.21"/>
    <x v="598"/>
    <x v="0"/>
  </r>
  <r>
    <n v="6"/>
    <x v="0"/>
    <x v="0"/>
    <n v="3"/>
    <n v="3"/>
    <x v="1"/>
    <n v="535.59999999990305"/>
    <x v="1"/>
    <n v="206090.000000017"/>
    <n v="2000"/>
    <n v="200"/>
    <x v="0"/>
    <n v="540667.21"/>
    <x v="599"/>
    <x v="1"/>
  </r>
  <r>
    <n v="7"/>
    <x v="0"/>
    <x v="1"/>
    <n v="2"/>
    <n v="1"/>
    <x v="1"/>
    <n v="354.799999999855"/>
    <x v="1"/>
    <n v="56281.000000012697"/>
    <n v="2000"/>
    <n v="200"/>
    <x v="0"/>
    <n v="584747.21"/>
    <x v="600"/>
    <x v="0"/>
  </r>
  <r>
    <n v="8"/>
    <x v="0"/>
    <x v="1"/>
    <n v="2"/>
    <n v="2"/>
    <x v="1"/>
    <n v="408.79999999958699"/>
    <x v="1"/>
    <n v="241269.00000004499"/>
    <n v="2000"/>
    <n v="200"/>
    <x v="0"/>
    <n v="571707.61"/>
    <x v="601"/>
    <x v="1"/>
  </r>
  <r>
    <n v="9"/>
    <x v="0"/>
    <x v="1"/>
    <n v="2"/>
    <n v="3"/>
    <x v="1"/>
    <n v="315.400000000565"/>
    <x v="1"/>
    <n v="186287.99999998999"/>
    <n v="2000"/>
    <n v="200"/>
    <x v="0"/>
    <n v="606347.21"/>
    <x v="602"/>
    <x v="1"/>
  </r>
  <r>
    <n v="10"/>
    <x v="0"/>
    <x v="1"/>
    <n v="3"/>
    <n v="1"/>
    <x v="1"/>
    <n v="303.20000000010299"/>
    <x v="1"/>
    <n v="234249.999999975"/>
    <n v="2000"/>
    <n v="200"/>
    <x v="0"/>
    <n v="588827.61"/>
    <x v="603"/>
    <x v="1"/>
  </r>
  <r>
    <n v="11"/>
    <x v="0"/>
    <x v="1"/>
    <n v="3"/>
    <n v="2"/>
    <x v="1"/>
    <n v="291.60000000025798"/>
    <x v="1"/>
    <n v="264225.00000001001"/>
    <n v="2000"/>
    <n v="200"/>
    <x v="0"/>
    <n v="601787.21"/>
    <x v="604"/>
    <x v="1"/>
  </r>
  <r>
    <n v="12"/>
    <x v="0"/>
    <x v="1"/>
    <n v="3"/>
    <n v="3"/>
    <x v="1"/>
    <n v="339.79999999971301"/>
    <x v="1"/>
    <n v="238984.00000001601"/>
    <n v="2000"/>
    <n v="200"/>
    <x v="0"/>
    <n v="616027.61"/>
    <x v="605"/>
    <x v="1"/>
  </r>
  <r>
    <n v="13"/>
    <x v="0"/>
    <x v="1"/>
    <n v="2"/>
    <n v="1"/>
    <x v="1"/>
    <n v="225.19999999985899"/>
    <x v="1"/>
    <n v="107898.00000003399"/>
    <n v="2000"/>
    <n v="200"/>
    <x v="0"/>
    <n v="535387.61"/>
    <x v="606"/>
    <x v="0"/>
  </r>
  <r>
    <n v="14"/>
    <x v="0"/>
    <x v="1"/>
    <n v="2"/>
    <n v="2"/>
    <x v="1"/>
    <n v="285.80000000033601"/>
    <x v="1"/>
    <n v="234233.999999958"/>
    <n v="2000"/>
    <n v="200"/>
    <x v="0"/>
    <n v="575228.41"/>
    <x v="607"/>
    <x v="1"/>
  </r>
  <r>
    <n v="15"/>
    <x v="0"/>
    <x v="1"/>
    <n v="2"/>
    <n v="3"/>
    <x v="1"/>
    <n v="273.80000000007999"/>
    <x v="1"/>
    <n v="299454.00000002602"/>
    <n v="2000"/>
    <n v="200"/>
    <x v="0"/>
    <n v="603067.21"/>
    <x v="608"/>
    <x v="1"/>
  </r>
  <r>
    <n v="16"/>
    <x v="0"/>
    <x v="1"/>
    <n v="3"/>
    <n v="1"/>
    <x v="1"/>
    <n v="261.80000000017901"/>
    <x v="1"/>
    <n v="168532.00000002701"/>
    <n v="2000"/>
    <n v="200"/>
    <x v="0"/>
    <n v="550827.21"/>
    <x v="609"/>
    <x v="1"/>
  </r>
  <r>
    <n v="17"/>
    <x v="0"/>
    <x v="1"/>
    <n v="3"/>
    <n v="2"/>
    <x v="1"/>
    <n v="255.000000001004"/>
    <x v="1"/>
    <n v="125322.00000004"/>
    <n v="2000"/>
    <n v="200"/>
    <x v="0"/>
    <n v="550027.21"/>
    <x v="610"/>
    <x v="0"/>
  </r>
  <r>
    <n v="18"/>
    <x v="0"/>
    <x v="1"/>
    <n v="3"/>
    <n v="3"/>
    <x v="1"/>
    <n v="307.79999999950297"/>
    <x v="1"/>
    <n v="445655.99999998498"/>
    <n v="2000"/>
    <n v="200"/>
    <x v="0"/>
    <n v="550586.41"/>
    <x v="611"/>
    <x v="1"/>
  </r>
  <r>
    <n v="19"/>
    <x v="0"/>
    <x v="2"/>
    <n v="2"/>
    <n v="1"/>
    <x v="1"/>
    <n v="241.399999999459"/>
    <x v="1"/>
    <n v="86420.000000032407"/>
    <n v="2000"/>
    <n v="200"/>
    <x v="0"/>
    <n v="585547.21"/>
    <x v="612"/>
    <x v="0"/>
  </r>
  <r>
    <n v="20"/>
    <x v="0"/>
    <x v="2"/>
    <n v="2"/>
    <n v="2"/>
    <x v="1"/>
    <n v="301.59999999952402"/>
    <x v="1"/>
    <n v="298383.99999999901"/>
    <n v="2000"/>
    <n v="200"/>
    <x v="0"/>
    <n v="574507.61"/>
    <x v="613"/>
    <x v="1"/>
  </r>
  <r>
    <n v="21"/>
    <x v="0"/>
    <x v="2"/>
    <n v="2"/>
    <n v="3"/>
    <x v="1"/>
    <n v="295.000000000201"/>
    <x v="1"/>
    <n v="248884.99999997299"/>
    <n v="2000"/>
    <n v="200"/>
    <x v="0"/>
    <n v="547066.41"/>
    <x v="614"/>
    <x v="1"/>
  </r>
  <r>
    <n v="22"/>
    <x v="0"/>
    <x v="2"/>
    <n v="3"/>
    <n v="1"/>
    <x v="1"/>
    <n v="284.20000000011203"/>
    <x v="1"/>
    <n v="193147.00000001001"/>
    <n v="2000"/>
    <n v="200"/>
    <x v="0"/>
    <n v="610507.61"/>
    <x v="615"/>
    <x v="1"/>
  </r>
  <r>
    <n v="23"/>
    <x v="0"/>
    <x v="2"/>
    <n v="3"/>
    <n v="2"/>
    <x v="1"/>
    <n v="292.800000000426"/>
    <x v="1"/>
    <n v="373690.000000011"/>
    <n v="2000"/>
    <n v="200"/>
    <x v="0"/>
    <n v="551226.81000000006"/>
    <x v="616"/>
    <x v="1"/>
  </r>
  <r>
    <n v="24"/>
    <x v="0"/>
    <x v="2"/>
    <n v="3"/>
    <n v="3"/>
    <x v="1"/>
    <n v="352.60000000043601"/>
    <x v="1"/>
    <n v="513671.00000004499"/>
    <n v="2000"/>
    <n v="200"/>
    <x v="0"/>
    <n v="589787.21"/>
    <x v="617"/>
    <x v="1"/>
  </r>
  <r>
    <n v="25"/>
    <x v="0"/>
    <x v="3"/>
    <n v="3"/>
    <n v="1"/>
    <x v="1"/>
    <n v="315.00000000015399"/>
    <x v="1"/>
    <n v="392347.00000002899"/>
    <n v="2000"/>
    <n v="200"/>
    <x v="0"/>
    <n v="603787.61"/>
    <x v="618"/>
    <x v="1"/>
  </r>
  <r>
    <n v="26"/>
    <x v="0"/>
    <x v="3"/>
    <n v="3"/>
    <n v="2"/>
    <x v="1"/>
    <n v="324.400000000224"/>
    <x v="1"/>
    <n v="725330.999999983"/>
    <n v="2000"/>
    <n v="200"/>
    <x v="0"/>
    <n v="548827.61"/>
    <x v="619"/>
    <x v="1"/>
  </r>
  <r>
    <n v="27"/>
    <x v="0"/>
    <x v="3"/>
    <n v="3"/>
    <n v="3"/>
    <x v="1"/>
    <n v="408.40000000024202"/>
    <x v="1"/>
    <n v="531781.00000002398"/>
    <n v="2000"/>
    <n v="200"/>
    <x v="0"/>
    <n v="550426.81000000006"/>
    <x v="620"/>
    <x v="1"/>
  </r>
  <r>
    <n v="1"/>
    <x v="0"/>
    <x v="0"/>
    <n v="2"/>
    <n v="1"/>
    <x v="1"/>
    <n v="686.60000000022603"/>
    <x v="1"/>
    <n v="41551.999999967396"/>
    <n v="2000"/>
    <n v="300"/>
    <x v="0"/>
    <n v="743947.21"/>
    <x v="621"/>
    <x v="0"/>
  </r>
  <r>
    <n v="2"/>
    <x v="0"/>
    <x v="0"/>
    <n v="2"/>
    <n v="2"/>
    <x v="1"/>
    <n v="595.39999999991301"/>
    <x v="1"/>
    <n v="274612.00000004697"/>
    <n v="2000"/>
    <n v="300"/>
    <x v="0"/>
    <n v="746187.21"/>
    <x v="622"/>
    <x v="0"/>
  </r>
  <r>
    <n v="3"/>
    <x v="0"/>
    <x v="0"/>
    <n v="2"/>
    <n v="3"/>
    <x v="1"/>
    <n v="510.39999999993302"/>
    <x v="1"/>
    <n v="107829.999999979"/>
    <n v="2000"/>
    <n v="300"/>
    <x v="0"/>
    <n v="770587.21"/>
    <x v="623"/>
    <x v="0"/>
  </r>
  <r>
    <n v="4"/>
    <x v="0"/>
    <x v="0"/>
    <n v="3"/>
    <n v="1"/>
    <x v="1"/>
    <n v="455.79999999958397"/>
    <x v="1"/>
    <n v="73137.000000031097"/>
    <n v="2000"/>
    <n v="300"/>
    <x v="0"/>
    <n v="746027.61"/>
    <x v="624"/>
    <x v="1"/>
  </r>
  <r>
    <n v="5"/>
    <x v="0"/>
    <x v="0"/>
    <n v="3"/>
    <n v="2"/>
    <x v="1"/>
    <n v="514.60000000034302"/>
    <x v="1"/>
    <n v="86206.000000004206"/>
    <n v="2000"/>
    <n v="300"/>
    <x v="0"/>
    <n v="735307.21"/>
    <x v="625"/>
    <x v="0"/>
  </r>
  <r>
    <n v="6"/>
    <x v="0"/>
    <x v="0"/>
    <n v="3"/>
    <n v="3"/>
    <x v="1"/>
    <n v="535.59999999990305"/>
    <x v="1"/>
    <n v="206090.000000017"/>
    <n v="2000"/>
    <n v="300"/>
    <x v="0"/>
    <n v="740667.21"/>
    <x v="626"/>
    <x v="1"/>
  </r>
  <r>
    <n v="7"/>
    <x v="0"/>
    <x v="1"/>
    <n v="2"/>
    <n v="1"/>
    <x v="1"/>
    <n v="354.799999999855"/>
    <x v="1"/>
    <n v="56281.000000012697"/>
    <n v="2000"/>
    <n v="300"/>
    <x v="0"/>
    <n v="784747.21"/>
    <x v="627"/>
    <x v="0"/>
  </r>
  <r>
    <n v="8"/>
    <x v="0"/>
    <x v="1"/>
    <n v="2"/>
    <n v="2"/>
    <x v="1"/>
    <n v="408.79999999958699"/>
    <x v="1"/>
    <n v="241269.00000004499"/>
    <n v="2000"/>
    <n v="300"/>
    <x v="0"/>
    <n v="771707.61"/>
    <x v="628"/>
    <x v="1"/>
  </r>
  <r>
    <n v="9"/>
    <x v="0"/>
    <x v="1"/>
    <n v="2"/>
    <n v="3"/>
    <x v="1"/>
    <n v="315.400000000565"/>
    <x v="1"/>
    <n v="186287.99999998999"/>
    <n v="2000"/>
    <n v="300"/>
    <x v="0"/>
    <n v="806347.21"/>
    <x v="629"/>
    <x v="1"/>
  </r>
  <r>
    <n v="10"/>
    <x v="0"/>
    <x v="1"/>
    <n v="3"/>
    <n v="1"/>
    <x v="1"/>
    <n v="303.20000000010299"/>
    <x v="1"/>
    <n v="234249.999999975"/>
    <n v="2000"/>
    <n v="300"/>
    <x v="0"/>
    <n v="788827.61"/>
    <x v="630"/>
    <x v="1"/>
  </r>
  <r>
    <n v="11"/>
    <x v="0"/>
    <x v="1"/>
    <n v="3"/>
    <n v="2"/>
    <x v="1"/>
    <n v="291.60000000025798"/>
    <x v="1"/>
    <n v="264225.00000001001"/>
    <n v="2000"/>
    <n v="300"/>
    <x v="0"/>
    <n v="801787.21"/>
    <x v="631"/>
    <x v="1"/>
  </r>
  <r>
    <n v="12"/>
    <x v="0"/>
    <x v="1"/>
    <n v="3"/>
    <n v="3"/>
    <x v="1"/>
    <n v="339.79999999971301"/>
    <x v="1"/>
    <n v="238984.00000001601"/>
    <n v="2000"/>
    <n v="300"/>
    <x v="0"/>
    <n v="816027.61"/>
    <x v="632"/>
    <x v="1"/>
  </r>
  <r>
    <n v="13"/>
    <x v="0"/>
    <x v="1"/>
    <n v="2"/>
    <n v="1"/>
    <x v="1"/>
    <n v="225.19999999985899"/>
    <x v="1"/>
    <n v="107898.00000003399"/>
    <n v="2000"/>
    <n v="300"/>
    <x v="0"/>
    <n v="735387.61"/>
    <x v="633"/>
    <x v="0"/>
  </r>
  <r>
    <n v="14"/>
    <x v="0"/>
    <x v="1"/>
    <n v="2"/>
    <n v="2"/>
    <x v="1"/>
    <n v="285.80000000033601"/>
    <x v="1"/>
    <n v="234233.999999958"/>
    <n v="2000"/>
    <n v="300"/>
    <x v="0"/>
    <n v="775228.41"/>
    <x v="634"/>
    <x v="1"/>
  </r>
  <r>
    <n v="15"/>
    <x v="0"/>
    <x v="1"/>
    <n v="2"/>
    <n v="3"/>
    <x v="1"/>
    <n v="273.80000000007999"/>
    <x v="1"/>
    <n v="299454.00000002602"/>
    <n v="2000"/>
    <n v="300"/>
    <x v="0"/>
    <n v="803067.21"/>
    <x v="635"/>
    <x v="1"/>
  </r>
  <r>
    <n v="16"/>
    <x v="0"/>
    <x v="1"/>
    <n v="3"/>
    <n v="1"/>
    <x v="1"/>
    <n v="261.80000000017901"/>
    <x v="1"/>
    <n v="168532.00000002701"/>
    <n v="2000"/>
    <n v="300"/>
    <x v="0"/>
    <n v="750827.21"/>
    <x v="636"/>
    <x v="1"/>
  </r>
  <r>
    <n v="17"/>
    <x v="0"/>
    <x v="1"/>
    <n v="3"/>
    <n v="2"/>
    <x v="1"/>
    <n v="255.000000001004"/>
    <x v="1"/>
    <n v="125322.00000004"/>
    <n v="2000"/>
    <n v="300"/>
    <x v="0"/>
    <n v="750027.21"/>
    <x v="637"/>
    <x v="1"/>
  </r>
  <r>
    <n v="18"/>
    <x v="0"/>
    <x v="1"/>
    <n v="3"/>
    <n v="3"/>
    <x v="1"/>
    <n v="307.79999999950297"/>
    <x v="1"/>
    <n v="445655.99999998498"/>
    <n v="2000"/>
    <n v="300"/>
    <x v="0"/>
    <n v="750586.41"/>
    <x v="638"/>
    <x v="1"/>
  </r>
  <r>
    <n v="19"/>
    <x v="0"/>
    <x v="2"/>
    <n v="2"/>
    <n v="1"/>
    <x v="1"/>
    <n v="241.399999999459"/>
    <x v="1"/>
    <n v="86420.000000032407"/>
    <n v="2000"/>
    <n v="300"/>
    <x v="0"/>
    <n v="785547.21"/>
    <x v="639"/>
    <x v="0"/>
  </r>
  <r>
    <n v="20"/>
    <x v="0"/>
    <x v="2"/>
    <n v="2"/>
    <n v="2"/>
    <x v="1"/>
    <n v="301.59999999952402"/>
    <x v="1"/>
    <n v="298383.99999999901"/>
    <n v="2000"/>
    <n v="300"/>
    <x v="0"/>
    <n v="774507.61"/>
    <x v="640"/>
    <x v="1"/>
  </r>
  <r>
    <n v="21"/>
    <x v="0"/>
    <x v="2"/>
    <n v="2"/>
    <n v="3"/>
    <x v="1"/>
    <n v="295.000000000201"/>
    <x v="1"/>
    <n v="248884.99999997299"/>
    <n v="2000"/>
    <n v="300"/>
    <x v="0"/>
    <n v="747066.41"/>
    <x v="641"/>
    <x v="1"/>
  </r>
  <r>
    <n v="22"/>
    <x v="0"/>
    <x v="2"/>
    <n v="3"/>
    <n v="1"/>
    <x v="1"/>
    <n v="284.20000000011203"/>
    <x v="1"/>
    <n v="193147.00000001001"/>
    <n v="2000"/>
    <n v="300"/>
    <x v="0"/>
    <n v="810507.61"/>
    <x v="642"/>
    <x v="1"/>
  </r>
  <r>
    <n v="23"/>
    <x v="0"/>
    <x v="2"/>
    <n v="3"/>
    <n v="2"/>
    <x v="1"/>
    <n v="292.800000000426"/>
    <x v="1"/>
    <n v="373690.000000011"/>
    <n v="2000"/>
    <n v="300"/>
    <x v="0"/>
    <n v="751226.81"/>
    <x v="643"/>
    <x v="1"/>
  </r>
  <r>
    <n v="24"/>
    <x v="0"/>
    <x v="2"/>
    <n v="3"/>
    <n v="3"/>
    <x v="1"/>
    <n v="352.60000000043601"/>
    <x v="1"/>
    <n v="513671.00000004499"/>
    <n v="2000"/>
    <n v="300"/>
    <x v="0"/>
    <n v="789787.21"/>
    <x v="644"/>
    <x v="1"/>
  </r>
  <r>
    <n v="25"/>
    <x v="0"/>
    <x v="3"/>
    <n v="3"/>
    <n v="1"/>
    <x v="1"/>
    <n v="315.00000000015399"/>
    <x v="1"/>
    <n v="392347.00000002899"/>
    <n v="2000"/>
    <n v="300"/>
    <x v="0"/>
    <n v="803787.61"/>
    <x v="645"/>
    <x v="1"/>
  </r>
  <r>
    <n v="26"/>
    <x v="0"/>
    <x v="3"/>
    <n v="3"/>
    <n v="2"/>
    <x v="1"/>
    <n v="324.400000000224"/>
    <x v="1"/>
    <n v="725330.999999983"/>
    <n v="2000"/>
    <n v="300"/>
    <x v="0"/>
    <n v="748827.61"/>
    <x v="646"/>
    <x v="1"/>
  </r>
  <r>
    <n v="27"/>
    <x v="0"/>
    <x v="3"/>
    <n v="3"/>
    <n v="3"/>
    <x v="1"/>
    <n v="408.40000000024202"/>
    <x v="1"/>
    <n v="531781.00000002398"/>
    <n v="2000"/>
    <n v="300"/>
    <x v="0"/>
    <n v="750426.81"/>
    <x v="647"/>
    <x v="1"/>
  </r>
  <r>
    <n v="1"/>
    <x v="0"/>
    <x v="0"/>
    <n v="2"/>
    <n v="1"/>
    <x v="1"/>
    <n v="686.60000000022603"/>
    <x v="1"/>
    <n v="41551.999999967396"/>
    <n v="1000"/>
    <n v="700"/>
    <x v="0"/>
    <n v="781587.21"/>
    <x v="648"/>
    <x v="0"/>
  </r>
  <r>
    <n v="2"/>
    <x v="0"/>
    <x v="0"/>
    <n v="2"/>
    <n v="2"/>
    <x v="1"/>
    <n v="595.39999999991301"/>
    <x v="1"/>
    <n v="274612.00000004697"/>
    <n v="1000"/>
    <n v="700"/>
    <x v="0"/>
    <n v="782707.21"/>
    <x v="649"/>
    <x v="0"/>
  </r>
  <r>
    <n v="3"/>
    <x v="0"/>
    <x v="0"/>
    <n v="2"/>
    <n v="3"/>
    <x v="1"/>
    <n v="510.39999999993302"/>
    <x v="1"/>
    <n v="107829.999999979"/>
    <n v="1000"/>
    <n v="700"/>
    <x v="0"/>
    <n v="794907.21"/>
    <x v="650"/>
    <x v="0"/>
  </r>
  <r>
    <n v="4"/>
    <x v="0"/>
    <x v="0"/>
    <n v="3"/>
    <n v="1"/>
    <x v="1"/>
    <n v="455.79999999958397"/>
    <x v="1"/>
    <n v="73137.000000031097"/>
    <n v="1000"/>
    <n v="700"/>
    <x v="0"/>
    <n v="782627.61"/>
    <x v="651"/>
    <x v="0"/>
  </r>
  <r>
    <n v="5"/>
    <x v="0"/>
    <x v="0"/>
    <n v="3"/>
    <n v="2"/>
    <x v="1"/>
    <n v="514.60000000034302"/>
    <x v="1"/>
    <n v="86206.000000004206"/>
    <n v="1000"/>
    <n v="700"/>
    <x v="0"/>
    <n v="777267.21"/>
    <x v="652"/>
    <x v="1"/>
  </r>
  <r>
    <n v="6"/>
    <x v="0"/>
    <x v="0"/>
    <n v="3"/>
    <n v="3"/>
    <x v="1"/>
    <n v="535.59999999990305"/>
    <x v="1"/>
    <n v="206090.000000017"/>
    <n v="1000"/>
    <n v="700"/>
    <x v="0"/>
    <n v="779947.21"/>
    <x v="653"/>
    <x v="1"/>
  </r>
  <r>
    <n v="7"/>
    <x v="0"/>
    <x v="1"/>
    <n v="2"/>
    <n v="1"/>
    <x v="1"/>
    <n v="354.799999999855"/>
    <x v="1"/>
    <n v="56281.000000012697"/>
    <n v="1000"/>
    <n v="700"/>
    <x v="0"/>
    <n v="801987.21"/>
    <x v="654"/>
    <x v="0"/>
  </r>
  <r>
    <n v="8"/>
    <x v="0"/>
    <x v="1"/>
    <n v="2"/>
    <n v="2"/>
    <x v="1"/>
    <n v="408.79999999958699"/>
    <x v="1"/>
    <n v="241269.00000004499"/>
    <n v="1000"/>
    <n v="700"/>
    <x v="0"/>
    <n v="795467.61"/>
    <x v="655"/>
    <x v="1"/>
  </r>
  <r>
    <n v="9"/>
    <x v="0"/>
    <x v="1"/>
    <n v="2"/>
    <n v="3"/>
    <x v="1"/>
    <n v="315.400000000565"/>
    <x v="1"/>
    <n v="186287.99999998999"/>
    <n v="1000"/>
    <n v="700"/>
    <x v="0"/>
    <n v="812787.21"/>
    <x v="656"/>
    <x v="1"/>
  </r>
  <r>
    <n v="10"/>
    <x v="0"/>
    <x v="1"/>
    <n v="3"/>
    <n v="1"/>
    <x v="1"/>
    <n v="303.20000000010299"/>
    <x v="1"/>
    <n v="234249.999999975"/>
    <n v="1000"/>
    <n v="700"/>
    <x v="0"/>
    <n v="804027.61"/>
    <x v="657"/>
    <x v="1"/>
  </r>
  <r>
    <n v="11"/>
    <x v="0"/>
    <x v="1"/>
    <n v="3"/>
    <n v="2"/>
    <x v="1"/>
    <n v="291.60000000025798"/>
    <x v="1"/>
    <n v="264225.00000001001"/>
    <n v="1000"/>
    <n v="700"/>
    <x v="0"/>
    <n v="810507.21"/>
    <x v="658"/>
    <x v="1"/>
  </r>
  <r>
    <n v="12"/>
    <x v="0"/>
    <x v="1"/>
    <n v="3"/>
    <n v="3"/>
    <x v="1"/>
    <n v="339.79999999971301"/>
    <x v="1"/>
    <n v="238984.00000001601"/>
    <n v="1000"/>
    <n v="700"/>
    <x v="0"/>
    <n v="817627.61"/>
    <x v="659"/>
    <x v="1"/>
  </r>
  <r>
    <n v="13"/>
    <x v="0"/>
    <x v="1"/>
    <n v="2"/>
    <n v="1"/>
    <x v="1"/>
    <n v="225.19999999985899"/>
    <x v="1"/>
    <n v="107898.00000003399"/>
    <n v="1000"/>
    <n v="700"/>
    <x v="0"/>
    <n v="777307.61"/>
    <x v="660"/>
    <x v="0"/>
  </r>
  <r>
    <n v="14"/>
    <x v="0"/>
    <x v="1"/>
    <n v="2"/>
    <n v="2"/>
    <x v="1"/>
    <n v="285.80000000033601"/>
    <x v="1"/>
    <n v="234233.999999958"/>
    <n v="1000"/>
    <n v="700"/>
    <x v="0"/>
    <n v="797228.41"/>
    <x v="661"/>
    <x v="1"/>
  </r>
  <r>
    <n v="15"/>
    <x v="0"/>
    <x v="1"/>
    <n v="2"/>
    <n v="3"/>
    <x v="1"/>
    <n v="273.80000000007999"/>
    <x v="1"/>
    <n v="299454.00000002602"/>
    <n v="1000"/>
    <n v="700"/>
    <x v="0"/>
    <n v="811147.21"/>
    <x v="662"/>
    <x v="1"/>
  </r>
  <r>
    <n v="16"/>
    <x v="0"/>
    <x v="1"/>
    <n v="3"/>
    <n v="1"/>
    <x v="1"/>
    <n v="261.80000000017901"/>
    <x v="1"/>
    <n v="168532.00000002701"/>
    <n v="1000"/>
    <n v="700"/>
    <x v="0"/>
    <n v="785027.21"/>
    <x v="663"/>
    <x v="1"/>
  </r>
  <r>
    <n v="17"/>
    <x v="0"/>
    <x v="1"/>
    <n v="3"/>
    <n v="2"/>
    <x v="1"/>
    <n v="255.000000001004"/>
    <x v="1"/>
    <n v="125322.00000004"/>
    <n v="1000"/>
    <n v="700"/>
    <x v="0"/>
    <n v="784627.21"/>
    <x v="664"/>
    <x v="1"/>
  </r>
  <r>
    <n v="18"/>
    <x v="0"/>
    <x v="1"/>
    <n v="3"/>
    <n v="3"/>
    <x v="1"/>
    <n v="307.79999999950297"/>
    <x v="1"/>
    <n v="445655.99999998498"/>
    <n v="1000"/>
    <n v="700"/>
    <x v="0"/>
    <n v="784906.41"/>
    <x v="665"/>
    <x v="1"/>
  </r>
  <r>
    <n v="19"/>
    <x v="0"/>
    <x v="2"/>
    <n v="2"/>
    <n v="1"/>
    <x v="1"/>
    <n v="241.399999999459"/>
    <x v="1"/>
    <n v="86420.000000032407"/>
    <n v="1000"/>
    <n v="700"/>
    <x v="0"/>
    <n v="802387.21"/>
    <x v="666"/>
    <x v="0"/>
  </r>
  <r>
    <n v="20"/>
    <x v="0"/>
    <x v="2"/>
    <n v="2"/>
    <n v="2"/>
    <x v="1"/>
    <n v="301.59999999952402"/>
    <x v="1"/>
    <n v="298383.99999999901"/>
    <n v="1000"/>
    <n v="700"/>
    <x v="0"/>
    <n v="796867.61"/>
    <x v="667"/>
    <x v="1"/>
  </r>
  <r>
    <n v="21"/>
    <x v="0"/>
    <x v="2"/>
    <n v="2"/>
    <n v="3"/>
    <x v="1"/>
    <n v="295.000000000201"/>
    <x v="1"/>
    <n v="248884.99999997299"/>
    <n v="1000"/>
    <n v="700"/>
    <x v="0"/>
    <n v="783146.41"/>
    <x v="668"/>
    <x v="1"/>
  </r>
  <r>
    <n v="22"/>
    <x v="0"/>
    <x v="2"/>
    <n v="3"/>
    <n v="1"/>
    <x v="1"/>
    <n v="284.20000000011203"/>
    <x v="1"/>
    <n v="193147.00000001001"/>
    <n v="1000"/>
    <n v="700"/>
    <x v="0"/>
    <n v="814867.61"/>
    <x v="669"/>
    <x v="0"/>
  </r>
  <r>
    <n v="23"/>
    <x v="0"/>
    <x v="2"/>
    <n v="3"/>
    <n v="2"/>
    <x v="1"/>
    <n v="292.800000000426"/>
    <x v="1"/>
    <n v="373690.000000011"/>
    <n v="1000"/>
    <n v="700"/>
    <x v="0"/>
    <n v="785226.81"/>
    <x v="670"/>
    <x v="1"/>
  </r>
  <r>
    <n v="24"/>
    <x v="0"/>
    <x v="2"/>
    <n v="3"/>
    <n v="3"/>
    <x v="1"/>
    <n v="352.60000000043601"/>
    <x v="1"/>
    <n v="513671.00000004499"/>
    <n v="1000"/>
    <n v="700"/>
    <x v="0"/>
    <n v="804507.21"/>
    <x v="671"/>
    <x v="1"/>
  </r>
  <r>
    <n v="25"/>
    <x v="0"/>
    <x v="3"/>
    <n v="3"/>
    <n v="1"/>
    <x v="1"/>
    <n v="315.00000000015399"/>
    <x v="1"/>
    <n v="392347.00000002899"/>
    <n v="1000"/>
    <n v="700"/>
    <x v="0"/>
    <n v="811507.61"/>
    <x v="672"/>
    <x v="1"/>
  </r>
  <r>
    <n v="26"/>
    <x v="0"/>
    <x v="3"/>
    <n v="3"/>
    <n v="2"/>
    <x v="1"/>
    <n v="324.400000000224"/>
    <x v="1"/>
    <n v="725330.999999983"/>
    <n v="1000"/>
    <n v="700"/>
    <x v="0"/>
    <n v="784027.61"/>
    <x v="673"/>
    <x v="1"/>
  </r>
  <r>
    <n v="27"/>
    <x v="0"/>
    <x v="3"/>
    <n v="3"/>
    <n v="3"/>
    <x v="1"/>
    <n v="408.40000000024202"/>
    <x v="1"/>
    <n v="531781.00000002398"/>
    <n v="1000"/>
    <n v="700"/>
    <x v="0"/>
    <n v="784826.81"/>
    <x v="674"/>
    <x v="1"/>
  </r>
  <r>
    <n v="1"/>
    <x v="0"/>
    <x v="0"/>
    <n v="2"/>
    <n v="1"/>
    <x v="1"/>
    <n v="0"/>
    <x v="3"/>
    <n v="0"/>
    <n v="0"/>
    <n v="0"/>
    <x v="0"/>
    <n v="0"/>
    <x v="675"/>
    <x v="0"/>
  </r>
  <r>
    <n v="2"/>
    <x v="0"/>
    <x v="0"/>
    <n v="2"/>
    <n v="2"/>
    <x v="1"/>
    <n v="0"/>
    <x v="3"/>
    <n v="0"/>
    <n v="0"/>
    <n v="0"/>
    <x v="0"/>
    <n v="0"/>
    <x v="676"/>
    <x v="0"/>
  </r>
  <r>
    <n v="3"/>
    <x v="0"/>
    <x v="0"/>
    <n v="2"/>
    <n v="3"/>
    <x v="1"/>
    <n v="0"/>
    <x v="3"/>
    <n v="0"/>
    <n v="0"/>
    <n v="0"/>
    <x v="0"/>
    <n v="0"/>
    <x v="677"/>
    <x v="0"/>
  </r>
  <r>
    <n v="4"/>
    <x v="0"/>
    <x v="0"/>
    <n v="3"/>
    <n v="1"/>
    <x v="1"/>
    <n v="0"/>
    <x v="3"/>
    <n v="0"/>
    <n v="0"/>
    <n v="0"/>
    <x v="0"/>
    <n v="0"/>
    <x v="678"/>
    <x v="0"/>
  </r>
  <r>
    <n v="5"/>
    <x v="0"/>
    <x v="0"/>
    <n v="3"/>
    <n v="2"/>
    <x v="1"/>
    <n v="0"/>
    <x v="3"/>
    <n v="0"/>
    <n v="0"/>
    <n v="0"/>
    <x v="0"/>
    <n v="0"/>
    <x v="679"/>
    <x v="0"/>
  </r>
  <r>
    <n v="6"/>
    <x v="0"/>
    <x v="0"/>
    <n v="3"/>
    <n v="3"/>
    <x v="1"/>
    <n v="0"/>
    <x v="3"/>
    <n v="0"/>
    <n v="0"/>
    <n v="0"/>
    <x v="0"/>
    <n v="0"/>
    <x v="680"/>
    <x v="0"/>
  </r>
  <r>
    <n v="7"/>
    <x v="0"/>
    <x v="1"/>
    <n v="2"/>
    <n v="1"/>
    <x v="1"/>
    <n v="0"/>
    <x v="3"/>
    <n v="0"/>
    <n v="0"/>
    <n v="0"/>
    <x v="0"/>
    <n v="0"/>
    <x v="681"/>
    <x v="0"/>
  </r>
  <r>
    <n v="8"/>
    <x v="0"/>
    <x v="1"/>
    <n v="2"/>
    <n v="2"/>
    <x v="1"/>
    <n v="0"/>
    <x v="3"/>
    <n v="0"/>
    <n v="0"/>
    <n v="0"/>
    <x v="0"/>
    <n v="0"/>
    <x v="682"/>
    <x v="0"/>
  </r>
  <r>
    <n v="9"/>
    <x v="0"/>
    <x v="1"/>
    <n v="2"/>
    <n v="3"/>
    <x v="1"/>
    <n v="0"/>
    <x v="3"/>
    <n v="0"/>
    <n v="0"/>
    <n v="0"/>
    <x v="0"/>
    <n v="0"/>
    <x v="683"/>
    <x v="0"/>
  </r>
  <r>
    <n v="10"/>
    <x v="0"/>
    <x v="1"/>
    <n v="3"/>
    <n v="1"/>
    <x v="1"/>
    <n v="0"/>
    <x v="3"/>
    <n v="0"/>
    <n v="0"/>
    <n v="0"/>
    <x v="0"/>
    <n v="0"/>
    <x v="684"/>
    <x v="0"/>
  </r>
  <r>
    <n v="11"/>
    <x v="0"/>
    <x v="1"/>
    <n v="3"/>
    <n v="2"/>
    <x v="1"/>
    <n v="0"/>
    <x v="3"/>
    <n v="0"/>
    <n v="0"/>
    <n v="0"/>
    <x v="0"/>
    <n v="0"/>
    <x v="685"/>
    <x v="0"/>
  </r>
  <r>
    <n v="12"/>
    <x v="0"/>
    <x v="1"/>
    <n v="3"/>
    <n v="3"/>
    <x v="1"/>
    <n v="0"/>
    <x v="3"/>
    <n v="0"/>
    <n v="0"/>
    <n v="0"/>
    <x v="0"/>
    <n v="0"/>
    <x v="686"/>
    <x v="0"/>
  </r>
  <r>
    <n v="13"/>
    <x v="0"/>
    <x v="1"/>
    <n v="2"/>
    <n v="1"/>
    <x v="1"/>
    <n v="0"/>
    <x v="3"/>
    <n v="0"/>
    <n v="0"/>
    <n v="0"/>
    <x v="0"/>
    <n v="0"/>
    <x v="687"/>
    <x v="0"/>
  </r>
  <r>
    <n v="14"/>
    <x v="0"/>
    <x v="1"/>
    <n v="2"/>
    <n v="2"/>
    <x v="1"/>
    <n v="0"/>
    <x v="3"/>
    <n v="0"/>
    <n v="0"/>
    <n v="0"/>
    <x v="0"/>
    <n v="0"/>
    <x v="688"/>
    <x v="0"/>
  </r>
  <r>
    <n v="15"/>
    <x v="0"/>
    <x v="1"/>
    <n v="2"/>
    <n v="3"/>
    <x v="1"/>
    <n v="0"/>
    <x v="3"/>
    <n v="0"/>
    <n v="0"/>
    <n v="0"/>
    <x v="0"/>
    <n v="0"/>
    <x v="689"/>
    <x v="0"/>
  </r>
  <r>
    <n v="16"/>
    <x v="0"/>
    <x v="1"/>
    <n v="3"/>
    <n v="1"/>
    <x v="1"/>
    <n v="0"/>
    <x v="3"/>
    <n v="0"/>
    <n v="0"/>
    <n v="0"/>
    <x v="0"/>
    <n v="0"/>
    <x v="690"/>
    <x v="0"/>
  </r>
  <r>
    <n v="17"/>
    <x v="0"/>
    <x v="1"/>
    <n v="3"/>
    <n v="2"/>
    <x v="1"/>
    <n v="0"/>
    <x v="3"/>
    <n v="0"/>
    <n v="0"/>
    <n v="0"/>
    <x v="0"/>
    <n v="0"/>
    <x v="691"/>
    <x v="0"/>
  </r>
  <r>
    <n v="18"/>
    <x v="0"/>
    <x v="1"/>
    <n v="3"/>
    <n v="3"/>
    <x v="1"/>
    <n v="0"/>
    <x v="3"/>
    <n v="0"/>
    <n v="0"/>
    <n v="0"/>
    <x v="0"/>
    <n v="0"/>
    <x v="692"/>
    <x v="0"/>
  </r>
  <r>
    <n v="19"/>
    <x v="0"/>
    <x v="2"/>
    <n v="2"/>
    <n v="1"/>
    <x v="1"/>
    <n v="0"/>
    <x v="3"/>
    <n v="0"/>
    <n v="0"/>
    <n v="0"/>
    <x v="0"/>
    <n v="0"/>
    <x v="693"/>
    <x v="0"/>
  </r>
  <r>
    <n v="20"/>
    <x v="0"/>
    <x v="2"/>
    <n v="2"/>
    <n v="2"/>
    <x v="1"/>
    <n v="0"/>
    <x v="3"/>
    <n v="0"/>
    <n v="0"/>
    <n v="0"/>
    <x v="0"/>
    <n v="0"/>
    <x v="694"/>
    <x v="0"/>
  </r>
  <r>
    <n v="21"/>
    <x v="0"/>
    <x v="2"/>
    <n v="2"/>
    <n v="3"/>
    <x v="1"/>
    <n v="0"/>
    <x v="3"/>
    <n v="0"/>
    <n v="0"/>
    <n v="0"/>
    <x v="0"/>
    <n v="0"/>
    <x v="695"/>
    <x v="0"/>
  </r>
  <r>
    <n v="22"/>
    <x v="0"/>
    <x v="2"/>
    <n v="3"/>
    <n v="1"/>
    <x v="1"/>
    <n v="0"/>
    <x v="3"/>
    <n v="0"/>
    <n v="0"/>
    <n v="0"/>
    <x v="0"/>
    <n v="0"/>
    <x v="696"/>
    <x v="0"/>
  </r>
  <r>
    <n v="23"/>
    <x v="0"/>
    <x v="2"/>
    <n v="3"/>
    <n v="2"/>
    <x v="1"/>
    <n v="0"/>
    <x v="3"/>
    <n v="0"/>
    <n v="0"/>
    <n v="0"/>
    <x v="0"/>
    <n v="0"/>
    <x v="697"/>
    <x v="0"/>
  </r>
  <r>
    <n v="24"/>
    <x v="0"/>
    <x v="2"/>
    <n v="3"/>
    <n v="3"/>
    <x v="1"/>
    <n v="0"/>
    <x v="3"/>
    <n v="0"/>
    <n v="0"/>
    <n v="0"/>
    <x v="0"/>
    <n v="0"/>
    <x v="698"/>
    <x v="0"/>
  </r>
  <r>
    <n v="25"/>
    <x v="0"/>
    <x v="3"/>
    <n v="3"/>
    <n v="1"/>
    <x v="1"/>
    <n v="0"/>
    <x v="3"/>
    <n v="0"/>
    <n v="0"/>
    <n v="0"/>
    <x v="0"/>
    <n v="0"/>
    <x v="699"/>
    <x v="0"/>
  </r>
  <r>
    <n v="26"/>
    <x v="0"/>
    <x v="3"/>
    <n v="3"/>
    <n v="2"/>
    <x v="1"/>
    <n v="0"/>
    <x v="3"/>
    <n v="0"/>
    <n v="0"/>
    <n v="0"/>
    <x v="0"/>
    <n v="0"/>
    <x v="700"/>
    <x v="0"/>
  </r>
  <r>
    <n v="27"/>
    <x v="0"/>
    <x v="3"/>
    <n v="3"/>
    <n v="3"/>
    <x v="1"/>
    <n v="0"/>
    <x v="3"/>
    <n v="0"/>
    <n v="0"/>
    <n v="0"/>
    <x v="0"/>
    <n v="0"/>
    <x v="694"/>
    <x v="0"/>
  </r>
  <r>
    <n v="1"/>
    <x v="0"/>
    <x v="0"/>
    <n v="2"/>
    <n v="1"/>
    <x v="1"/>
    <n v="686.60000000022603"/>
    <x v="2"/>
    <n v="0"/>
    <n v="0"/>
    <n v="0"/>
    <x v="1"/>
    <n v="111066"/>
    <x v="701"/>
    <x v="0"/>
  </r>
  <r>
    <n v="2"/>
    <x v="0"/>
    <x v="0"/>
    <n v="2"/>
    <n v="2"/>
    <x v="1"/>
    <n v="595.39999999991301"/>
    <x v="2"/>
    <n v="0"/>
    <n v="0"/>
    <n v="0"/>
    <x v="1"/>
    <n v="100029"/>
    <x v="702"/>
    <x v="0"/>
  </r>
  <r>
    <n v="3"/>
    <x v="0"/>
    <x v="0"/>
    <n v="2"/>
    <n v="3"/>
    <x v="1"/>
    <n v="510.39999999993302"/>
    <x v="2"/>
    <n v="0"/>
    <n v="0"/>
    <n v="0"/>
    <x v="1"/>
    <n v="95749"/>
    <x v="703"/>
    <x v="0"/>
  </r>
  <r>
    <n v="4"/>
    <x v="0"/>
    <x v="0"/>
    <n v="3"/>
    <n v="1"/>
    <x v="1"/>
    <n v="455.79999999958397"/>
    <x v="2"/>
    <n v="0"/>
    <n v="0"/>
    <n v="0"/>
    <x v="1"/>
    <n v="113388"/>
    <x v="704"/>
    <x v="0"/>
  </r>
  <r>
    <n v="5"/>
    <x v="0"/>
    <x v="0"/>
    <n v="3"/>
    <n v="2"/>
    <x v="1"/>
    <n v="514.60000000034302"/>
    <x v="2"/>
    <n v="0"/>
    <n v="0"/>
    <n v="0"/>
    <x v="1"/>
    <n v="113997"/>
    <x v="705"/>
    <x v="0"/>
  </r>
  <r>
    <n v="6"/>
    <x v="0"/>
    <x v="0"/>
    <n v="3"/>
    <n v="3"/>
    <x v="1"/>
    <n v="535.59999999990305"/>
    <x v="2"/>
    <n v="0"/>
    <n v="0"/>
    <n v="0"/>
    <x v="1"/>
    <n v="121741"/>
    <x v="706"/>
    <x v="0"/>
  </r>
  <r>
    <n v="7"/>
    <x v="0"/>
    <x v="1"/>
    <n v="2"/>
    <n v="1"/>
    <x v="1"/>
    <n v="354.799999999855"/>
    <x v="2"/>
    <n v="0"/>
    <n v="0"/>
    <n v="0"/>
    <x v="1"/>
    <n v="93237"/>
    <x v="707"/>
    <x v="0"/>
  </r>
  <r>
    <n v="8"/>
    <x v="0"/>
    <x v="1"/>
    <n v="2"/>
    <n v="2"/>
    <x v="1"/>
    <n v="408.79999999958699"/>
    <x v="2"/>
    <n v="0"/>
    <n v="0"/>
    <n v="0"/>
    <x v="1"/>
    <n v="120484"/>
    <x v="708"/>
    <x v="0"/>
  </r>
  <r>
    <n v="9"/>
    <x v="0"/>
    <x v="1"/>
    <n v="2"/>
    <n v="3"/>
    <x v="1"/>
    <n v="315.400000000565"/>
    <x v="2"/>
    <n v="0"/>
    <n v="0"/>
    <n v="0"/>
    <x v="1"/>
    <n v="104530"/>
    <x v="709"/>
    <x v="0"/>
  </r>
  <r>
    <n v="10"/>
    <x v="0"/>
    <x v="1"/>
    <n v="3"/>
    <n v="1"/>
    <x v="1"/>
    <n v="303.20000000010299"/>
    <x v="2"/>
    <n v="0"/>
    <n v="0"/>
    <n v="0"/>
    <x v="1"/>
    <n v="98503"/>
    <x v="710"/>
    <x v="0"/>
  </r>
  <r>
    <n v="11"/>
    <x v="0"/>
    <x v="1"/>
    <n v="3"/>
    <n v="2"/>
    <x v="1"/>
    <n v="291.60000000025798"/>
    <x v="2"/>
    <n v="0"/>
    <n v="0"/>
    <n v="0"/>
    <x v="1"/>
    <n v="104533"/>
    <x v="64"/>
    <x v="0"/>
  </r>
  <r>
    <n v="12"/>
    <x v="0"/>
    <x v="1"/>
    <n v="3"/>
    <n v="3"/>
    <x v="1"/>
    <n v="339.79999999971301"/>
    <x v="2"/>
    <n v="0"/>
    <n v="0"/>
    <n v="0"/>
    <x v="1"/>
    <n v="110892"/>
    <x v="711"/>
    <x v="0"/>
  </r>
  <r>
    <n v="13"/>
    <x v="0"/>
    <x v="1"/>
    <n v="2"/>
    <n v="1"/>
    <x v="1"/>
    <n v="225.19999999985899"/>
    <x v="2"/>
    <n v="0"/>
    <n v="0"/>
    <n v="0"/>
    <x v="1"/>
    <n v="115037"/>
    <x v="712"/>
    <x v="0"/>
  </r>
  <r>
    <n v="14"/>
    <x v="0"/>
    <x v="1"/>
    <n v="2"/>
    <n v="2"/>
    <x v="1"/>
    <n v="285.80000000033601"/>
    <x v="2"/>
    <n v="0"/>
    <n v="0"/>
    <n v="0"/>
    <x v="1"/>
    <n v="147394"/>
    <x v="713"/>
    <x v="0"/>
  </r>
  <r>
    <n v="15"/>
    <x v="0"/>
    <x v="1"/>
    <n v="2"/>
    <n v="3"/>
    <x v="1"/>
    <n v="273.80000000007999"/>
    <x v="2"/>
    <n v="0"/>
    <n v="0"/>
    <n v="0"/>
    <x v="1"/>
    <n v="128142"/>
    <x v="714"/>
    <x v="0"/>
  </r>
  <r>
    <n v="16"/>
    <x v="0"/>
    <x v="1"/>
    <n v="3"/>
    <n v="1"/>
    <x v="1"/>
    <n v="261.80000000017901"/>
    <x v="2"/>
    <n v="0"/>
    <n v="0"/>
    <n v="0"/>
    <x v="1"/>
    <n v="99178"/>
    <x v="715"/>
    <x v="0"/>
  </r>
  <r>
    <n v="17"/>
    <x v="0"/>
    <x v="1"/>
    <n v="3"/>
    <n v="2"/>
    <x v="1"/>
    <n v="255.000000001004"/>
    <x v="2"/>
    <n v="0"/>
    <n v="0"/>
    <n v="0"/>
    <x v="1"/>
    <n v="102461"/>
    <x v="716"/>
    <x v="0"/>
  </r>
  <r>
    <n v="18"/>
    <x v="0"/>
    <x v="1"/>
    <n v="3"/>
    <n v="3"/>
    <x v="1"/>
    <n v="307.79999999950297"/>
    <x v="2"/>
    <n v="0"/>
    <n v="0"/>
    <n v="0"/>
    <x v="1"/>
    <n v="110735"/>
    <x v="717"/>
    <x v="0"/>
  </r>
  <r>
    <n v="19"/>
    <x v="0"/>
    <x v="2"/>
    <n v="2"/>
    <n v="1"/>
    <x v="1"/>
    <n v="241.399999999459"/>
    <x v="2"/>
    <n v="0"/>
    <n v="0"/>
    <n v="0"/>
    <x v="1"/>
    <n v="18997"/>
    <x v="718"/>
    <x v="0"/>
  </r>
  <r>
    <n v="20"/>
    <x v="0"/>
    <x v="2"/>
    <n v="2"/>
    <n v="2"/>
    <x v="1"/>
    <n v="301.59999999952402"/>
    <x v="2"/>
    <n v="0"/>
    <n v="0"/>
    <n v="0"/>
    <x v="1"/>
    <n v="108706"/>
    <x v="719"/>
    <x v="0"/>
  </r>
  <r>
    <n v="21"/>
    <x v="0"/>
    <x v="2"/>
    <n v="2"/>
    <n v="3"/>
    <x v="1"/>
    <n v="295.000000000201"/>
    <x v="2"/>
    <n v="0"/>
    <n v="0"/>
    <n v="0"/>
    <x v="1"/>
    <n v="106027"/>
    <x v="720"/>
    <x v="0"/>
  </r>
  <r>
    <n v="22"/>
    <x v="0"/>
    <x v="2"/>
    <n v="3"/>
    <n v="1"/>
    <x v="1"/>
    <n v="284.20000000011203"/>
    <x v="2"/>
    <n v="0"/>
    <n v="0"/>
    <n v="0"/>
    <x v="1"/>
    <n v="151213"/>
    <x v="721"/>
    <x v="0"/>
  </r>
  <r>
    <n v="23"/>
    <x v="0"/>
    <x v="2"/>
    <n v="3"/>
    <n v="2"/>
    <x v="1"/>
    <n v="292.800000000426"/>
    <x v="2"/>
    <n v="0"/>
    <n v="0"/>
    <n v="0"/>
    <x v="1"/>
    <n v="132251"/>
    <x v="722"/>
    <x v="0"/>
  </r>
  <r>
    <n v="24"/>
    <x v="0"/>
    <x v="2"/>
    <n v="3"/>
    <n v="3"/>
    <x v="1"/>
    <n v="352.60000000043601"/>
    <x v="2"/>
    <n v="0"/>
    <n v="0"/>
    <n v="0"/>
    <x v="1"/>
    <n v="138716"/>
    <x v="723"/>
    <x v="0"/>
  </r>
  <r>
    <n v="25"/>
    <x v="0"/>
    <x v="3"/>
    <n v="3"/>
    <n v="1"/>
    <x v="1"/>
    <n v="315.00000000015399"/>
    <x v="2"/>
    <n v="0"/>
    <n v="0"/>
    <n v="0"/>
    <x v="1"/>
    <n v="157918"/>
    <x v="724"/>
    <x v="0"/>
  </r>
  <r>
    <n v="26"/>
    <x v="0"/>
    <x v="3"/>
    <n v="3"/>
    <n v="2"/>
    <x v="1"/>
    <n v="324.400000000224"/>
    <x v="2"/>
    <n v="0"/>
    <n v="0"/>
    <n v="0"/>
    <x v="1"/>
    <n v="112779"/>
    <x v="725"/>
    <x v="0"/>
  </r>
  <r>
    <n v="27"/>
    <x v="0"/>
    <x v="3"/>
    <n v="3"/>
    <n v="3"/>
    <x v="1"/>
    <n v="408.40000000024202"/>
    <x v="2"/>
    <n v="0"/>
    <n v="0"/>
    <n v="0"/>
    <x v="1"/>
    <n v="120767"/>
    <x v="726"/>
    <x v="0"/>
  </r>
  <r>
    <n v="28"/>
    <x v="1"/>
    <x v="1"/>
    <n v="2"/>
    <n v="1"/>
    <x v="0"/>
    <n v="541.19999999961999"/>
    <x v="0"/>
    <n v="37176.000000000502"/>
    <n v="1000"/>
    <n v="20"/>
    <x v="0"/>
    <n v="103386.37"/>
    <x v="727"/>
    <x v="0"/>
  </r>
  <r>
    <n v="29"/>
    <x v="1"/>
    <x v="2"/>
    <n v="2"/>
    <n v="2"/>
    <x v="0"/>
    <n v="547.39999999959798"/>
    <x v="0"/>
    <n v="71896.000000000597"/>
    <n v="1000"/>
    <n v="20"/>
    <x v="0"/>
    <n v="116625.97"/>
    <x v="728"/>
    <x v="0"/>
  </r>
  <r>
    <n v="30"/>
    <x v="1"/>
    <x v="2"/>
    <n v="2"/>
    <n v="3"/>
    <x v="0"/>
    <n v="598.60000000000502"/>
    <x v="0"/>
    <n v="251473"/>
    <n v="1000"/>
    <n v="20"/>
    <x v="0"/>
    <n v="118946.77"/>
    <x v="729"/>
    <x v="1"/>
  </r>
  <r>
    <n v="31"/>
    <x v="1"/>
    <x v="2"/>
    <n v="2"/>
    <n v="1"/>
    <x v="0"/>
    <n v="351.19999999970702"/>
    <x v="0"/>
    <n v="68826.999999999796"/>
    <n v="1000"/>
    <n v="20"/>
    <x v="0"/>
    <n v="95765.97"/>
    <x v="730"/>
    <x v="0"/>
  </r>
  <r>
    <n v="32"/>
    <x v="1"/>
    <x v="2"/>
    <n v="2"/>
    <n v="2"/>
    <x v="0"/>
    <n v="356.00000000002302"/>
    <x v="0"/>
    <n v="64877.000000000102"/>
    <n v="1000"/>
    <n v="20"/>
    <x v="0"/>
    <n v="102706.37"/>
    <x v="731"/>
    <x v="0"/>
  </r>
  <r>
    <n v="33"/>
    <x v="1"/>
    <x v="2"/>
    <n v="2"/>
    <n v="3"/>
    <x v="0"/>
    <n v="485.39999999981399"/>
    <x v="0"/>
    <n v="255639"/>
    <n v="1000"/>
    <n v="20"/>
    <x v="0"/>
    <n v="140865.57"/>
    <x v="732"/>
    <x v="1"/>
  </r>
  <r>
    <n v="34"/>
    <x v="1"/>
    <x v="2"/>
    <n v="2"/>
    <n v="1"/>
    <x v="0"/>
    <n v="307.60000000000798"/>
    <x v="0"/>
    <n v="49771.999999999898"/>
    <n v="1000"/>
    <n v="20"/>
    <x v="0"/>
    <n v="142725.97"/>
    <x v="733"/>
    <x v="0"/>
  </r>
  <r>
    <n v="35"/>
    <x v="1"/>
    <x v="3"/>
    <n v="2"/>
    <n v="1"/>
    <x v="0"/>
    <n v="378.80000000036802"/>
    <x v="0"/>
    <n v="110241"/>
    <n v="1000"/>
    <n v="20"/>
    <x v="0"/>
    <n v="120326.37"/>
    <x v="734"/>
    <x v="0"/>
  </r>
  <r>
    <n v="36"/>
    <x v="1"/>
    <x v="3"/>
    <n v="2"/>
    <n v="2"/>
    <x v="0"/>
    <n v="225.399999999709"/>
    <x v="0"/>
    <n v="111119"/>
    <n v="1000"/>
    <n v="20"/>
    <x v="0"/>
    <n v="120446.37"/>
    <x v="735"/>
    <x v="1"/>
  </r>
  <r>
    <n v="37"/>
    <x v="1"/>
    <x v="3"/>
    <n v="2"/>
    <n v="3"/>
    <x v="0"/>
    <n v="317.40000000049002"/>
    <x v="0"/>
    <n v="450438.99999999901"/>
    <n v="1000"/>
    <n v="20"/>
    <x v="0"/>
    <n v="113346.37"/>
    <x v="736"/>
    <x v="1"/>
  </r>
  <r>
    <n v="38"/>
    <x v="1"/>
    <x v="3"/>
    <n v="2"/>
    <n v="1"/>
    <x v="0"/>
    <n v="206.39999999971801"/>
    <x v="0"/>
    <n v="136472"/>
    <n v="1000"/>
    <n v="20"/>
    <x v="0"/>
    <n v="101905.97"/>
    <x v="737"/>
    <x v="0"/>
  </r>
  <r>
    <n v="39"/>
    <x v="1"/>
    <x v="4"/>
    <n v="2"/>
    <n v="1"/>
    <x v="0"/>
    <n v="257.600000000124"/>
    <x v="0"/>
    <n v="207379"/>
    <n v="1000"/>
    <n v="20"/>
    <x v="0"/>
    <n v="139225.57"/>
    <x v="738"/>
    <x v="0"/>
  </r>
  <r>
    <n v="40"/>
    <x v="1"/>
    <x v="4"/>
    <n v="2"/>
    <n v="2"/>
    <x v="0"/>
    <n v="242.59999999962599"/>
    <x v="0"/>
    <n v="197622"/>
    <n v="1000"/>
    <n v="20"/>
    <x v="0"/>
    <n v="105225.97"/>
    <x v="739"/>
    <x v="0"/>
  </r>
  <r>
    <n v="41"/>
    <x v="1"/>
    <x v="4"/>
    <n v="2"/>
    <n v="3"/>
    <x v="0"/>
    <n v="354.20000000030399"/>
    <x v="0"/>
    <n v="1010568"/>
    <n v="1000"/>
    <n v="20"/>
    <x v="0"/>
    <n v="134226.76999999999"/>
    <x v="740"/>
    <x v="1"/>
  </r>
  <r>
    <n v="42"/>
    <x v="1"/>
    <x v="1"/>
    <n v="2"/>
    <n v="1"/>
    <x v="0"/>
    <n v="129.800000000202"/>
    <x v="0"/>
    <n v="33082.000000000298"/>
    <n v="1000"/>
    <n v="20"/>
    <x v="0"/>
    <n v="112286.77"/>
    <x v="741"/>
    <x v="0"/>
  </r>
  <r>
    <n v="43"/>
    <x v="1"/>
    <x v="2"/>
    <n v="2"/>
    <n v="1"/>
    <x v="0"/>
    <n v="157.00000000009601"/>
    <x v="0"/>
    <n v="50701.000000000102"/>
    <n v="1000"/>
    <n v="20"/>
    <x v="0"/>
    <n v="105386.37"/>
    <x v="742"/>
    <x v="0"/>
  </r>
  <r>
    <n v="44"/>
    <x v="1"/>
    <x v="2"/>
    <n v="2"/>
    <n v="2"/>
    <x v="0"/>
    <n v="156.599999999685"/>
    <x v="0"/>
    <n v="66129.000000000102"/>
    <n v="1000"/>
    <n v="20"/>
    <x v="0"/>
    <n v="106226.37"/>
    <x v="743"/>
    <x v="0"/>
  </r>
  <r>
    <n v="45"/>
    <x v="1"/>
    <x v="2"/>
    <n v="2"/>
    <n v="3"/>
    <x v="0"/>
    <n v="211.00000000018301"/>
    <x v="0"/>
    <n v="256781.99999999901"/>
    <n v="1000"/>
    <n v="20"/>
    <x v="0"/>
    <n v="108225.97"/>
    <x v="744"/>
    <x v="0"/>
  </r>
  <r>
    <n v="46"/>
    <x v="1"/>
    <x v="3"/>
    <n v="2"/>
    <n v="1"/>
    <x v="0"/>
    <n v="189.400000000006"/>
    <x v="0"/>
    <n v="193839"/>
    <n v="1000"/>
    <n v="20"/>
    <x v="0"/>
    <n v="110787.17"/>
    <x v="745"/>
    <x v="0"/>
  </r>
  <r>
    <n v="47"/>
    <x v="1"/>
    <x v="3"/>
    <n v="2"/>
    <n v="2"/>
    <x v="0"/>
    <n v="193.80000000026601"/>
    <x v="0"/>
    <n v="113693.999999999"/>
    <n v="1000"/>
    <n v="20"/>
    <x v="0"/>
    <n v="106366.37"/>
    <x v="746"/>
    <x v="0"/>
  </r>
  <r>
    <n v="48"/>
    <x v="1"/>
    <x v="3"/>
    <n v="2"/>
    <n v="3"/>
    <x v="0"/>
    <n v="249.79999999992199"/>
    <x v="0"/>
    <n v="251965"/>
    <n v="1000"/>
    <n v="20"/>
    <x v="0"/>
    <n v="149327.17000000001"/>
    <x v="747"/>
    <x v="0"/>
  </r>
  <r>
    <n v="49"/>
    <x v="1"/>
    <x v="3"/>
    <n v="2"/>
    <n v="1"/>
    <x v="0"/>
    <n v="183.19999999931699"/>
    <x v="0"/>
    <n v="102215.999999999"/>
    <n v="1000"/>
    <n v="20"/>
    <x v="0"/>
    <n v="120105.97"/>
    <x v="748"/>
    <x v="0"/>
  </r>
  <r>
    <n v="50"/>
    <x v="1"/>
    <x v="3"/>
    <n v="2"/>
    <n v="2"/>
    <x v="0"/>
    <n v="190.800000000024"/>
    <x v="0"/>
    <n v="146021.99999999901"/>
    <n v="1000"/>
    <n v="20"/>
    <x v="0"/>
    <n v="103106.37"/>
    <x v="749"/>
    <x v="0"/>
  </r>
  <r>
    <n v="51"/>
    <x v="1"/>
    <x v="3"/>
    <n v="2"/>
    <n v="3"/>
    <x v="0"/>
    <n v="252.19999999990301"/>
    <x v="0"/>
    <n v="203922"/>
    <n v="1000"/>
    <n v="20"/>
    <x v="0"/>
    <n v="118325.17"/>
    <x v="750"/>
    <x v="1"/>
  </r>
  <r>
    <n v="52"/>
    <x v="1"/>
    <x v="4"/>
    <n v="2"/>
    <n v="1"/>
    <x v="0"/>
    <n v="219.40000000029201"/>
    <x v="0"/>
    <n v="251747"/>
    <n v="1000"/>
    <n v="20"/>
    <x v="0"/>
    <n v="103865.97"/>
    <x v="751"/>
    <x v="0"/>
  </r>
  <r>
    <n v="53"/>
    <x v="1"/>
    <x v="4"/>
    <n v="2"/>
    <n v="2"/>
    <x v="0"/>
    <n v="218.80000000038501"/>
    <x v="0"/>
    <n v="209296.99999999901"/>
    <n v="1000"/>
    <n v="20"/>
    <x v="0"/>
    <n v="121785.97"/>
    <x v="752"/>
    <x v="0"/>
  </r>
  <r>
    <n v="54"/>
    <x v="1"/>
    <x v="4"/>
    <n v="2"/>
    <n v="3"/>
    <x v="0"/>
    <n v="306.40000000019501"/>
    <x v="0"/>
    <n v="515255"/>
    <n v="1000"/>
    <n v="20"/>
    <x v="0"/>
    <n v="125084.77"/>
    <x v="753"/>
    <x v="0"/>
  </r>
  <r>
    <n v="55"/>
    <x v="1"/>
    <x v="2"/>
    <n v="2"/>
    <n v="1"/>
    <x v="0"/>
    <n v="140.60000000064599"/>
    <x v="0"/>
    <n v="51733.999999999702"/>
    <n v="1000"/>
    <n v="20"/>
    <x v="0"/>
    <n v="111666.37"/>
    <x v="754"/>
    <x v="0"/>
  </r>
  <r>
    <n v="56"/>
    <x v="1"/>
    <x v="2"/>
    <n v="2"/>
    <n v="2"/>
    <x v="0"/>
    <n v="137.60000000004899"/>
    <x v="0"/>
    <n v="57291.000000001099"/>
    <n v="1000"/>
    <n v="20"/>
    <x v="0"/>
    <n v="98146.37"/>
    <x v="755"/>
    <x v="0"/>
  </r>
  <r>
    <n v="57"/>
    <x v="1"/>
    <x v="2"/>
    <n v="2"/>
    <n v="3"/>
    <x v="0"/>
    <n v="183.39999999987799"/>
    <x v="0"/>
    <n v="96692.000000000902"/>
    <n v="1000"/>
    <n v="20"/>
    <x v="0"/>
    <n v="143086.37"/>
    <x v="756"/>
    <x v="1"/>
  </r>
  <r>
    <n v="58"/>
    <x v="1"/>
    <x v="3"/>
    <n v="2"/>
    <n v="1"/>
    <x v="0"/>
    <n v="215.599999999228"/>
    <x v="0"/>
    <n v="86040.000000000597"/>
    <n v="1000"/>
    <n v="20"/>
    <x v="0"/>
    <n v="115086.37"/>
    <x v="757"/>
    <x v="0"/>
  </r>
  <r>
    <n v="59"/>
    <x v="1"/>
    <x v="3"/>
    <n v="2"/>
    <n v="2"/>
    <x v="0"/>
    <n v="212.39999999984599"/>
    <x v="0"/>
    <n v="68540.000000000495"/>
    <n v="1000"/>
    <n v="20"/>
    <x v="0"/>
    <n v="95966.37"/>
    <x v="758"/>
    <x v="0"/>
  </r>
  <r>
    <n v="60"/>
    <x v="1"/>
    <x v="3"/>
    <n v="2"/>
    <n v="3"/>
    <x v="0"/>
    <n v="288.40000000016602"/>
    <x v="0"/>
    <n v="278874.99999999901"/>
    <n v="1000"/>
    <n v="20"/>
    <x v="0"/>
    <n v="108087.17"/>
    <x v="759"/>
    <x v="1"/>
  </r>
  <r>
    <n v="61"/>
    <x v="1"/>
    <x v="4"/>
    <n v="2"/>
    <n v="1"/>
    <x v="0"/>
    <n v="230.60000000043601"/>
    <x v="0"/>
    <n v="161028"/>
    <n v="1000"/>
    <n v="20"/>
    <x v="0"/>
    <n v="146825.97"/>
    <x v="760"/>
    <x v="0"/>
  </r>
  <r>
    <n v="62"/>
    <x v="1"/>
    <x v="4"/>
    <n v="2"/>
    <n v="2"/>
    <x v="0"/>
    <n v="233.80000000017299"/>
    <x v="0"/>
    <n v="123650"/>
    <n v="1000"/>
    <n v="20"/>
    <x v="0"/>
    <n v="121326.77"/>
    <x v="761"/>
    <x v="0"/>
  </r>
  <r>
    <n v="63"/>
    <x v="1"/>
    <x v="4"/>
    <n v="2"/>
    <n v="3"/>
    <x v="0"/>
    <n v="359.799999999666"/>
    <x v="0"/>
    <n v="395599.00000000099"/>
    <n v="1000"/>
    <n v="20"/>
    <x v="0"/>
    <n v="116647.17"/>
    <x v="762"/>
    <x v="1"/>
  </r>
  <r>
    <n v="64"/>
    <x v="1"/>
    <x v="5"/>
    <n v="2"/>
    <n v="1"/>
    <x v="0"/>
    <n v="274.00000000028501"/>
    <x v="0"/>
    <n v="279384"/>
    <n v="1000"/>
    <n v="20"/>
    <x v="0"/>
    <n v="106727.17"/>
    <x v="763"/>
    <x v="0"/>
  </r>
  <r>
    <n v="65"/>
    <x v="1"/>
    <x v="5"/>
    <n v="2"/>
    <n v="2"/>
    <x v="0"/>
    <n v="271.20000000024902"/>
    <x v="0"/>
    <n v="345789"/>
    <n v="1000"/>
    <n v="20"/>
    <x v="0"/>
    <n v="123066.77"/>
    <x v="764"/>
    <x v="0"/>
  </r>
  <r>
    <n v="66"/>
    <x v="1"/>
    <x v="5"/>
    <n v="2"/>
    <n v="3"/>
    <x v="0"/>
    <n v="390.99999999976399"/>
    <x v="0"/>
    <n v="1149315"/>
    <n v="1000"/>
    <n v="20"/>
    <x v="0"/>
    <n v="124705.97"/>
    <x v="765"/>
    <x v="1"/>
  </r>
  <r>
    <n v="67"/>
    <x v="1"/>
    <x v="4"/>
    <n v="2"/>
    <n v="1"/>
    <x v="0"/>
    <n v="210.20000000007099"/>
    <x v="0"/>
    <n v="176762"/>
    <n v="1000"/>
    <n v="20"/>
    <x v="0"/>
    <n v="117725.97"/>
    <x v="766"/>
    <x v="0"/>
  </r>
  <r>
    <n v="68"/>
    <x v="1"/>
    <x v="4"/>
    <n v="2"/>
    <n v="2"/>
    <x v="0"/>
    <n v="210.00000000022101"/>
    <x v="0"/>
    <n v="175160"/>
    <n v="1000"/>
    <n v="20"/>
    <x v="0"/>
    <n v="101805.17"/>
    <x v="767"/>
    <x v="0"/>
  </r>
  <r>
    <n v="69"/>
    <x v="1"/>
    <x v="4"/>
    <n v="2"/>
    <n v="3"/>
    <x v="0"/>
    <n v="292.59999999986502"/>
    <x v="0"/>
    <n v="386187"/>
    <n v="1000"/>
    <n v="20"/>
    <x v="0"/>
    <n v="97425.17"/>
    <x v="768"/>
    <x v="0"/>
  </r>
  <r>
    <n v="28"/>
    <x v="1"/>
    <x v="1"/>
    <n v="2"/>
    <n v="1"/>
    <x v="0"/>
    <n v="541.19999999961999"/>
    <x v="0"/>
    <n v="37176.000000000502"/>
    <n v="2000"/>
    <n v="20"/>
    <x v="0"/>
    <n v="190849.17"/>
    <x v="769"/>
    <x v="0"/>
  </r>
  <r>
    <n v="29"/>
    <x v="1"/>
    <x v="2"/>
    <n v="2"/>
    <n v="2"/>
    <x v="0"/>
    <n v="547.39999999959798"/>
    <x v="0"/>
    <n v="71896.000000000597"/>
    <n v="2000"/>
    <n v="20"/>
    <x v="0"/>
    <n v="217327.97"/>
    <x v="770"/>
    <x v="0"/>
  </r>
  <r>
    <n v="30"/>
    <x v="1"/>
    <x v="2"/>
    <n v="2"/>
    <n v="3"/>
    <x v="0"/>
    <n v="598.60000000000502"/>
    <x v="0"/>
    <n v="251473"/>
    <n v="2000"/>
    <n v="20"/>
    <x v="0"/>
    <n v="221969.57"/>
    <x v="771"/>
    <x v="1"/>
  </r>
  <r>
    <n v="31"/>
    <x v="1"/>
    <x v="2"/>
    <n v="2"/>
    <n v="1"/>
    <x v="0"/>
    <n v="351.19999999970702"/>
    <x v="0"/>
    <n v="68826.999999999796"/>
    <n v="2000"/>
    <n v="20"/>
    <x v="0"/>
    <n v="175608.77"/>
    <x v="772"/>
    <x v="0"/>
  </r>
  <r>
    <n v="32"/>
    <x v="1"/>
    <x v="2"/>
    <n v="2"/>
    <n v="2"/>
    <x v="0"/>
    <n v="356.00000000002302"/>
    <x v="0"/>
    <n v="64877.000000000102"/>
    <n v="2000"/>
    <n v="20"/>
    <x v="0"/>
    <n v="189488.77"/>
    <x v="773"/>
    <x v="0"/>
  </r>
  <r>
    <n v="33"/>
    <x v="1"/>
    <x v="2"/>
    <n v="2"/>
    <n v="3"/>
    <x v="0"/>
    <n v="485.39999999981399"/>
    <x v="0"/>
    <n v="255639"/>
    <n v="2000"/>
    <n v="20"/>
    <x v="0"/>
    <n v="265808.37"/>
    <x v="774"/>
    <x v="0"/>
  </r>
  <r>
    <n v="34"/>
    <x v="1"/>
    <x v="2"/>
    <n v="2"/>
    <n v="1"/>
    <x v="0"/>
    <n v="307.60000000000798"/>
    <x v="0"/>
    <n v="49771.999999999898"/>
    <n v="2000"/>
    <n v="20"/>
    <x v="0"/>
    <n v="269528.37"/>
    <x v="775"/>
    <x v="0"/>
  </r>
  <r>
    <n v="35"/>
    <x v="1"/>
    <x v="3"/>
    <n v="2"/>
    <n v="1"/>
    <x v="0"/>
    <n v="378.80000000036802"/>
    <x v="0"/>
    <n v="110241"/>
    <n v="2000"/>
    <n v="20"/>
    <x v="0"/>
    <n v="224728.37"/>
    <x v="776"/>
    <x v="0"/>
  </r>
  <r>
    <n v="36"/>
    <x v="1"/>
    <x v="3"/>
    <n v="2"/>
    <n v="2"/>
    <x v="0"/>
    <n v="225.399999999709"/>
    <x v="0"/>
    <n v="111119"/>
    <n v="2000"/>
    <n v="20"/>
    <x v="0"/>
    <n v="224968.37"/>
    <x v="777"/>
    <x v="0"/>
  </r>
  <r>
    <n v="37"/>
    <x v="1"/>
    <x v="3"/>
    <n v="2"/>
    <n v="3"/>
    <x v="0"/>
    <n v="317.40000000049002"/>
    <x v="0"/>
    <n v="450438.99999999901"/>
    <n v="2000"/>
    <n v="20"/>
    <x v="0"/>
    <n v="210768.77"/>
    <x v="778"/>
    <x v="1"/>
  </r>
  <r>
    <n v="38"/>
    <x v="1"/>
    <x v="3"/>
    <n v="2"/>
    <n v="1"/>
    <x v="0"/>
    <n v="206.39999999971801"/>
    <x v="0"/>
    <n v="136472"/>
    <n v="2000"/>
    <n v="20"/>
    <x v="0"/>
    <n v="187888.37"/>
    <x v="779"/>
    <x v="0"/>
  </r>
  <r>
    <n v="39"/>
    <x v="1"/>
    <x v="4"/>
    <n v="2"/>
    <n v="1"/>
    <x v="0"/>
    <n v="257.600000000124"/>
    <x v="0"/>
    <n v="207379"/>
    <n v="2000"/>
    <n v="20"/>
    <x v="0"/>
    <n v="262528.37"/>
    <x v="780"/>
    <x v="0"/>
  </r>
  <r>
    <n v="40"/>
    <x v="1"/>
    <x v="4"/>
    <n v="2"/>
    <n v="2"/>
    <x v="0"/>
    <n v="242.59999999962599"/>
    <x v="0"/>
    <n v="197622"/>
    <n v="2000"/>
    <n v="20"/>
    <x v="0"/>
    <n v="194529.57"/>
    <x v="781"/>
    <x v="0"/>
  </r>
  <r>
    <n v="41"/>
    <x v="1"/>
    <x v="4"/>
    <n v="2"/>
    <n v="3"/>
    <x v="0"/>
    <n v="354.20000000030399"/>
    <x v="0"/>
    <n v="1010568"/>
    <n v="2000"/>
    <n v="20"/>
    <x v="0"/>
    <n v="252528.77"/>
    <x v="782"/>
    <x v="1"/>
  </r>
  <r>
    <n v="42"/>
    <x v="1"/>
    <x v="1"/>
    <n v="2"/>
    <n v="1"/>
    <x v="0"/>
    <n v="129.800000000202"/>
    <x v="0"/>
    <n v="33082.000000000298"/>
    <n v="2000"/>
    <n v="20"/>
    <x v="0"/>
    <n v="208649.17"/>
    <x v="783"/>
    <x v="0"/>
  </r>
  <r>
    <n v="43"/>
    <x v="1"/>
    <x v="2"/>
    <n v="2"/>
    <n v="1"/>
    <x v="0"/>
    <n v="157.00000000009601"/>
    <x v="0"/>
    <n v="50701.000000000102"/>
    <n v="2000"/>
    <n v="20"/>
    <x v="0"/>
    <n v="194849.97"/>
    <x v="784"/>
    <x v="0"/>
  </r>
  <r>
    <n v="44"/>
    <x v="1"/>
    <x v="2"/>
    <n v="2"/>
    <n v="2"/>
    <x v="0"/>
    <n v="156.599999999685"/>
    <x v="0"/>
    <n v="66129.000000000102"/>
    <n v="2000"/>
    <n v="20"/>
    <x v="0"/>
    <n v="196528.77"/>
    <x v="785"/>
    <x v="0"/>
  </r>
  <r>
    <n v="45"/>
    <x v="1"/>
    <x v="2"/>
    <n v="2"/>
    <n v="3"/>
    <x v="0"/>
    <n v="211.00000000018301"/>
    <x v="0"/>
    <n v="256781.99999999901"/>
    <n v="2000"/>
    <n v="20"/>
    <x v="0"/>
    <n v="200528.37"/>
    <x v="786"/>
    <x v="1"/>
  </r>
  <r>
    <n v="46"/>
    <x v="1"/>
    <x v="3"/>
    <n v="2"/>
    <n v="1"/>
    <x v="0"/>
    <n v="189.400000000006"/>
    <x v="0"/>
    <n v="193839"/>
    <n v="2000"/>
    <n v="20"/>
    <x v="0"/>
    <n v="205649.57"/>
    <x v="787"/>
    <x v="0"/>
  </r>
  <r>
    <n v="47"/>
    <x v="1"/>
    <x v="3"/>
    <n v="2"/>
    <n v="2"/>
    <x v="0"/>
    <n v="193.80000000026601"/>
    <x v="0"/>
    <n v="113693.999999999"/>
    <n v="2000"/>
    <n v="20"/>
    <x v="0"/>
    <n v="196808.77"/>
    <x v="788"/>
    <x v="0"/>
  </r>
  <r>
    <n v="48"/>
    <x v="1"/>
    <x v="3"/>
    <n v="2"/>
    <n v="3"/>
    <x v="0"/>
    <n v="249.79999999992199"/>
    <x v="0"/>
    <n v="251965"/>
    <n v="2000"/>
    <n v="20"/>
    <x v="0"/>
    <n v="282729.96999999997"/>
    <x v="789"/>
    <x v="1"/>
  </r>
  <r>
    <n v="49"/>
    <x v="1"/>
    <x v="3"/>
    <n v="2"/>
    <n v="1"/>
    <x v="0"/>
    <n v="183.19999999931699"/>
    <x v="0"/>
    <n v="102215.999999999"/>
    <n v="2000"/>
    <n v="20"/>
    <x v="0"/>
    <n v="224289.57"/>
    <x v="790"/>
    <x v="0"/>
  </r>
  <r>
    <n v="50"/>
    <x v="1"/>
    <x v="3"/>
    <n v="2"/>
    <n v="2"/>
    <x v="0"/>
    <n v="190.800000000024"/>
    <x v="0"/>
    <n v="146021.99999999901"/>
    <n v="2000"/>
    <n v="20"/>
    <x v="0"/>
    <n v="190288.77"/>
    <x v="791"/>
    <x v="0"/>
  </r>
  <r>
    <n v="51"/>
    <x v="1"/>
    <x v="3"/>
    <n v="2"/>
    <n v="3"/>
    <x v="0"/>
    <n v="252.19999999990301"/>
    <x v="0"/>
    <n v="203922"/>
    <n v="2000"/>
    <n v="20"/>
    <x v="0"/>
    <n v="220727.97"/>
    <x v="792"/>
    <x v="0"/>
  </r>
  <r>
    <n v="52"/>
    <x v="1"/>
    <x v="4"/>
    <n v="2"/>
    <n v="1"/>
    <x v="0"/>
    <n v="219.40000000029201"/>
    <x v="0"/>
    <n v="251747"/>
    <n v="2000"/>
    <n v="20"/>
    <x v="0"/>
    <n v="191808.37"/>
    <x v="793"/>
    <x v="0"/>
  </r>
  <r>
    <n v="53"/>
    <x v="1"/>
    <x v="4"/>
    <n v="2"/>
    <n v="2"/>
    <x v="0"/>
    <n v="218.80000000038501"/>
    <x v="0"/>
    <n v="209296.99999999901"/>
    <n v="2000"/>
    <n v="20"/>
    <x v="0"/>
    <n v="227648.77"/>
    <x v="794"/>
    <x v="0"/>
  </r>
  <r>
    <n v="54"/>
    <x v="1"/>
    <x v="4"/>
    <n v="2"/>
    <n v="3"/>
    <x v="0"/>
    <n v="306.40000000019501"/>
    <x v="0"/>
    <n v="515255"/>
    <n v="2000"/>
    <n v="20"/>
    <x v="0"/>
    <n v="234247.17"/>
    <x v="795"/>
    <x v="1"/>
  </r>
  <r>
    <n v="55"/>
    <x v="1"/>
    <x v="2"/>
    <n v="2"/>
    <n v="1"/>
    <x v="0"/>
    <n v="140.60000000064599"/>
    <x v="0"/>
    <n v="51733.999999999702"/>
    <n v="2000"/>
    <n v="20"/>
    <x v="0"/>
    <n v="207408.77"/>
    <x v="796"/>
    <x v="0"/>
  </r>
  <r>
    <n v="56"/>
    <x v="1"/>
    <x v="2"/>
    <n v="2"/>
    <n v="2"/>
    <x v="0"/>
    <n v="137.60000000004899"/>
    <x v="0"/>
    <n v="57291.000000001099"/>
    <n v="2000"/>
    <n v="20"/>
    <x v="0"/>
    <n v="180368.77"/>
    <x v="797"/>
    <x v="0"/>
  </r>
  <r>
    <n v="57"/>
    <x v="1"/>
    <x v="2"/>
    <n v="2"/>
    <n v="3"/>
    <x v="0"/>
    <n v="183.39999999987799"/>
    <x v="0"/>
    <n v="96692.000000000902"/>
    <n v="2000"/>
    <n v="20"/>
    <x v="0"/>
    <n v="270249.17"/>
    <x v="798"/>
    <x v="0"/>
  </r>
  <r>
    <n v="58"/>
    <x v="1"/>
    <x v="3"/>
    <n v="2"/>
    <n v="1"/>
    <x v="0"/>
    <n v="215.599999999228"/>
    <x v="0"/>
    <n v="86040.000000000597"/>
    <n v="2000"/>
    <n v="20"/>
    <x v="0"/>
    <n v="214248.77"/>
    <x v="799"/>
    <x v="0"/>
  </r>
  <r>
    <n v="59"/>
    <x v="1"/>
    <x v="3"/>
    <n v="2"/>
    <n v="2"/>
    <x v="0"/>
    <n v="212.39999999984599"/>
    <x v="0"/>
    <n v="68540.000000000495"/>
    <n v="2000"/>
    <n v="20"/>
    <x v="0"/>
    <n v="176008.37"/>
    <x v="800"/>
    <x v="0"/>
  </r>
  <r>
    <n v="60"/>
    <x v="1"/>
    <x v="3"/>
    <n v="2"/>
    <n v="3"/>
    <x v="0"/>
    <n v="288.40000000016602"/>
    <x v="0"/>
    <n v="278874.99999999901"/>
    <n v="2000"/>
    <n v="20"/>
    <x v="0"/>
    <n v="200249.97"/>
    <x v="801"/>
    <x v="1"/>
  </r>
  <r>
    <n v="61"/>
    <x v="1"/>
    <x v="4"/>
    <n v="2"/>
    <n v="1"/>
    <x v="0"/>
    <n v="230.60000000043601"/>
    <x v="0"/>
    <n v="161028"/>
    <n v="2000"/>
    <n v="20"/>
    <x v="0"/>
    <n v="277728.77"/>
    <x v="802"/>
    <x v="0"/>
  </r>
  <r>
    <n v="62"/>
    <x v="1"/>
    <x v="4"/>
    <n v="2"/>
    <n v="2"/>
    <x v="0"/>
    <n v="233.80000000017299"/>
    <x v="0"/>
    <n v="123650"/>
    <n v="2000"/>
    <n v="20"/>
    <x v="0"/>
    <n v="226729.57"/>
    <x v="803"/>
    <x v="0"/>
  </r>
  <r>
    <n v="63"/>
    <x v="1"/>
    <x v="4"/>
    <n v="2"/>
    <n v="3"/>
    <x v="0"/>
    <n v="359.799999999666"/>
    <x v="0"/>
    <n v="395599.00000000099"/>
    <n v="2000"/>
    <n v="20"/>
    <x v="0"/>
    <n v="217369.57"/>
    <x v="804"/>
    <x v="1"/>
  </r>
  <r>
    <n v="64"/>
    <x v="1"/>
    <x v="5"/>
    <n v="2"/>
    <n v="1"/>
    <x v="0"/>
    <n v="274.00000000028501"/>
    <x v="0"/>
    <n v="279384"/>
    <n v="2000"/>
    <n v="20"/>
    <x v="0"/>
    <n v="197529.97"/>
    <x v="805"/>
    <x v="0"/>
  </r>
  <r>
    <n v="65"/>
    <x v="1"/>
    <x v="5"/>
    <n v="2"/>
    <n v="2"/>
    <x v="0"/>
    <n v="271.20000000024902"/>
    <x v="0"/>
    <n v="345789"/>
    <n v="2000"/>
    <n v="20"/>
    <x v="0"/>
    <n v="230209.17"/>
    <x v="806"/>
    <x v="0"/>
  </r>
  <r>
    <n v="66"/>
    <x v="1"/>
    <x v="5"/>
    <n v="2"/>
    <n v="3"/>
    <x v="0"/>
    <n v="390.99999999976399"/>
    <x v="0"/>
    <n v="1149315"/>
    <n v="2000"/>
    <n v="20"/>
    <x v="0"/>
    <n v="233488.77"/>
    <x v="807"/>
    <x v="1"/>
  </r>
  <r>
    <n v="67"/>
    <x v="1"/>
    <x v="4"/>
    <n v="2"/>
    <n v="1"/>
    <x v="0"/>
    <n v="210.20000000007099"/>
    <x v="0"/>
    <n v="176762"/>
    <n v="2000"/>
    <n v="20"/>
    <x v="0"/>
    <n v="219529.17"/>
    <x v="808"/>
    <x v="0"/>
  </r>
  <r>
    <n v="68"/>
    <x v="1"/>
    <x v="4"/>
    <n v="2"/>
    <n v="2"/>
    <x v="0"/>
    <n v="210.00000000022101"/>
    <x v="0"/>
    <n v="175160"/>
    <n v="2000"/>
    <n v="20"/>
    <x v="0"/>
    <n v="187687.97"/>
    <x v="809"/>
    <x v="0"/>
  </r>
  <r>
    <n v="69"/>
    <x v="1"/>
    <x v="4"/>
    <n v="2"/>
    <n v="3"/>
    <x v="0"/>
    <n v="292.59999999986502"/>
    <x v="0"/>
    <n v="386187"/>
    <n v="2000"/>
    <n v="20"/>
    <x v="0"/>
    <n v="178927.17"/>
    <x v="810"/>
    <x v="1"/>
  </r>
  <r>
    <n v="28"/>
    <x v="1"/>
    <x v="1"/>
    <n v="2"/>
    <n v="1"/>
    <x v="0"/>
    <n v="541.19999999961999"/>
    <x v="0"/>
    <n v="37176.000000000502"/>
    <n v="3000"/>
    <n v="20"/>
    <x v="0"/>
    <n v="278309.17"/>
    <x v="811"/>
    <x v="0"/>
  </r>
  <r>
    <n v="29"/>
    <x v="1"/>
    <x v="2"/>
    <n v="2"/>
    <n v="2"/>
    <x v="0"/>
    <n v="547.39999999959798"/>
    <x v="0"/>
    <n v="71896.000000000597"/>
    <n v="3000"/>
    <n v="20"/>
    <x v="0"/>
    <n v="318027.96999999997"/>
    <x v="812"/>
    <x v="0"/>
  </r>
  <r>
    <n v="30"/>
    <x v="1"/>
    <x v="2"/>
    <n v="2"/>
    <n v="3"/>
    <x v="0"/>
    <n v="598.60000000000502"/>
    <x v="0"/>
    <n v="251473"/>
    <n v="3000"/>
    <n v="20"/>
    <x v="0"/>
    <n v="324989.57"/>
    <x v="813"/>
    <x v="0"/>
  </r>
  <r>
    <n v="31"/>
    <x v="1"/>
    <x v="2"/>
    <n v="2"/>
    <n v="1"/>
    <x v="0"/>
    <n v="351.19999999970702"/>
    <x v="0"/>
    <n v="68826.999999999796"/>
    <n v="3000"/>
    <n v="20"/>
    <x v="0"/>
    <n v="255448.77"/>
    <x v="814"/>
    <x v="0"/>
  </r>
  <r>
    <n v="32"/>
    <x v="1"/>
    <x v="2"/>
    <n v="2"/>
    <n v="2"/>
    <x v="0"/>
    <n v="356.00000000002302"/>
    <x v="0"/>
    <n v="64877.000000000102"/>
    <n v="3000"/>
    <n v="20"/>
    <x v="0"/>
    <n v="276268.77"/>
    <x v="815"/>
    <x v="0"/>
  </r>
  <r>
    <n v="33"/>
    <x v="1"/>
    <x v="2"/>
    <n v="2"/>
    <n v="3"/>
    <x v="0"/>
    <n v="485.39999999981399"/>
    <x v="0"/>
    <n v="255639"/>
    <n v="3000"/>
    <n v="20"/>
    <x v="0"/>
    <n v="390748.37"/>
    <x v="816"/>
    <x v="0"/>
  </r>
  <r>
    <n v="34"/>
    <x v="1"/>
    <x v="2"/>
    <n v="2"/>
    <n v="1"/>
    <x v="0"/>
    <n v="307.60000000000798"/>
    <x v="0"/>
    <n v="49771.999999999898"/>
    <n v="3000"/>
    <n v="20"/>
    <x v="0"/>
    <n v="396328.37"/>
    <x v="817"/>
    <x v="0"/>
  </r>
  <r>
    <n v="35"/>
    <x v="1"/>
    <x v="3"/>
    <n v="2"/>
    <n v="1"/>
    <x v="0"/>
    <n v="378.80000000036802"/>
    <x v="0"/>
    <n v="110241"/>
    <n v="3000"/>
    <n v="20"/>
    <x v="0"/>
    <n v="329128.37"/>
    <x v="818"/>
    <x v="0"/>
  </r>
  <r>
    <n v="36"/>
    <x v="1"/>
    <x v="3"/>
    <n v="2"/>
    <n v="2"/>
    <x v="0"/>
    <n v="225.399999999709"/>
    <x v="0"/>
    <n v="111119"/>
    <n v="3000"/>
    <n v="20"/>
    <x v="0"/>
    <n v="329488.37"/>
    <x v="819"/>
    <x v="0"/>
  </r>
  <r>
    <n v="37"/>
    <x v="1"/>
    <x v="3"/>
    <n v="2"/>
    <n v="3"/>
    <x v="0"/>
    <n v="317.40000000049002"/>
    <x v="0"/>
    <n v="450438.99999999901"/>
    <n v="3000"/>
    <n v="20"/>
    <x v="0"/>
    <n v="308188.77"/>
    <x v="820"/>
    <x v="1"/>
  </r>
  <r>
    <n v="38"/>
    <x v="1"/>
    <x v="3"/>
    <n v="2"/>
    <n v="1"/>
    <x v="0"/>
    <n v="206.39999999971801"/>
    <x v="0"/>
    <n v="136472"/>
    <n v="3000"/>
    <n v="20"/>
    <x v="0"/>
    <n v="273868.37"/>
    <x v="821"/>
    <x v="0"/>
  </r>
  <r>
    <n v="39"/>
    <x v="1"/>
    <x v="4"/>
    <n v="2"/>
    <n v="1"/>
    <x v="0"/>
    <n v="257.600000000124"/>
    <x v="0"/>
    <n v="207379"/>
    <n v="3000"/>
    <n v="20"/>
    <x v="0"/>
    <n v="385828.37"/>
    <x v="822"/>
    <x v="0"/>
  </r>
  <r>
    <n v="40"/>
    <x v="1"/>
    <x v="4"/>
    <n v="2"/>
    <n v="2"/>
    <x v="0"/>
    <n v="242.59999999962599"/>
    <x v="0"/>
    <n v="197622"/>
    <n v="3000"/>
    <n v="20"/>
    <x v="0"/>
    <n v="283829.57"/>
    <x v="823"/>
    <x v="0"/>
  </r>
  <r>
    <n v="41"/>
    <x v="1"/>
    <x v="4"/>
    <n v="2"/>
    <n v="3"/>
    <x v="0"/>
    <n v="354.20000000030399"/>
    <x v="0"/>
    <n v="1010568"/>
    <n v="3000"/>
    <n v="20"/>
    <x v="0"/>
    <n v="370828.77"/>
    <x v="824"/>
    <x v="1"/>
  </r>
  <r>
    <n v="42"/>
    <x v="1"/>
    <x v="1"/>
    <n v="2"/>
    <n v="1"/>
    <x v="0"/>
    <n v="129.800000000202"/>
    <x v="0"/>
    <n v="33082.000000000298"/>
    <n v="3000"/>
    <n v="20"/>
    <x v="0"/>
    <n v="305009.17"/>
    <x v="825"/>
    <x v="0"/>
  </r>
  <r>
    <n v="43"/>
    <x v="1"/>
    <x v="2"/>
    <n v="2"/>
    <n v="1"/>
    <x v="0"/>
    <n v="157.00000000009601"/>
    <x v="0"/>
    <n v="50701.000000000102"/>
    <n v="3000"/>
    <n v="20"/>
    <x v="0"/>
    <n v="284309.96999999997"/>
    <x v="826"/>
    <x v="0"/>
  </r>
  <r>
    <n v="44"/>
    <x v="1"/>
    <x v="2"/>
    <n v="2"/>
    <n v="2"/>
    <x v="0"/>
    <n v="156.599999999685"/>
    <x v="0"/>
    <n v="66129.000000000102"/>
    <n v="3000"/>
    <n v="20"/>
    <x v="0"/>
    <n v="286828.77"/>
    <x v="827"/>
    <x v="0"/>
  </r>
  <r>
    <n v="45"/>
    <x v="1"/>
    <x v="2"/>
    <n v="2"/>
    <n v="3"/>
    <x v="0"/>
    <n v="211.00000000018301"/>
    <x v="0"/>
    <n v="256781.99999999901"/>
    <n v="3000"/>
    <n v="20"/>
    <x v="0"/>
    <n v="292828.37"/>
    <x v="828"/>
    <x v="0"/>
  </r>
  <r>
    <n v="46"/>
    <x v="1"/>
    <x v="3"/>
    <n v="2"/>
    <n v="1"/>
    <x v="0"/>
    <n v="189.400000000006"/>
    <x v="0"/>
    <n v="193839"/>
    <n v="3000"/>
    <n v="20"/>
    <x v="0"/>
    <n v="300509.57"/>
    <x v="829"/>
    <x v="0"/>
  </r>
  <r>
    <n v="47"/>
    <x v="1"/>
    <x v="3"/>
    <n v="2"/>
    <n v="2"/>
    <x v="0"/>
    <n v="193.80000000026601"/>
    <x v="0"/>
    <n v="113693.999999999"/>
    <n v="3000"/>
    <n v="20"/>
    <x v="0"/>
    <n v="287248.77"/>
    <x v="830"/>
    <x v="0"/>
  </r>
  <r>
    <n v="48"/>
    <x v="1"/>
    <x v="3"/>
    <n v="2"/>
    <n v="3"/>
    <x v="0"/>
    <n v="249.79999999992199"/>
    <x v="0"/>
    <n v="251965"/>
    <n v="3000"/>
    <n v="20"/>
    <x v="0"/>
    <n v="416129.97"/>
    <x v="831"/>
    <x v="0"/>
  </r>
  <r>
    <n v="49"/>
    <x v="1"/>
    <x v="3"/>
    <n v="2"/>
    <n v="1"/>
    <x v="0"/>
    <n v="183.19999999931699"/>
    <x v="0"/>
    <n v="102215.999999999"/>
    <n v="3000"/>
    <n v="20"/>
    <x v="0"/>
    <n v="328469.57"/>
    <x v="832"/>
    <x v="0"/>
  </r>
  <r>
    <n v="50"/>
    <x v="1"/>
    <x v="3"/>
    <n v="2"/>
    <n v="2"/>
    <x v="0"/>
    <n v="190.800000000024"/>
    <x v="0"/>
    <n v="146021.99999999901"/>
    <n v="3000"/>
    <n v="20"/>
    <x v="0"/>
    <n v="277468.77"/>
    <x v="833"/>
    <x v="0"/>
  </r>
  <r>
    <n v="51"/>
    <x v="1"/>
    <x v="3"/>
    <n v="2"/>
    <n v="3"/>
    <x v="0"/>
    <n v="252.19999999990301"/>
    <x v="0"/>
    <n v="203922"/>
    <n v="3000"/>
    <n v="20"/>
    <x v="0"/>
    <n v="323127.96999999997"/>
    <x v="834"/>
    <x v="1"/>
  </r>
  <r>
    <n v="52"/>
    <x v="1"/>
    <x v="4"/>
    <n v="2"/>
    <n v="1"/>
    <x v="0"/>
    <n v="219.40000000029201"/>
    <x v="0"/>
    <n v="251747"/>
    <n v="3000"/>
    <n v="20"/>
    <x v="0"/>
    <n v="279748.37"/>
    <x v="835"/>
    <x v="0"/>
  </r>
  <r>
    <n v="53"/>
    <x v="1"/>
    <x v="4"/>
    <n v="2"/>
    <n v="2"/>
    <x v="0"/>
    <n v="218.80000000038501"/>
    <x v="0"/>
    <n v="209296.99999999901"/>
    <n v="3000"/>
    <n v="20"/>
    <x v="0"/>
    <n v="333508.77"/>
    <x v="836"/>
    <x v="0"/>
  </r>
  <r>
    <n v="54"/>
    <x v="1"/>
    <x v="4"/>
    <n v="2"/>
    <n v="3"/>
    <x v="0"/>
    <n v="306.40000000019501"/>
    <x v="0"/>
    <n v="515255"/>
    <n v="3000"/>
    <n v="20"/>
    <x v="0"/>
    <n v="343407.17"/>
    <x v="837"/>
    <x v="1"/>
  </r>
  <r>
    <n v="55"/>
    <x v="1"/>
    <x v="2"/>
    <n v="2"/>
    <n v="1"/>
    <x v="0"/>
    <n v="140.60000000064599"/>
    <x v="0"/>
    <n v="51733.999999999702"/>
    <n v="3000"/>
    <n v="20"/>
    <x v="0"/>
    <n v="303148.77"/>
    <x v="838"/>
    <x v="0"/>
  </r>
  <r>
    <n v="56"/>
    <x v="1"/>
    <x v="2"/>
    <n v="2"/>
    <n v="2"/>
    <x v="0"/>
    <n v="137.60000000004899"/>
    <x v="0"/>
    <n v="57291.000000001099"/>
    <n v="3000"/>
    <n v="20"/>
    <x v="0"/>
    <n v="262588.77"/>
    <x v="839"/>
    <x v="0"/>
  </r>
  <r>
    <n v="57"/>
    <x v="1"/>
    <x v="2"/>
    <n v="2"/>
    <n v="3"/>
    <x v="0"/>
    <n v="183.39999999987799"/>
    <x v="0"/>
    <n v="96692.000000000902"/>
    <n v="3000"/>
    <n v="20"/>
    <x v="0"/>
    <n v="397409.17"/>
    <x v="840"/>
    <x v="0"/>
  </r>
  <r>
    <n v="58"/>
    <x v="1"/>
    <x v="3"/>
    <n v="2"/>
    <n v="1"/>
    <x v="0"/>
    <n v="215.599999999228"/>
    <x v="0"/>
    <n v="86040.000000000597"/>
    <n v="3000"/>
    <n v="20"/>
    <x v="0"/>
    <n v="313408.77"/>
    <x v="841"/>
    <x v="0"/>
  </r>
  <r>
    <n v="59"/>
    <x v="1"/>
    <x v="3"/>
    <n v="2"/>
    <n v="2"/>
    <x v="0"/>
    <n v="212.39999999984599"/>
    <x v="0"/>
    <n v="68540.000000000495"/>
    <n v="3000"/>
    <n v="20"/>
    <x v="0"/>
    <n v="256048.37"/>
    <x v="842"/>
    <x v="0"/>
  </r>
  <r>
    <n v="60"/>
    <x v="1"/>
    <x v="3"/>
    <n v="2"/>
    <n v="3"/>
    <x v="0"/>
    <n v="288.40000000016602"/>
    <x v="0"/>
    <n v="278874.99999999901"/>
    <n v="3000"/>
    <n v="20"/>
    <x v="0"/>
    <n v="292409.96999999997"/>
    <x v="843"/>
    <x v="1"/>
  </r>
  <r>
    <n v="61"/>
    <x v="1"/>
    <x v="4"/>
    <n v="2"/>
    <n v="1"/>
    <x v="0"/>
    <n v="230.60000000043601"/>
    <x v="0"/>
    <n v="161028"/>
    <n v="3000"/>
    <n v="20"/>
    <x v="0"/>
    <n v="408628.77"/>
    <x v="844"/>
    <x v="0"/>
  </r>
  <r>
    <n v="62"/>
    <x v="1"/>
    <x v="4"/>
    <n v="2"/>
    <n v="2"/>
    <x v="0"/>
    <n v="233.80000000017299"/>
    <x v="0"/>
    <n v="123650"/>
    <n v="3000"/>
    <n v="20"/>
    <x v="0"/>
    <n v="332129.57"/>
    <x v="845"/>
    <x v="0"/>
  </r>
  <r>
    <n v="63"/>
    <x v="1"/>
    <x v="4"/>
    <n v="2"/>
    <n v="3"/>
    <x v="0"/>
    <n v="359.799999999666"/>
    <x v="0"/>
    <n v="395599.00000000099"/>
    <n v="3000"/>
    <n v="20"/>
    <x v="0"/>
    <n v="318089.57"/>
    <x v="846"/>
    <x v="1"/>
  </r>
  <r>
    <n v="64"/>
    <x v="1"/>
    <x v="5"/>
    <n v="2"/>
    <n v="1"/>
    <x v="0"/>
    <n v="274.00000000028501"/>
    <x v="0"/>
    <n v="279384"/>
    <n v="3000"/>
    <n v="20"/>
    <x v="0"/>
    <n v="288329.96999999997"/>
    <x v="847"/>
    <x v="0"/>
  </r>
  <r>
    <n v="65"/>
    <x v="1"/>
    <x v="5"/>
    <n v="2"/>
    <n v="2"/>
    <x v="0"/>
    <n v="271.20000000024902"/>
    <x v="0"/>
    <n v="345789"/>
    <n v="3000"/>
    <n v="20"/>
    <x v="0"/>
    <n v="337349.17"/>
    <x v="848"/>
    <x v="0"/>
  </r>
  <r>
    <n v="66"/>
    <x v="1"/>
    <x v="5"/>
    <n v="2"/>
    <n v="3"/>
    <x v="0"/>
    <n v="390.99999999976399"/>
    <x v="0"/>
    <n v="1149315"/>
    <n v="3000"/>
    <n v="20"/>
    <x v="0"/>
    <n v="342268.77"/>
    <x v="849"/>
    <x v="1"/>
  </r>
  <r>
    <n v="67"/>
    <x v="1"/>
    <x v="4"/>
    <n v="2"/>
    <n v="1"/>
    <x v="0"/>
    <n v="210.20000000007099"/>
    <x v="0"/>
    <n v="176762"/>
    <n v="3000"/>
    <n v="20"/>
    <x v="0"/>
    <n v="321329.17"/>
    <x v="850"/>
    <x v="0"/>
  </r>
  <r>
    <n v="68"/>
    <x v="1"/>
    <x v="4"/>
    <n v="2"/>
    <n v="2"/>
    <x v="0"/>
    <n v="210.00000000022101"/>
    <x v="0"/>
    <n v="175160"/>
    <n v="3000"/>
    <n v="20"/>
    <x v="0"/>
    <n v="273567.96999999997"/>
    <x v="851"/>
    <x v="0"/>
  </r>
  <r>
    <n v="69"/>
    <x v="1"/>
    <x v="4"/>
    <n v="2"/>
    <n v="3"/>
    <x v="0"/>
    <n v="292.59999999986502"/>
    <x v="0"/>
    <n v="386187"/>
    <n v="3000"/>
    <n v="20"/>
    <x v="0"/>
    <n v="260427.17"/>
    <x v="852"/>
    <x v="1"/>
  </r>
  <r>
    <n v="28"/>
    <x v="1"/>
    <x v="1"/>
    <n v="2"/>
    <n v="1"/>
    <x v="0"/>
    <n v="541.19999999961999"/>
    <x v="0"/>
    <n v="37176.000000000502"/>
    <n v="5000"/>
    <n v="20"/>
    <x v="0"/>
    <n v="453224.77"/>
    <x v="853"/>
    <x v="0"/>
  </r>
  <r>
    <n v="29"/>
    <x v="1"/>
    <x v="2"/>
    <n v="2"/>
    <n v="2"/>
    <x v="0"/>
    <n v="547.39999999959798"/>
    <x v="0"/>
    <n v="71896.000000000597"/>
    <n v="5000"/>
    <n v="20"/>
    <x v="0"/>
    <n v="519424.77"/>
    <x v="854"/>
    <x v="0"/>
  </r>
  <r>
    <n v="30"/>
    <x v="1"/>
    <x v="2"/>
    <n v="2"/>
    <n v="3"/>
    <x v="0"/>
    <n v="598.60000000000502"/>
    <x v="0"/>
    <n v="251473"/>
    <n v="5000"/>
    <n v="20"/>
    <x v="0"/>
    <n v="531025.56999999995"/>
    <x v="855"/>
    <x v="1"/>
  </r>
  <r>
    <n v="31"/>
    <x v="1"/>
    <x v="2"/>
    <n v="2"/>
    <n v="1"/>
    <x v="0"/>
    <n v="351.19999999970702"/>
    <x v="0"/>
    <n v="68826.999999999796"/>
    <n v="5000"/>
    <n v="20"/>
    <x v="0"/>
    <n v="415124.77"/>
    <x v="856"/>
    <x v="0"/>
  </r>
  <r>
    <n v="32"/>
    <x v="1"/>
    <x v="2"/>
    <n v="2"/>
    <n v="2"/>
    <x v="0"/>
    <n v="356.00000000002302"/>
    <x v="0"/>
    <n v="64877.000000000102"/>
    <n v="5000"/>
    <n v="20"/>
    <x v="0"/>
    <n v="449825.17"/>
    <x v="857"/>
    <x v="0"/>
  </r>
  <r>
    <n v="33"/>
    <x v="1"/>
    <x v="2"/>
    <n v="2"/>
    <n v="3"/>
    <x v="0"/>
    <n v="485.39999999981399"/>
    <x v="0"/>
    <n v="255639"/>
    <n v="5000"/>
    <n v="20"/>
    <x v="0"/>
    <n v="640624.77"/>
    <x v="858"/>
    <x v="0"/>
  </r>
  <r>
    <n v="34"/>
    <x v="1"/>
    <x v="2"/>
    <n v="2"/>
    <n v="1"/>
    <x v="0"/>
    <n v="307.60000000000798"/>
    <x v="0"/>
    <n v="49771.999999999898"/>
    <n v="5000"/>
    <n v="20"/>
    <x v="0"/>
    <n v="649924.77"/>
    <x v="859"/>
    <x v="0"/>
  </r>
  <r>
    <n v="35"/>
    <x v="1"/>
    <x v="3"/>
    <n v="2"/>
    <n v="1"/>
    <x v="0"/>
    <n v="378.80000000036802"/>
    <x v="0"/>
    <n v="110241"/>
    <n v="5000"/>
    <n v="20"/>
    <x v="0"/>
    <n v="537925.17000000004"/>
    <x v="860"/>
    <x v="0"/>
  </r>
  <r>
    <n v="36"/>
    <x v="1"/>
    <x v="3"/>
    <n v="2"/>
    <n v="2"/>
    <x v="0"/>
    <n v="225.399999999709"/>
    <x v="0"/>
    <n v="111119"/>
    <n v="5000"/>
    <n v="20"/>
    <x v="0"/>
    <n v="538525.17000000004"/>
    <x v="861"/>
    <x v="0"/>
  </r>
  <r>
    <n v="37"/>
    <x v="1"/>
    <x v="3"/>
    <n v="2"/>
    <n v="3"/>
    <x v="0"/>
    <n v="317.40000000049002"/>
    <x v="0"/>
    <n v="450438.99999999901"/>
    <n v="5000"/>
    <n v="20"/>
    <x v="0"/>
    <n v="503024.37"/>
    <x v="862"/>
    <x v="1"/>
  </r>
  <r>
    <n v="38"/>
    <x v="1"/>
    <x v="3"/>
    <n v="2"/>
    <n v="1"/>
    <x v="0"/>
    <n v="206.39999999971801"/>
    <x v="0"/>
    <n v="136472"/>
    <n v="5000"/>
    <n v="20"/>
    <x v="0"/>
    <n v="445825.17"/>
    <x v="863"/>
    <x v="0"/>
  </r>
  <r>
    <n v="39"/>
    <x v="1"/>
    <x v="4"/>
    <n v="2"/>
    <n v="1"/>
    <x v="0"/>
    <n v="257.600000000124"/>
    <x v="0"/>
    <n v="207379"/>
    <n v="5000"/>
    <n v="20"/>
    <x v="0"/>
    <n v="632424.37"/>
    <x v="864"/>
    <x v="0"/>
  </r>
  <r>
    <n v="40"/>
    <x v="1"/>
    <x v="4"/>
    <n v="2"/>
    <n v="2"/>
    <x v="0"/>
    <n v="242.59999999962599"/>
    <x v="0"/>
    <n v="197622"/>
    <n v="5000"/>
    <n v="20"/>
    <x v="0"/>
    <n v="462425.17"/>
    <x v="865"/>
    <x v="0"/>
  </r>
  <r>
    <n v="41"/>
    <x v="1"/>
    <x v="4"/>
    <n v="2"/>
    <n v="3"/>
    <x v="0"/>
    <n v="354.20000000030399"/>
    <x v="0"/>
    <n v="1010568"/>
    <n v="5000"/>
    <n v="20"/>
    <x v="0"/>
    <n v="607425.56999999995"/>
    <x v="866"/>
    <x v="1"/>
  </r>
  <r>
    <n v="42"/>
    <x v="1"/>
    <x v="1"/>
    <n v="2"/>
    <n v="1"/>
    <x v="0"/>
    <n v="129.800000000202"/>
    <x v="0"/>
    <n v="33082.000000000298"/>
    <n v="5000"/>
    <n v="20"/>
    <x v="0"/>
    <n v="497725.57"/>
    <x v="867"/>
    <x v="0"/>
  </r>
  <r>
    <n v="43"/>
    <x v="1"/>
    <x v="2"/>
    <n v="2"/>
    <n v="1"/>
    <x v="0"/>
    <n v="157.00000000009601"/>
    <x v="0"/>
    <n v="50701.000000000102"/>
    <n v="5000"/>
    <n v="20"/>
    <x v="0"/>
    <n v="463225.57"/>
    <x v="868"/>
    <x v="0"/>
  </r>
  <r>
    <n v="44"/>
    <x v="1"/>
    <x v="2"/>
    <n v="2"/>
    <n v="2"/>
    <x v="0"/>
    <n v="156.599999999685"/>
    <x v="0"/>
    <n v="66129.000000000102"/>
    <n v="5000"/>
    <n v="20"/>
    <x v="0"/>
    <n v="467425.17"/>
    <x v="869"/>
    <x v="0"/>
  </r>
  <r>
    <n v="45"/>
    <x v="1"/>
    <x v="2"/>
    <n v="2"/>
    <n v="3"/>
    <x v="0"/>
    <n v="211.00000000018301"/>
    <x v="0"/>
    <n v="256781.99999999901"/>
    <n v="5000"/>
    <n v="20"/>
    <x v="0"/>
    <n v="477425.57"/>
    <x v="870"/>
    <x v="0"/>
  </r>
  <r>
    <n v="46"/>
    <x v="1"/>
    <x v="3"/>
    <n v="2"/>
    <n v="1"/>
    <x v="0"/>
    <n v="189.400000000006"/>
    <x v="0"/>
    <n v="193839"/>
    <n v="5000"/>
    <n v="20"/>
    <x v="0"/>
    <n v="490226.37"/>
    <x v="871"/>
    <x v="0"/>
  </r>
  <r>
    <n v="47"/>
    <x v="1"/>
    <x v="3"/>
    <n v="2"/>
    <n v="2"/>
    <x v="0"/>
    <n v="193.80000000026601"/>
    <x v="0"/>
    <n v="113693.999999999"/>
    <n v="5000"/>
    <n v="20"/>
    <x v="0"/>
    <n v="468125.57"/>
    <x v="872"/>
    <x v="0"/>
  </r>
  <r>
    <n v="48"/>
    <x v="1"/>
    <x v="3"/>
    <n v="2"/>
    <n v="3"/>
    <x v="0"/>
    <n v="249.79999999992199"/>
    <x v="0"/>
    <n v="251965"/>
    <n v="5000"/>
    <n v="20"/>
    <x v="0"/>
    <n v="682925.97"/>
    <x v="873"/>
    <x v="0"/>
  </r>
  <r>
    <n v="49"/>
    <x v="1"/>
    <x v="3"/>
    <n v="2"/>
    <n v="1"/>
    <x v="0"/>
    <n v="183.19999999931699"/>
    <x v="0"/>
    <n v="102215.999999999"/>
    <n v="5000"/>
    <n v="20"/>
    <x v="0"/>
    <n v="536825.17000000004"/>
    <x v="874"/>
    <x v="0"/>
  </r>
  <r>
    <n v="50"/>
    <x v="1"/>
    <x v="3"/>
    <n v="2"/>
    <n v="2"/>
    <x v="0"/>
    <n v="190.800000000024"/>
    <x v="0"/>
    <n v="146021.99999999901"/>
    <n v="5000"/>
    <n v="20"/>
    <x v="0"/>
    <n v="451825.57"/>
    <x v="875"/>
    <x v="0"/>
  </r>
  <r>
    <n v="51"/>
    <x v="1"/>
    <x v="3"/>
    <n v="2"/>
    <n v="3"/>
    <x v="0"/>
    <n v="252.19999999990301"/>
    <x v="0"/>
    <n v="203922"/>
    <n v="5000"/>
    <n v="20"/>
    <x v="0"/>
    <n v="527924.37"/>
    <x v="876"/>
    <x v="0"/>
  </r>
  <r>
    <n v="52"/>
    <x v="1"/>
    <x v="4"/>
    <n v="2"/>
    <n v="1"/>
    <x v="0"/>
    <n v="219.40000000029201"/>
    <x v="0"/>
    <n v="251747"/>
    <n v="5000"/>
    <n v="20"/>
    <x v="0"/>
    <n v="455625.17"/>
    <x v="877"/>
    <x v="0"/>
  </r>
  <r>
    <n v="53"/>
    <x v="1"/>
    <x v="4"/>
    <n v="2"/>
    <n v="2"/>
    <x v="0"/>
    <n v="218.80000000038501"/>
    <x v="0"/>
    <n v="209296.99999999901"/>
    <n v="5000"/>
    <n v="20"/>
    <x v="0"/>
    <n v="545225.17000000004"/>
    <x v="878"/>
    <x v="0"/>
  </r>
  <r>
    <n v="54"/>
    <x v="1"/>
    <x v="4"/>
    <n v="2"/>
    <n v="3"/>
    <x v="0"/>
    <n v="306.40000000019501"/>
    <x v="0"/>
    <n v="515255"/>
    <n v="5000"/>
    <n v="20"/>
    <x v="0"/>
    <n v="561724.37"/>
    <x v="879"/>
    <x v="0"/>
  </r>
  <r>
    <n v="55"/>
    <x v="1"/>
    <x v="2"/>
    <n v="2"/>
    <n v="1"/>
    <x v="0"/>
    <n v="140.60000000064599"/>
    <x v="0"/>
    <n v="51733.999999999702"/>
    <n v="5000"/>
    <n v="20"/>
    <x v="0"/>
    <n v="494625.17"/>
    <x v="880"/>
    <x v="0"/>
  </r>
  <r>
    <n v="56"/>
    <x v="1"/>
    <x v="2"/>
    <n v="2"/>
    <n v="2"/>
    <x v="0"/>
    <n v="137.60000000004899"/>
    <x v="0"/>
    <n v="57291.000000001099"/>
    <n v="5000"/>
    <n v="20"/>
    <x v="0"/>
    <n v="427025.17"/>
    <x v="881"/>
    <x v="0"/>
  </r>
  <r>
    <n v="57"/>
    <x v="1"/>
    <x v="2"/>
    <n v="2"/>
    <n v="3"/>
    <x v="0"/>
    <n v="183.39999999987799"/>
    <x v="0"/>
    <n v="96692.000000000902"/>
    <n v="5000"/>
    <n v="20"/>
    <x v="0"/>
    <n v="651725.56999999995"/>
    <x v="882"/>
    <x v="0"/>
  </r>
  <r>
    <n v="58"/>
    <x v="1"/>
    <x v="3"/>
    <n v="2"/>
    <n v="1"/>
    <x v="0"/>
    <n v="215.599999999228"/>
    <x v="0"/>
    <n v="86040.000000000597"/>
    <n v="5000"/>
    <n v="20"/>
    <x v="0"/>
    <n v="511725.17"/>
    <x v="883"/>
    <x v="0"/>
  </r>
  <r>
    <n v="59"/>
    <x v="1"/>
    <x v="3"/>
    <n v="2"/>
    <n v="2"/>
    <x v="0"/>
    <n v="212.39999999984599"/>
    <x v="0"/>
    <n v="68540.000000000495"/>
    <n v="5000"/>
    <n v="20"/>
    <x v="0"/>
    <n v="416125.57"/>
    <x v="884"/>
    <x v="0"/>
  </r>
  <r>
    <n v="60"/>
    <x v="1"/>
    <x v="3"/>
    <n v="2"/>
    <n v="3"/>
    <x v="0"/>
    <n v="288.40000000016602"/>
    <x v="0"/>
    <n v="278874.99999999901"/>
    <n v="5000"/>
    <n v="20"/>
    <x v="0"/>
    <n v="476725.97"/>
    <x v="885"/>
    <x v="0"/>
  </r>
  <r>
    <n v="61"/>
    <x v="1"/>
    <x v="4"/>
    <n v="2"/>
    <n v="1"/>
    <x v="0"/>
    <n v="230.60000000043601"/>
    <x v="0"/>
    <n v="161028"/>
    <n v="5000"/>
    <n v="20"/>
    <x v="0"/>
    <n v="670425.17000000004"/>
    <x v="886"/>
    <x v="0"/>
  </r>
  <r>
    <n v="62"/>
    <x v="1"/>
    <x v="4"/>
    <n v="2"/>
    <n v="2"/>
    <x v="0"/>
    <n v="233.80000000017299"/>
    <x v="0"/>
    <n v="123650"/>
    <n v="5000"/>
    <n v="20"/>
    <x v="0"/>
    <n v="542925.56999999995"/>
    <x v="887"/>
    <x v="0"/>
  </r>
  <r>
    <n v="63"/>
    <x v="1"/>
    <x v="4"/>
    <n v="2"/>
    <n v="3"/>
    <x v="0"/>
    <n v="359.799999999666"/>
    <x v="0"/>
    <n v="395599.00000000099"/>
    <n v="5000"/>
    <n v="20"/>
    <x v="0"/>
    <n v="519525.97"/>
    <x v="888"/>
    <x v="1"/>
  </r>
  <r>
    <n v="64"/>
    <x v="1"/>
    <x v="5"/>
    <n v="2"/>
    <n v="1"/>
    <x v="0"/>
    <n v="274.00000000028501"/>
    <x v="0"/>
    <n v="279384"/>
    <n v="5000"/>
    <n v="20"/>
    <x v="0"/>
    <n v="469925.97"/>
    <x v="889"/>
    <x v="0"/>
  </r>
  <r>
    <n v="65"/>
    <x v="1"/>
    <x v="5"/>
    <n v="2"/>
    <n v="2"/>
    <x v="0"/>
    <n v="271.20000000024902"/>
    <x v="0"/>
    <n v="345789"/>
    <n v="5000"/>
    <n v="20"/>
    <x v="0"/>
    <n v="551625.56999999995"/>
    <x v="890"/>
    <x v="0"/>
  </r>
  <r>
    <n v="66"/>
    <x v="1"/>
    <x v="5"/>
    <n v="2"/>
    <n v="3"/>
    <x v="0"/>
    <n v="390.99999999976399"/>
    <x v="0"/>
    <n v="1149315"/>
    <n v="5000"/>
    <n v="20"/>
    <x v="0"/>
    <n v="559824.77"/>
    <x v="891"/>
    <x v="1"/>
  </r>
  <r>
    <n v="67"/>
    <x v="1"/>
    <x v="4"/>
    <n v="2"/>
    <n v="1"/>
    <x v="0"/>
    <n v="210.20000000007099"/>
    <x v="0"/>
    <n v="176762"/>
    <n v="5000"/>
    <n v="20"/>
    <x v="0"/>
    <n v="524924.37"/>
    <x v="892"/>
    <x v="0"/>
  </r>
  <r>
    <n v="68"/>
    <x v="1"/>
    <x v="4"/>
    <n v="2"/>
    <n v="2"/>
    <x v="0"/>
    <n v="210.00000000022101"/>
    <x v="0"/>
    <n v="175160"/>
    <n v="5000"/>
    <n v="20"/>
    <x v="0"/>
    <n v="445324.37"/>
    <x v="893"/>
    <x v="0"/>
  </r>
  <r>
    <n v="69"/>
    <x v="1"/>
    <x v="4"/>
    <n v="2"/>
    <n v="3"/>
    <x v="0"/>
    <n v="292.59999999986502"/>
    <x v="0"/>
    <n v="386187"/>
    <n v="5000"/>
    <n v="20"/>
    <x v="0"/>
    <n v="423423.97"/>
    <x v="894"/>
    <x v="1"/>
  </r>
  <r>
    <n v="28"/>
    <x v="1"/>
    <x v="1"/>
    <n v="2"/>
    <n v="1"/>
    <x v="0"/>
    <n v="541.19999999961999"/>
    <x v="0"/>
    <n v="37176.000000000502"/>
    <n v="1000"/>
    <n v="100"/>
    <x v="0"/>
    <n v="183388.37"/>
    <x v="895"/>
    <x v="0"/>
  </r>
  <r>
    <n v="29"/>
    <x v="1"/>
    <x v="2"/>
    <n v="2"/>
    <n v="2"/>
    <x v="0"/>
    <n v="547.39999999959798"/>
    <x v="0"/>
    <n v="71896.000000000597"/>
    <n v="1000"/>
    <n v="100"/>
    <x v="0"/>
    <n v="196627.57"/>
    <x v="896"/>
    <x v="0"/>
  </r>
  <r>
    <n v="30"/>
    <x v="1"/>
    <x v="2"/>
    <n v="2"/>
    <n v="3"/>
    <x v="0"/>
    <n v="598.60000000000502"/>
    <x v="0"/>
    <n v="251473"/>
    <n v="1000"/>
    <n v="100"/>
    <x v="0"/>
    <n v="198948.37"/>
    <x v="897"/>
    <x v="0"/>
  </r>
  <r>
    <n v="31"/>
    <x v="1"/>
    <x v="2"/>
    <n v="2"/>
    <n v="1"/>
    <x v="0"/>
    <n v="351.19999999970702"/>
    <x v="0"/>
    <n v="68826.999999999796"/>
    <n v="1000"/>
    <n v="100"/>
    <x v="0"/>
    <n v="175767.97"/>
    <x v="898"/>
    <x v="0"/>
  </r>
  <r>
    <n v="32"/>
    <x v="1"/>
    <x v="2"/>
    <n v="2"/>
    <n v="2"/>
    <x v="0"/>
    <n v="356.00000000002302"/>
    <x v="0"/>
    <n v="64877.000000000102"/>
    <n v="1000"/>
    <n v="100"/>
    <x v="0"/>
    <n v="182707.97"/>
    <x v="899"/>
    <x v="0"/>
  </r>
  <r>
    <n v="33"/>
    <x v="1"/>
    <x v="2"/>
    <n v="2"/>
    <n v="3"/>
    <x v="0"/>
    <n v="485.39999999981399"/>
    <x v="0"/>
    <n v="255639"/>
    <n v="1000"/>
    <n v="100"/>
    <x v="0"/>
    <n v="220867.17"/>
    <x v="900"/>
    <x v="1"/>
  </r>
  <r>
    <n v="34"/>
    <x v="1"/>
    <x v="2"/>
    <n v="2"/>
    <n v="1"/>
    <x v="0"/>
    <n v="307.60000000000798"/>
    <x v="0"/>
    <n v="49771.999999999898"/>
    <n v="1000"/>
    <n v="100"/>
    <x v="0"/>
    <n v="222727.57"/>
    <x v="901"/>
    <x v="0"/>
  </r>
  <r>
    <n v="35"/>
    <x v="1"/>
    <x v="3"/>
    <n v="2"/>
    <n v="1"/>
    <x v="0"/>
    <n v="378.80000000036802"/>
    <x v="0"/>
    <n v="110241"/>
    <n v="1000"/>
    <n v="100"/>
    <x v="0"/>
    <n v="200328.37"/>
    <x v="902"/>
    <x v="0"/>
  </r>
  <r>
    <n v="36"/>
    <x v="1"/>
    <x v="3"/>
    <n v="2"/>
    <n v="2"/>
    <x v="0"/>
    <n v="225.399999999709"/>
    <x v="0"/>
    <n v="111119"/>
    <n v="1000"/>
    <n v="100"/>
    <x v="0"/>
    <n v="200447.97"/>
    <x v="903"/>
    <x v="0"/>
  </r>
  <r>
    <n v="37"/>
    <x v="1"/>
    <x v="3"/>
    <n v="2"/>
    <n v="3"/>
    <x v="0"/>
    <n v="317.40000000049002"/>
    <x v="0"/>
    <n v="450438.99999999901"/>
    <n v="1000"/>
    <n v="100"/>
    <x v="0"/>
    <n v="193347.57"/>
    <x v="904"/>
    <x v="1"/>
  </r>
  <r>
    <n v="38"/>
    <x v="1"/>
    <x v="3"/>
    <n v="2"/>
    <n v="1"/>
    <x v="0"/>
    <n v="206.39999999971801"/>
    <x v="0"/>
    <n v="136472"/>
    <n v="1000"/>
    <n v="100"/>
    <x v="0"/>
    <n v="181907.57"/>
    <x v="905"/>
    <x v="0"/>
  </r>
  <r>
    <n v="39"/>
    <x v="1"/>
    <x v="4"/>
    <n v="2"/>
    <n v="1"/>
    <x v="0"/>
    <n v="257.600000000124"/>
    <x v="0"/>
    <n v="207379"/>
    <n v="1000"/>
    <n v="100"/>
    <x v="0"/>
    <n v="219227.17"/>
    <x v="906"/>
    <x v="0"/>
  </r>
  <r>
    <n v="40"/>
    <x v="1"/>
    <x v="4"/>
    <n v="2"/>
    <n v="2"/>
    <x v="0"/>
    <n v="242.59999999962599"/>
    <x v="0"/>
    <n v="197622"/>
    <n v="1000"/>
    <n v="100"/>
    <x v="0"/>
    <n v="185227.97"/>
    <x v="907"/>
    <x v="1"/>
  </r>
  <r>
    <n v="41"/>
    <x v="1"/>
    <x v="4"/>
    <n v="2"/>
    <n v="3"/>
    <x v="0"/>
    <n v="354.20000000030399"/>
    <x v="0"/>
    <n v="1010568"/>
    <n v="1000"/>
    <n v="100"/>
    <x v="0"/>
    <n v="214228.37"/>
    <x v="908"/>
    <x v="0"/>
  </r>
  <r>
    <n v="42"/>
    <x v="1"/>
    <x v="1"/>
    <n v="2"/>
    <n v="1"/>
    <x v="0"/>
    <n v="129.800000000202"/>
    <x v="0"/>
    <n v="33082.000000000298"/>
    <n v="1000"/>
    <n v="100"/>
    <x v="0"/>
    <n v="192288.37"/>
    <x v="909"/>
    <x v="0"/>
  </r>
  <r>
    <n v="43"/>
    <x v="1"/>
    <x v="2"/>
    <n v="2"/>
    <n v="1"/>
    <x v="0"/>
    <n v="157.00000000009601"/>
    <x v="0"/>
    <n v="50701.000000000102"/>
    <n v="1000"/>
    <n v="100"/>
    <x v="0"/>
    <n v="185388.77"/>
    <x v="910"/>
    <x v="0"/>
  </r>
  <r>
    <n v="44"/>
    <x v="1"/>
    <x v="2"/>
    <n v="2"/>
    <n v="2"/>
    <x v="0"/>
    <n v="156.599999999685"/>
    <x v="0"/>
    <n v="66129.000000000102"/>
    <n v="1000"/>
    <n v="100"/>
    <x v="0"/>
    <n v="186228.37"/>
    <x v="911"/>
    <x v="0"/>
  </r>
  <r>
    <n v="45"/>
    <x v="1"/>
    <x v="2"/>
    <n v="2"/>
    <n v="3"/>
    <x v="0"/>
    <n v="211.00000000018301"/>
    <x v="0"/>
    <n v="256781.99999999901"/>
    <n v="1000"/>
    <n v="100"/>
    <x v="0"/>
    <n v="188227.57"/>
    <x v="912"/>
    <x v="0"/>
  </r>
  <r>
    <n v="46"/>
    <x v="1"/>
    <x v="3"/>
    <n v="2"/>
    <n v="1"/>
    <x v="0"/>
    <n v="189.400000000006"/>
    <x v="0"/>
    <n v="193839"/>
    <n v="1000"/>
    <n v="100"/>
    <x v="0"/>
    <n v="190789.17"/>
    <x v="913"/>
    <x v="0"/>
  </r>
  <r>
    <n v="47"/>
    <x v="1"/>
    <x v="3"/>
    <n v="2"/>
    <n v="2"/>
    <x v="0"/>
    <n v="193.80000000026601"/>
    <x v="0"/>
    <n v="113693.999999999"/>
    <n v="1000"/>
    <n v="100"/>
    <x v="0"/>
    <n v="186367.57"/>
    <x v="914"/>
    <x v="0"/>
  </r>
  <r>
    <n v="48"/>
    <x v="1"/>
    <x v="3"/>
    <n v="2"/>
    <n v="3"/>
    <x v="0"/>
    <n v="249.79999999992199"/>
    <x v="0"/>
    <n v="251965"/>
    <n v="1000"/>
    <n v="100"/>
    <x v="0"/>
    <n v="229329.17"/>
    <x v="915"/>
    <x v="1"/>
  </r>
  <r>
    <n v="49"/>
    <x v="1"/>
    <x v="3"/>
    <n v="2"/>
    <n v="1"/>
    <x v="0"/>
    <n v="183.19999999931699"/>
    <x v="0"/>
    <n v="102215.999999999"/>
    <n v="1000"/>
    <n v="100"/>
    <x v="0"/>
    <n v="200108.37"/>
    <x v="916"/>
    <x v="0"/>
  </r>
  <r>
    <n v="50"/>
    <x v="1"/>
    <x v="3"/>
    <n v="2"/>
    <n v="2"/>
    <x v="0"/>
    <n v="190.800000000024"/>
    <x v="0"/>
    <n v="146021.99999999901"/>
    <n v="1000"/>
    <n v="100"/>
    <x v="0"/>
    <n v="183108.37"/>
    <x v="917"/>
    <x v="0"/>
  </r>
  <r>
    <n v="51"/>
    <x v="1"/>
    <x v="3"/>
    <n v="2"/>
    <n v="3"/>
    <x v="0"/>
    <n v="252.19999999990301"/>
    <x v="0"/>
    <n v="203922"/>
    <n v="1000"/>
    <n v="100"/>
    <x v="0"/>
    <n v="198327.17"/>
    <x v="918"/>
    <x v="1"/>
  </r>
  <r>
    <n v="52"/>
    <x v="1"/>
    <x v="4"/>
    <n v="2"/>
    <n v="1"/>
    <x v="0"/>
    <n v="219.40000000029201"/>
    <x v="0"/>
    <n v="251747"/>
    <n v="1000"/>
    <n v="100"/>
    <x v="0"/>
    <n v="183867.57"/>
    <x v="919"/>
    <x v="0"/>
  </r>
  <r>
    <n v="53"/>
    <x v="1"/>
    <x v="4"/>
    <n v="2"/>
    <n v="2"/>
    <x v="0"/>
    <n v="218.80000000038501"/>
    <x v="0"/>
    <n v="209296.99999999901"/>
    <n v="1000"/>
    <n v="100"/>
    <x v="0"/>
    <n v="201787.97"/>
    <x v="920"/>
    <x v="0"/>
  </r>
  <r>
    <n v="54"/>
    <x v="1"/>
    <x v="4"/>
    <n v="2"/>
    <n v="3"/>
    <x v="0"/>
    <n v="306.40000000019501"/>
    <x v="0"/>
    <n v="515255"/>
    <n v="1000"/>
    <n v="100"/>
    <x v="0"/>
    <n v="205086.77"/>
    <x v="921"/>
    <x v="1"/>
  </r>
  <r>
    <n v="55"/>
    <x v="1"/>
    <x v="2"/>
    <n v="2"/>
    <n v="1"/>
    <x v="0"/>
    <n v="140.60000000064599"/>
    <x v="0"/>
    <n v="51733.999999999702"/>
    <n v="1000"/>
    <n v="100"/>
    <x v="0"/>
    <n v="191668.37"/>
    <x v="922"/>
    <x v="0"/>
  </r>
  <r>
    <n v="56"/>
    <x v="1"/>
    <x v="2"/>
    <n v="2"/>
    <n v="2"/>
    <x v="0"/>
    <n v="137.60000000004899"/>
    <x v="0"/>
    <n v="57291.000000001099"/>
    <n v="1000"/>
    <n v="100"/>
    <x v="0"/>
    <n v="178147.97"/>
    <x v="923"/>
    <x v="0"/>
  </r>
  <r>
    <n v="57"/>
    <x v="1"/>
    <x v="2"/>
    <n v="2"/>
    <n v="3"/>
    <x v="0"/>
    <n v="183.39999999987799"/>
    <x v="0"/>
    <n v="96692.000000000902"/>
    <n v="1000"/>
    <n v="100"/>
    <x v="0"/>
    <n v="223087.97"/>
    <x v="924"/>
    <x v="0"/>
  </r>
  <r>
    <n v="58"/>
    <x v="1"/>
    <x v="3"/>
    <n v="2"/>
    <n v="1"/>
    <x v="0"/>
    <n v="215.599999999228"/>
    <x v="0"/>
    <n v="86040.000000000597"/>
    <n v="1000"/>
    <n v="100"/>
    <x v="0"/>
    <n v="195087.97"/>
    <x v="925"/>
    <x v="0"/>
  </r>
  <r>
    <n v="59"/>
    <x v="1"/>
    <x v="3"/>
    <n v="2"/>
    <n v="2"/>
    <x v="0"/>
    <n v="212.39999999984599"/>
    <x v="0"/>
    <n v="68540.000000000495"/>
    <n v="1000"/>
    <n v="100"/>
    <x v="0"/>
    <n v="175967.97"/>
    <x v="926"/>
    <x v="0"/>
  </r>
  <r>
    <n v="60"/>
    <x v="1"/>
    <x v="3"/>
    <n v="2"/>
    <n v="3"/>
    <x v="0"/>
    <n v="288.40000000016602"/>
    <x v="0"/>
    <n v="278874.99999999901"/>
    <n v="1000"/>
    <n v="100"/>
    <x v="0"/>
    <n v="188089.57"/>
    <x v="927"/>
    <x v="1"/>
  </r>
  <r>
    <n v="61"/>
    <x v="1"/>
    <x v="4"/>
    <n v="2"/>
    <n v="1"/>
    <x v="0"/>
    <n v="230.60000000043601"/>
    <x v="0"/>
    <n v="161028"/>
    <n v="1000"/>
    <n v="100"/>
    <x v="0"/>
    <n v="226827.97"/>
    <x v="928"/>
    <x v="0"/>
  </r>
  <r>
    <n v="62"/>
    <x v="1"/>
    <x v="4"/>
    <n v="2"/>
    <n v="2"/>
    <x v="0"/>
    <n v="233.80000000017299"/>
    <x v="0"/>
    <n v="123650"/>
    <n v="1000"/>
    <n v="100"/>
    <x v="0"/>
    <n v="201328.77"/>
    <x v="929"/>
    <x v="0"/>
  </r>
  <r>
    <n v="63"/>
    <x v="1"/>
    <x v="4"/>
    <n v="2"/>
    <n v="3"/>
    <x v="0"/>
    <n v="359.799999999666"/>
    <x v="0"/>
    <n v="395599.00000000099"/>
    <n v="1000"/>
    <n v="100"/>
    <x v="0"/>
    <n v="196649.57"/>
    <x v="930"/>
    <x v="0"/>
  </r>
  <r>
    <n v="64"/>
    <x v="1"/>
    <x v="5"/>
    <n v="2"/>
    <n v="1"/>
    <x v="0"/>
    <n v="274.00000000028501"/>
    <x v="0"/>
    <n v="279384"/>
    <n v="1000"/>
    <n v="100"/>
    <x v="0"/>
    <n v="186728.77"/>
    <x v="931"/>
    <x v="0"/>
  </r>
  <r>
    <n v="65"/>
    <x v="1"/>
    <x v="5"/>
    <n v="2"/>
    <n v="2"/>
    <x v="0"/>
    <n v="271.20000000024902"/>
    <x v="0"/>
    <n v="345789"/>
    <n v="1000"/>
    <n v="100"/>
    <x v="0"/>
    <n v="203068.77"/>
    <x v="932"/>
    <x v="0"/>
  </r>
  <r>
    <n v="66"/>
    <x v="1"/>
    <x v="5"/>
    <n v="2"/>
    <n v="3"/>
    <x v="0"/>
    <n v="390.99999999976399"/>
    <x v="0"/>
    <n v="1149315"/>
    <n v="1000"/>
    <n v="100"/>
    <x v="0"/>
    <n v="204708.37"/>
    <x v="933"/>
    <x v="1"/>
  </r>
  <r>
    <n v="67"/>
    <x v="1"/>
    <x v="4"/>
    <n v="2"/>
    <n v="1"/>
    <x v="0"/>
    <n v="210.20000000007099"/>
    <x v="0"/>
    <n v="176762"/>
    <n v="1000"/>
    <n v="100"/>
    <x v="0"/>
    <n v="197727.97"/>
    <x v="934"/>
    <x v="0"/>
  </r>
  <r>
    <n v="68"/>
    <x v="1"/>
    <x v="4"/>
    <n v="2"/>
    <n v="2"/>
    <x v="0"/>
    <n v="210.00000000022101"/>
    <x v="0"/>
    <n v="175160"/>
    <n v="1000"/>
    <n v="100"/>
    <x v="0"/>
    <n v="181807.17"/>
    <x v="935"/>
    <x v="0"/>
  </r>
  <r>
    <n v="69"/>
    <x v="1"/>
    <x v="4"/>
    <n v="2"/>
    <n v="3"/>
    <x v="0"/>
    <n v="292.59999999986502"/>
    <x v="0"/>
    <n v="386187"/>
    <n v="1000"/>
    <n v="100"/>
    <x v="0"/>
    <n v="177427.17"/>
    <x v="936"/>
    <x v="1"/>
  </r>
  <r>
    <n v="28"/>
    <x v="1"/>
    <x v="1"/>
    <n v="2"/>
    <n v="1"/>
    <x v="0"/>
    <n v="541.19999999961999"/>
    <x v="0"/>
    <n v="37176.000000000502"/>
    <n v="2000"/>
    <n v="100"/>
    <x v="0"/>
    <n v="350844.77"/>
    <x v="937"/>
    <x v="0"/>
  </r>
  <r>
    <n v="29"/>
    <x v="1"/>
    <x v="2"/>
    <n v="2"/>
    <n v="2"/>
    <x v="0"/>
    <n v="547.39999999959798"/>
    <x v="0"/>
    <n v="71896.000000000597"/>
    <n v="2000"/>
    <n v="100"/>
    <x v="0"/>
    <n v="377324.77"/>
    <x v="938"/>
    <x v="0"/>
  </r>
  <r>
    <n v="30"/>
    <x v="1"/>
    <x v="2"/>
    <n v="2"/>
    <n v="3"/>
    <x v="0"/>
    <n v="598.60000000000502"/>
    <x v="0"/>
    <n v="251473"/>
    <n v="2000"/>
    <n v="100"/>
    <x v="0"/>
    <n v="381965.57"/>
    <x v="939"/>
    <x v="1"/>
  </r>
  <r>
    <n v="31"/>
    <x v="1"/>
    <x v="2"/>
    <n v="2"/>
    <n v="1"/>
    <x v="0"/>
    <n v="351.19999999970702"/>
    <x v="0"/>
    <n v="68826.999999999796"/>
    <n v="2000"/>
    <n v="100"/>
    <x v="0"/>
    <n v="335604.77"/>
    <x v="940"/>
    <x v="0"/>
  </r>
  <r>
    <n v="32"/>
    <x v="1"/>
    <x v="2"/>
    <n v="2"/>
    <n v="2"/>
    <x v="0"/>
    <n v="356.00000000002302"/>
    <x v="0"/>
    <n v="64877.000000000102"/>
    <n v="2000"/>
    <n v="100"/>
    <x v="0"/>
    <n v="349485.17"/>
    <x v="941"/>
    <x v="0"/>
  </r>
  <r>
    <n v="33"/>
    <x v="1"/>
    <x v="2"/>
    <n v="2"/>
    <n v="3"/>
    <x v="0"/>
    <n v="485.39999999981399"/>
    <x v="0"/>
    <n v="255639"/>
    <n v="2000"/>
    <n v="100"/>
    <x v="0"/>
    <n v="425804.77"/>
    <x v="942"/>
    <x v="0"/>
  </r>
  <r>
    <n v="34"/>
    <x v="1"/>
    <x v="2"/>
    <n v="2"/>
    <n v="1"/>
    <x v="0"/>
    <n v="307.60000000000798"/>
    <x v="0"/>
    <n v="49771.999999999898"/>
    <n v="2000"/>
    <n v="100"/>
    <x v="0"/>
    <n v="429524.77"/>
    <x v="943"/>
    <x v="0"/>
  </r>
  <r>
    <n v="35"/>
    <x v="1"/>
    <x v="3"/>
    <n v="2"/>
    <n v="1"/>
    <x v="0"/>
    <n v="378.80000000036802"/>
    <x v="0"/>
    <n v="110241"/>
    <n v="2000"/>
    <n v="100"/>
    <x v="0"/>
    <n v="384725.17"/>
    <x v="944"/>
    <x v="0"/>
  </r>
  <r>
    <n v="36"/>
    <x v="1"/>
    <x v="3"/>
    <n v="2"/>
    <n v="2"/>
    <x v="0"/>
    <n v="225.399999999709"/>
    <x v="0"/>
    <n v="111119"/>
    <n v="2000"/>
    <n v="100"/>
    <x v="0"/>
    <n v="384965.17"/>
    <x v="945"/>
    <x v="0"/>
  </r>
  <r>
    <n v="37"/>
    <x v="1"/>
    <x v="3"/>
    <n v="2"/>
    <n v="3"/>
    <x v="0"/>
    <n v="317.40000000049002"/>
    <x v="0"/>
    <n v="450438.99999999901"/>
    <n v="2000"/>
    <n v="100"/>
    <x v="0"/>
    <n v="370764.37"/>
    <x v="946"/>
    <x v="1"/>
  </r>
  <r>
    <n v="38"/>
    <x v="1"/>
    <x v="3"/>
    <n v="2"/>
    <n v="1"/>
    <x v="0"/>
    <n v="206.39999999971801"/>
    <x v="0"/>
    <n v="136472"/>
    <n v="2000"/>
    <n v="100"/>
    <x v="0"/>
    <n v="347885.17"/>
    <x v="947"/>
    <x v="0"/>
  </r>
  <r>
    <n v="39"/>
    <x v="1"/>
    <x v="4"/>
    <n v="2"/>
    <n v="1"/>
    <x v="0"/>
    <n v="257.600000000124"/>
    <x v="0"/>
    <n v="207379"/>
    <n v="2000"/>
    <n v="100"/>
    <x v="0"/>
    <n v="422524.37"/>
    <x v="948"/>
    <x v="0"/>
  </r>
  <r>
    <n v="40"/>
    <x v="1"/>
    <x v="4"/>
    <n v="2"/>
    <n v="2"/>
    <x v="0"/>
    <n v="242.59999999962599"/>
    <x v="0"/>
    <n v="197622"/>
    <n v="2000"/>
    <n v="100"/>
    <x v="0"/>
    <n v="354525.17"/>
    <x v="949"/>
    <x v="0"/>
  </r>
  <r>
    <n v="41"/>
    <x v="1"/>
    <x v="4"/>
    <n v="2"/>
    <n v="3"/>
    <x v="0"/>
    <n v="354.20000000030399"/>
    <x v="0"/>
    <n v="1010568"/>
    <n v="2000"/>
    <n v="100"/>
    <x v="0"/>
    <n v="412525.57"/>
    <x v="950"/>
    <x v="1"/>
  </r>
  <r>
    <n v="42"/>
    <x v="1"/>
    <x v="1"/>
    <n v="2"/>
    <n v="1"/>
    <x v="0"/>
    <n v="129.800000000202"/>
    <x v="0"/>
    <n v="33082.000000000298"/>
    <n v="2000"/>
    <n v="100"/>
    <x v="0"/>
    <n v="368645.57"/>
    <x v="951"/>
    <x v="0"/>
  </r>
  <r>
    <n v="43"/>
    <x v="1"/>
    <x v="2"/>
    <n v="2"/>
    <n v="1"/>
    <x v="0"/>
    <n v="157.00000000009601"/>
    <x v="0"/>
    <n v="50701.000000000102"/>
    <n v="2000"/>
    <n v="100"/>
    <x v="0"/>
    <n v="354845.57"/>
    <x v="952"/>
    <x v="0"/>
  </r>
  <r>
    <n v="44"/>
    <x v="1"/>
    <x v="2"/>
    <n v="2"/>
    <n v="2"/>
    <x v="0"/>
    <n v="156.599999999685"/>
    <x v="0"/>
    <n v="66129.000000000102"/>
    <n v="2000"/>
    <n v="100"/>
    <x v="0"/>
    <n v="356525.17"/>
    <x v="953"/>
    <x v="0"/>
  </r>
  <r>
    <n v="45"/>
    <x v="1"/>
    <x v="2"/>
    <n v="2"/>
    <n v="3"/>
    <x v="0"/>
    <n v="211.00000000018301"/>
    <x v="0"/>
    <n v="256781.99999999901"/>
    <n v="2000"/>
    <n v="100"/>
    <x v="0"/>
    <n v="360525.57"/>
    <x v="954"/>
    <x v="1"/>
  </r>
  <r>
    <n v="46"/>
    <x v="1"/>
    <x v="3"/>
    <n v="2"/>
    <n v="1"/>
    <x v="0"/>
    <n v="189.400000000006"/>
    <x v="0"/>
    <n v="193839"/>
    <n v="2000"/>
    <n v="100"/>
    <x v="0"/>
    <n v="365646.37"/>
    <x v="955"/>
    <x v="0"/>
  </r>
  <r>
    <n v="47"/>
    <x v="1"/>
    <x v="3"/>
    <n v="2"/>
    <n v="2"/>
    <x v="0"/>
    <n v="193.80000000026601"/>
    <x v="0"/>
    <n v="113693.999999999"/>
    <n v="2000"/>
    <n v="100"/>
    <x v="0"/>
    <n v="356805.57"/>
    <x v="956"/>
    <x v="0"/>
  </r>
  <r>
    <n v="48"/>
    <x v="1"/>
    <x v="3"/>
    <n v="2"/>
    <n v="3"/>
    <x v="0"/>
    <n v="249.79999999992199"/>
    <x v="0"/>
    <n v="251965"/>
    <n v="2000"/>
    <n v="100"/>
    <x v="0"/>
    <n v="442725.97"/>
    <x v="957"/>
    <x v="0"/>
  </r>
  <r>
    <n v="49"/>
    <x v="1"/>
    <x v="3"/>
    <n v="2"/>
    <n v="1"/>
    <x v="0"/>
    <n v="183.19999999931699"/>
    <x v="0"/>
    <n v="102215.999999999"/>
    <n v="2000"/>
    <n v="100"/>
    <x v="0"/>
    <n v="384285.17"/>
    <x v="958"/>
    <x v="0"/>
  </r>
  <r>
    <n v="50"/>
    <x v="1"/>
    <x v="3"/>
    <n v="2"/>
    <n v="2"/>
    <x v="0"/>
    <n v="190.800000000024"/>
    <x v="0"/>
    <n v="146021.99999999901"/>
    <n v="2000"/>
    <n v="100"/>
    <x v="0"/>
    <n v="350285.57"/>
    <x v="959"/>
    <x v="0"/>
  </r>
  <r>
    <n v="51"/>
    <x v="1"/>
    <x v="3"/>
    <n v="2"/>
    <n v="3"/>
    <x v="0"/>
    <n v="252.19999999990301"/>
    <x v="0"/>
    <n v="203922"/>
    <n v="2000"/>
    <n v="100"/>
    <x v="0"/>
    <n v="380724.37"/>
    <x v="960"/>
    <x v="1"/>
  </r>
  <r>
    <n v="52"/>
    <x v="1"/>
    <x v="4"/>
    <n v="2"/>
    <n v="1"/>
    <x v="0"/>
    <n v="219.40000000029201"/>
    <x v="0"/>
    <n v="251747"/>
    <n v="2000"/>
    <n v="100"/>
    <x v="0"/>
    <n v="351805.17"/>
    <x v="961"/>
    <x v="0"/>
  </r>
  <r>
    <n v="53"/>
    <x v="1"/>
    <x v="4"/>
    <n v="2"/>
    <n v="2"/>
    <x v="0"/>
    <n v="218.80000000038501"/>
    <x v="0"/>
    <n v="209296.99999999901"/>
    <n v="2000"/>
    <n v="100"/>
    <x v="0"/>
    <n v="387645.17"/>
    <x v="962"/>
    <x v="0"/>
  </r>
  <r>
    <n v="54"/>
    <x v="1"/>
    <x v="4"/>
    <n v="2"/>
    <n v="3"/>
    <x v="0"/>
    <n v="306.40000000019501"/>
    <x v="0"/>
    <n v="515255"/>
    <n v="2000"/>
    <n v="100"/>
    <x v="0"/>
    <n v="394244.37"/>
    <x v="963"/>
    <x v="1"/>
  </r>
  <r>
    <n v="55"/>
    <x v="1"/>
    <x v="2"/>
    <n v="2"/>
    <n v="1"/>
    <x v="0"/>
    <n v="140.60000000064599"/>
    <x v="0"/>
    <n v="51733.999999999702"/>
    <n v="2000"/>
    <n v="100"/>
    <x v="0"/>
    <n v="367405.17"/>
    <x v="964"/>
    <x v="0"/>
  </r>
  <r>
    <n v="56"/>
    <x v="1"/>
    <x v="2"/>
    <n v="2"/>
    <n v="2"/>
    <x v="0"/>
    <n v="137.60000000004899"/>
    <x v="0"/>
    <n v="57291.000000001099"/>
    <n v="2000"/>
    <n v="100"/>
    <x v="0"/>
    <n v="340365.17"/>
    <x v="965"/>
    <x v="0"/>
  </r>
  <r>
    <n v="57"/>
    <x v="1"/>
    <x v="2"/>
    <n v="2"/>
    <n v="3"/>
    <x v="0"/>
    <n v="183.39999999987799"/>
    <x v="0"/>
    <n v="96692.000000000902"/>
    <n v="2000"/>
    <n v="100"/>
    <x v="0"/>
    <n v="430245.57"/>
    <x v="966"/>
    <x v="0"/>
  </r>
  <r>
    <n v="58"/>
    <x v="1"/>
    <x v="3"/>
    <n v="2"/>
    <n v="1"/>
    <x v="0"/>
    <n v="215.599999999228"/>
    <x v="0"/>
    <n v="86040.000000000597"/>
    <n v="2000"/>
    <n v="100"/>
    <x v="0"/>
    <n v="374245.17"/>
    <x v="967"/>
    <x v="0"/>
  </r>
  <r>
    <n v="59"/>
    <x v="1"/>
    <x v="3"/>
    <n v="2"/>
    <n v="2"/>
    <x v="0"/>
    <n v="212.39999999984599"/>
    <x v="0"/>
    <n v="68540.000000000495"/>
    <n v="2000"/>
    <n v="100"/>
    <x v="0"/>
    <n v="336005.57"/>
    <x v="968"/>
    <x v="0"/>
  </r>
  <r>
    <n v="60"/>
    <x v="1"/>
    <x v="3"/>
    <n v="2"/>
    <n v="3"/>
    <x v="0"/>
    <n v="288.40000000016602"/>
    <x v="0"/>
    <n v="278874.99999999901"/>
    <n v="2000"/>
    <n v="100"/>
    <x v="0"/>
    <n v="360245.97"/>
    <x v="969"/>
    <x v="1"/>
  </r>
  <r>
    <n v="61"/>
    <x v="1"/>
    <x v="4"/>
    <n v="2"/>
    <n v="1"/>
    <x v="0"/>
    <n v="230.60000000043601"/>
    <x v="0"/>
    <n v="161028"/>
    <n v="2000"/>
    <n v="100"/>
    <x v="0"/>
    <n v="437725.17"/>
    <x v="970"/>
    <x v="0"/>
  </r>
  <r>
    <n v="62"/>
    <x v="1"/>
    <x v="4"/>
    <n v="2"/>
    <n v="2"/>
    <x v="0"/>
    <n v="233.80000000017299"/>
    <x v="0"/>
    <n v="123650"/>
    <n v="2000"/>
    <n v="100"/>
    <x v="0"/>
    <n v="386725.57"/>
    <x v="971"/>
    <x v="0"/>
  </r>
  <r>
    <n v="63"/>
    <x v="1"/>
    <x v="4"/>
    <n v="2"/>
    <n v="3"/>
    <x v="0"/>
    <n v="359.799999999666"/>
    <x v="0"/>
    <n v="395599.00000000099"/>
    <n v="2000"/>
    <n v="100"/>
    <x v="0"/>
    <n v="377365.97"/>
    <x v="972"/>
    <x v="1"/>
  </r>
  <r>
    <n v="64"/>
    <x v="1"/>
    <x v="5"/>
    <n v="2"/>
    <n v="1"/>
    <x v="0"/>
    <n v="274.00000000028501"/>
    <x v="0"/>
    <n v="279384"/>
    <n v="2000"/>
    <n v="100"/>
    <x v="0"/>
    <n v="357525.97"/>
    <x v="973"/>
    <x v="0"/>
  </r>
  <r>
    <n v="65"/>
    <x v="1"/>
    <x v="5"/>
    <n v="2"/>
    <n v="2"/>
    <x v="0"/>
    <n v="271.20000000024902"/>
    <x v="0"/>
    <n v="345789"/>
    <n v="2000"/>
    <n v="100"/>
    <x v="0"/>
    <n v="390205.57"/>
    <x v="974"/>
    <x v="0"/>
  </r>
  <r>
    <n v="66"/>
    <x v="1"/>
    <x v="5"/>
    <n v="2"/>
    <n v="3"/>
    <x v="0"/>
    <n v="390.99999999976399"/>
    <x v="0"/>
    <n v="1149315"/>
    <n v="2000"/>
    <n v="100"/>
    <x v="0"/>
    <n v="393484.77"/>
    <x v="975"/>
    <x v="1"/>
  </r>
  <r>
    <n v="67"/>
    <x v="1"/>
    <x v="4"/>
    <n v="2"/>
    <n v="1"/>
    <x v="0"/>
    <n v="210.20000000007099"/>
    <x v="0"/>
    <n v="176762"/>
    <n v="2000"/>
    <n v="100"/>
    <x v="0"/>
    <n v="379524.37"/>
    <x v="976"/>
    <x v="0"/>
  </r>
  <r>
    <n v="68"/>
    <x v="1"/>
    <x v="4"/>
    <n v="2"/>
    <n v="2"/>
    <x v="0"/>
    <n v="210.00000000022101"/>
    <x v="0"/>
    <n v="175160"/>
    <n v="2000"/>
    <n v="100"/>
    <x v="0"/>
    <n v="347684.37"/>
    <x v="977"/>
    <x v="0"/>
  </r>
  <r>
    <n v="69"/>
    <x v="1"/>
    <x v="4"/>
    <n v="2"/>
    <n v="3"/>
    <x v="0"/>
    <n v="292.59999999986502"/>
    <x v="0"/>
    <n v="386187"/>
    <n v="2000"/>
    <n v="100"/>
    <x v="0"/>
    <n v="338923.97"/>
    <x v="978"/>
    <x v="1"/>
  </r>
  <r>
    <n v="28"/>
    <x v="1"/>
    <x v="1"/>
    <n v="2"/>
    <n v="1"/>
    <x v="0"/>
    <n v="541.19999999961999"/>
    <x v="0"/>
    <n v="37176.000000000502"/>
    <n v="3000"/>
    <n v="100"/>
    <x v="0"/>
    <n v="518308.37"/>
    <x v="979"/>
    <x v="0"/>
  </r>
  <r>
    <n v="29"/>
    <x v="1"/>
    <x v="2"/>
    <n v="2"/>
    <n v="2"/>
    <x v="0"/>
    <n v="547.39999999959798"/>
    <x v="0"/>
    <n v="71896.000000000597"/>
    <n v="3000"/>
    <n v="100"/>
    <x v="0"/>
    <n v="558027.56999999995"/>
    <x v="980"/>
    <x v="0"/>
  </r>
  <r>
    <n v="30"/>
    <x v="1"/>
    <x v="2"/>
    <n v="2"/>
    <n v="3"/>
    <x v="0"/>
    <n v="598.60000000000502"/>
    <x v="0"/>
    <n v="251473"/>
    <n v="3000"/>
    <n v="100"/>
    <x v="0"/>
    <n v="564988.37"/>
    <x v="981"/>
    <x v="1"/>
  </r>
  <r>
    <n v="31"/>
    <x v="1"/>
    <x v="2"/>
    <n v="2"/>
    <n v="1"/>
    <x v="0"/>
    <n v="351.19999999970702"/>
    <x v="0"/>
    <n v="68826.999999999796"/>
    <n v="3000"/>
    <n v="100"/>
    <x v="0"/>
    <n v="495447.97"/>
    <x v="982"/>
    <x v="0"/>
  </r>
  <r>
    <n v="32"/>
    <x v="1"/>
    <x v="2"/>
    <n v="2"/>
    <n v="2"/>
    <x v="0"/>
    <n v="356.00000000002302"/>
    <x v="0"/>
    <n v="64877.000000000102"/>
    <n v="3000"/>
    <n v="100"/>
    <x v="0"/>
    <n v="516267.97"/>
    <x v="983"/>
    <x v="0"/>
  </r>
  <r>
    <n v="33"/>
    <x v="1"/>
    <x v="2"/>
    <n v="2"/>
    <n v="3"/>
    <x v="0"/>
    <n v="485.39999999981399"/>
    <x v="0"/>
    <n v="255639"/>
    <n v="3000"/>
    <n v="100"/>
    <x v="0"/>
    <n v="630747.17000000004"/>
    <x v="984"/>
    <x v="1"/>
  </r>
  <r>
    <n v="34"/>
    <x v="1"/>
    <x v="2"/>
    <n v="2"/>
    <n v="1"/>
    <x v="0"/>
    <n v="307.60000000000798"/>
    <x v="0"/>
    <n v="49771.999999999898"/>
    <n v="3000"/>
    <n v="100"/>
    <x v="0"/>
    <n v="636327.56999999995"/>
    <x v="985"/>
    <x v="0"/>
  </r>
  <r>
    <n v="35"/>
    <x v="1"/>
    <x v="3"/>
    <n v="2"/>
    <n v="1"/>
    <x v="0"/>
    <n v="378.80000000036802"/>
    <x v="0"/>
    <n v="110241"/>
    <n v="3000"/>
    <n v="100"/>
    <x v="0"/>
    <n v="569128.37"/>
    <x v="986"/>
    <x v="0"/>
  </r>
  <r>
    <n v="36"/>
    <x v="1"/>
    <x v="3"/>
    <n v="2"/>
    <n v="2"/>
    <x v="0"/>
    <n v="225.399999999709"/>
    <x v="0"/>
    <n v="111119"/>
    <n v="3000"/>
    <n v="100"/>
    <x v="0"/>
    <n v="569487.97"/>
    <x v="987"/>
    <x v="0"/>
  </r>
  <r>
    <n v="37"/>
    <x v="1"/>
    <x v="3"/>
    <n v="2"/>
    <n v="3"/>
    <x v="0"/>
    <n v="317.40000000049002"/>
    <x v="0"/>
    <n v="450438.99999999901"/>
    <n v="3000"/>
    <n v="100"/>
    <x v="0"/>
    <n v="548187.56999999995"/>
    <x v="988"/>
    <x v="1"/>
  </r>
  <r>
    <n v="38"/>
    <x v="1"/>
    <x v="3"/>
    <n v="2"/>
    <n v="1"/>
    <x v="0"/>
    <n v="206.39999999971801"/>
    <x v="0"/>
    <n v="136472"/>
    <n v="3000"/>
    <n v="100"/>
    <x v="0"/>
    <n v="513867.57"/>
    <x v="989"/>
    <x v="0"/>
  </r>
  <r>
    <n v="39"/>
    <x v="1"/>
    <x v="4"/>
    <n v="2"/>
    <n v="1"/>
    <x v="0"/>
    <n v="257.600000000124"/>
    <x v="0"/>
    <n v="207379"/>
    <n v="3000"/>
    <n v="100"/>
    <x v="0"/>
    <n v="625827.17000000004"/>
    <x v="990"/>
    <x v="0"/>
  </r>
  <r>
    <n v="40"/>
    <x v="1"/>
    <x v="4"/>
    <n v="2"/>
    <n v="2"/>
    <x v="0"/>
    <n v="242.59999999962599"/>
    <x v="0"/>
    <n v="197622"/>
    <n v="3000"/>
    <n v="100"/>
    <x v="0"/>
    <n v="523827.97"/>
    <x v="991"/>
    <x v="0"/>
  </r>
  <r>
    <n v="41"/>
    <x v="1"/>
    <x v="4"/>
    <n v="2"/>
    <n v="3"/>
    <x v="0"/>
    <n v="354.20000000030399"/>
    <x v="0"/>
    <n v="1010568"/>
    <n v="3000"/>
    <n v="100"/>
    <x v="0"/>
    <n v="610828.37"/>
    <x v="992"/>
    <x v="0"/>
  </r>
  <r>
    <n v="42"/>
    <x v="1"/>
    <x v="1"/>
    <n v="2"/>
    <n v="1"/>
    <x v="0"/>
    <n v="129.800000000202"/>
    <x v="0"/>
    <n v="33082.000000000298"/>
    <n v="3000"/>
    <n v="100"/>
    <x v="0"/>
    <n v="545008.37"/>
    <x v="993"/>
    <x v="0"/>
  </r>
  <r>
    <n v="43"/>
    <x v="1"/>
    <x v="2"/>
    <n v="2"/>
    <n v="1"/>
    <x v="0"/>
    <n v="157.00000000009601"/>
    <x v="0"/>
    <n v="50701.000000000102"/>
    <n v="3000"/>
    <n v="100"/>
    <x v="0"/>
    <n v="524308.77"/>
    <x v="994"/>
    <x v="0"/>
  </r>
  <r>
    <n v="44"/>
    <x v="1"/>
    <x v="2"/>
    <n v="2"/>
    <n v="2"/>
    <x v="0"/>
    <n v="156.599999999685"/>
    <x v="0"/>
    <n v="66129.000000000102"/>
    <n v="3000"/>
    <n v="100"/>
    <x v="0"/>
    <n v="526828.37"/>
    <x v="995"/>
    <x v="0"/>
  </r>
  <r>
    <n v="45"/>
    <x v="1"/>
    <x v="2"/>
    <n v="2"/>
    <n v="3"/>
    <x v="0"/>
    <n v="211.00000000018301"/>
    <x v="0"/>
    <n v="256781.99999999901"/>
    <n v="3000"/>
    <n v="100"/>
    <x v="0"/>
    <n v="532827.56999999995"/>
    <x v="996"/>
    <x v="0"/>
  </r>
  <r>
    <n v="46"/>
    <x v="1"/>
    <x v="3"/>
    <n v="2"/>
    <n v="1"/>
    <x v="0"/>
    <n v="189.400000000006"/>
    <x v="0"/>
    <n v="193839"/>
    <n v="3000"/>
    <n v="100"/>
    <x v="0"/>
    <n v="540509.17000000004"/>
    <x v="997"/>
    <x v="0"/>
  </r>
  <r>
    <n v="47"/>
    <x v="1"/>
    <x v="3"/>
    <n v="2"/>
    <n v="2"/>
    <x v="0"/>
    <n v="193.80000000026601"/>
    <x v="0"/>
    <n v="113693.999999999"/>
    <n v="3000"/>
    <n v="100"/>
    <x v="0"/>
    <n v="527247.56999999995"/>
    <x v="998"/>
    <x v="0"/>
  </r>
  <r>
    <n v="48"/>
    <x v="1"/>
    <x v="3"/>
    <n v="2"/>
    <n v="3"/>
    <x v="0"/>
    <n v="249.79999999992199"/>
    <x v="0"/>
    <n v="251965"/>
    <n v="3000"/>
    <n v="100"/>
    <x v="0"/>
    <n v="656129.17000000004"/>
    <x v="999"/>
    <x v="0"/>
  </r>
  <r>
    <n v="49"/>
    <x v="1"/>
    <x v="3"/>
    <n v="2"/>
    <n v="1"/>
    <x v="0"/>
    <n v="183.19999999931699"/>
    <x v="0"/>
    <n v="102215.999999999"/>
    <n v="3000"/>
    <n v="100"/>
    <x v="0"/>
    <n v="568468.37"/>
    <x v="1000"/>
    <x v="0"/>
  </r>
  <r>
    <n v="50"/>
    <x v="1"/>
    <x v="3"/>
    <n v="2"/>
    <n v="2"/>
    <x v="0"/>
    <n v="190.800000000024"/>
    <x v="0"/>
    <n v="146021.99999999901"/>
    <n v="3000"/>
    <n v="100"/>
    <x v="0"/>
    <n v="517468.37"/>
    <x v="1001"/>
    <x v="0"/>
  </r>
  <r>
    <n v="51"/>
    <x v="1"/>
    <x v="3"/>
    <n v="2"/>
    <n v="3"/>
    <x v="0"/>
    <n v="252.19999999990301"/>
    <x v="0"/>
    <n v="203922"/>
    <n v="3000"/>
    <n v="100"/>
    <x v="0"/>
    <n v="563127.17000000004"/>
    <x v="1002"/>
    <x v="0"/>
  </r>
  <r>
    <n v="52"/>
    <x v="1"/>
    <x v="4"/>
    <n v="2"/>
    <n v="1"/>
    <x v="0"/>
    <n v="219.40000000029201"/>
    <x v="0"/>
    <n v="251747"/>
    <n v="3000"/>
    <n v="100"/>
    <x v="0"/>
    <n v="519747.57"/>
    <x v="1003"/>
    <x v="0"/>
  </r>
  <r>
    <n v="53"/>
    <x v="1"/>
    <x v="4"/>
    <n v="2"/>
    <n v="2"/>
    <x v="0"/>
    <n v="218.80000000038501"/>
    <x v="0"/>
    <n v="209296.99999999901"/>
    <n v="3000"/>
    <n v="100"/>
    <x v="0"/>
    <n v="573507.97"/>
    <x v="1004"/>
    <x v="0"/>
  </r>
  <r>
    <n v="54"/>
    <x v="1"/>
    <x v="4"/>
    <n v="2"/>
    <n v="3"/>
    <x v="0"/>
    <n v="306.40000000019501"/>
    <x v="0"/>
    <n v="515255"/>
    <n v="3000"/>
    <n v="100"/>
    <x v="0"/>
    <n v="583406.77"/>
    <x v="1005"/>
    <x v="1"/>
  </r>
  <r>
    <n v="55"/>
    <x v="1"/>
    <x v="2"/>
    <n v="2"/>
    <n v="1"/>
    <x v="0"/>
    <n v="140.60000000064599"/>
    <x v="0"/>
    <n v="51733.999999999702"/>
    <n v="3000"/>
    <n v="100"/>
    <x v="0"/>
    <n v="543148.37"/>
    <x v="1006"/>
    <x v="0"/>
  </r>
  <r>
    <n v="56"/>
    <x v="1"/>
    <x v="2"/>
    <n v="2"/>
    <n v="2"/>
    <x v="0"/>
    <n v="137.60000000004899"/>
    <x v="0"/>
    <n v="57291.000000001099"/>
    <n v="3000"/>
    <n v="100"/>
    <x v="0"/>
    <n v="502587.97"/>
    <x v="1007"/>
    <x v="0"/>
  </r>
  <r>
    <n v="57"/>
    <x v="1"/>
    <x v="2"/>
    <n v="2"/>
    <n v="3"/>
    <x v="0"/>
    <n v="183.39999999987799"/>
    <x v="0"/>
    <n v="96692.000000000902"/>
    <n v="3000"/>
    <n v="100"/>
    <x v="0"/>
    <n v="637407.97"/>
    <x v="1008"/>
    <x v="0"/>
  </r>
  <r>
    <n v="58"/>
    <x v="1"/>
    <x v="3"/>
    <n v="2"/>
    <n v="1"/>
    <x v="0"/>
    <n v="215.599999999228"/>
    <x v="0"/>
    <n v="86040.000000000597"/>
    <n v="3000"/>
    <n v="100"/>
    <x v="0"/>
    <n v="553407.97"/>
    <x v="1009"/>
    <x v="0"/>
  </r>
  <r>
    <n v="59"/>
    <x v="1"/>
    <x v="3"/>
    <n v="2"/>
    <n v="2"/>
    <x v="0"/>
    <n v="212.39999999984599"/>
    <x v="0"/>
    <n v="68540.000000000495"/>
    <n v="3000"/>
    <n v="100"/>
    <x v="0"/>
    <n v="496047.97"/>
    <x v="1010"/>
    <x v="0"/>
  </r>
  <r>
    <n v="60"/>
    <x v="1"/>
    <x v="3"/>
    <n v="2"/>
    <n v="3"/>
    <x v="0"/>
    <n v="288.40000000016602"/>
    <x v="0"/>
    <n v="278874.99999999901"/>
    <n v="3000"/>
    <n v="100"/>
    <x v="0"/>
    <n v="532409.56999999995"/>
    <x v="1011"/>
    <x v="0"/>
  </r>
  <r>
    <n v="61"/>
    <x v="1"/>
    <x v="4"/>
    <n v="2"/>
    <n v="1"/>
    <x v="0"/>
    <n v="230.60000000043601"/>
    <x v="0"/>
    <n v="161028"/>
    <n v="3000"/>
    <n v="100"/>
    <x v="0"/>
    <n v="648627.97"/>
    <x v="1012"/>
    <x v="0"/>
  </r>
  <r>
    <n v="62"/>
    <x v="1"/>
    <x v="4"/>
    <n v="2"/>
    <n v="2"/>
    <x v="0"/>
    <n v="233.80000000017299"/>
    <x v="0"/>
    <n v="123650"/>
    <n v="3000"/>
    <n v="100"/>
    <x v="0"/>
    <n v="572128.77"/>
    <x v="1013"/>
    <x v="0"/>
  </r>
  <r>
    <n v="63"/>
    <x v="1"/>
    <x v="4"/>
    <n v="2"/>
    <n v="3"/>
    <x v="0"/>
    <n v="359.799999999666"/>
    <x v="0"/>
    <n v="395599.00000000099"/>
    <n v="3000"/>
    <n v="100"/>
    <x v="0"/>
    <n v="558089.56999999995"/>
    <x v="1014"/>
    <x v="1"/>
  </r>
  <r>
    <n v="64"/>
    <x v="1"/>
    <x v="5"/>
    <n v="2"/>
    <n v="1"/>
    <x v="0"/>
    <n v="274.00000000028501"/>
    <x v="0"/>
    <n v="279384"/>
    <n v="3000"/>
    <n v="100"/>
    <x v="0"/>
    <n v="528328.77"/>
    <x v="1015"/>
    <x v="0"/>
  </r>
  <r>
    <n v="65"/>
    <x v="1"/>
    <x v="5"/>
    <n v="2"/>
    <n v="2"/>
    <x v="0"/>
    <n v="271.20000000024902"/>
    <x v="0"/>
    <n v="345789"/>
    <n v="3000"/>
    <n v="100"/>
    <x v="0"/>
    <n v="577348.77"/>
    <x v="1016"/>
    <x v="0"/>
  </r>
  <r>
    <n v="66"/>
    <x v="1"/>
    <x v="5"/>
    <n v="2"/>
    <n v="3"/>
    <x v="0"/>
    <n v="390.99999999976399"/>
    <x v="0"/>
    <n v="1149315"/>
    <n v="3000"/>
    <n v="100"/>
    <x v="0"/>
    <n v="582268.37"/>
    <x v="1017"/>
    <x v="1"/>
  </r>
  <r>
    <n v="67"/>
    <x v="1"/>
    <x v="4"/>
    <n v="2"/>
    <n v="1"/>
    <x v="0"/>
    <n v="210.20000000007099"/>
    <x v="0"/>
    <n v="176762"/>
    <n v="3000"/>
    <n v="100"/>
    <x v="0"/>
    <n v="561327.97"/>
    <x v="1018"/>
    <x v="0"/>
  </r>
  <r>
    <n v="68"/>
    <x v="1"/>
    <x v="4"/>
    <n v="2"/>
    <n v="2"/>
    <x v="0"/>
    <n v="210.00000000022101"/>
    <x v="0"/>
    <n v="175160"/>
    <n v="3000"/>
    <n v="100"/>
    <x v="0"/>
    <n v="513567.17"/>
    <x v="1019"/>
    <x v="0"/>
  </r>
  <r>
    <n v="69"/>
    <x v="1"/>
    <x v="4"/>
    <n v="2"/>
    <n v="3"/>
    <x v="0"/>
    <n v="292.59999999986502"/>
    <x v="0"/>
    <n v="386187"/>
    <n v="3000"/>
    <n v="100"/>
    <x v="0"/>
    <n v="500427.17"/>
    <x v="1020"/>
    <x v="1"/>
  </r>
  <r>
    <n v="28"/>
    <x v="1"/>
    <x v="1"/>
    <n v="2"/>
    <n v="1"/>
    <x v="0"/>
    <n v="541.19999999961999"/>
    <x v="0"/>
    <n v="37176.000000000502"/>
    <n v="2000"/>
    <n v="200"/>
    <x v="0"/>
    <n v="550847.97"/>
    <x v="1021"/>
    <x v="0"/>
  </r>
  <r>
    <n v="29"/>
    <x v="1"/>
    <x v="2"/>
    <n v="2"/>
    <n v="2"/>
    <x v="0"/>
    <n v="547.39999999959798"/>
    <x v="0"/>
    <n v="71896.000000000597"/>
    <n v="2000"/>
    <n v="200"/>
    <x v="0"/>
    <n v="577327.17000000004"/>
    <x v="1022"/>
    <x v="0"/>
  </r>
  <r>
    <n v="30"/>
    <x v="1"/>
    <x v="2"/>
    <n v="2"/>
    <n v="3"/>
    <x v="0"/>
    <n v="598.60000000000502"/>
    <x v="0"/>
    <n v="251473"/>
    <n v="2000"/>
    <n v="200"/>
    <x v="0"/>
    <n v="581968.77"/>
    <x v="1023"/>
    <x v="1"/>
  </r>
  <r>
    <n v="31"/>
    <x v="1"/>
    <x v="2"/>
    <n v="2"/>
    <n v="1"/>
    <x v="0"/>
    <n v="351.19999999970702"/>
    <x v="0"/>
    <n v="68826.999999999796"/>
    <n v="2000"/>
    <n v="200"/>
    <x v="0"/>
    <n v="535607.17000000004"/>
    <x v="1024"/>
    <x v="0"/>
  </r>
  <r>
    <n v="32"/>
    <x v="1"/>
    <x v="2"/>
    <n v="2"/>
    <n v="2"/>
    <x v="0"/>
    <n v="356.00000000002302"/>
    <x v="0"/>
    <n v="64877.000000000102"/>
    <n v="2000"/>
    <n v="200"/>
    <x v="0"/>
    <n v="549487.56999999995"/>
    <x v="1025"/>
    <x v="0"/>
  </r>
  <r>
    <n v="33"/>
    <x v="1"/>
    <x v="2"/>
    <n v="2"/>
    <n v="3"/>
    <x v="0"/>
    <n v="485.39999999981399"/>
    <x v="0"/>
    <n v="255639"/>
    <n v="2000"/>
    <n v="200"/>
    <x v="0"/>
    <n v="625807.17000000004"/>
    <x v="1026"/>
    <x v="0"/>
  </r>
  <r>
    <n v="34"/>
    <x v="1"/>
    <x v="2"/>
    <n v="2"/>
    <n v="1"/>
    <x v="0"/>
    <n v="307.60000000000798"/>
    <x v="0"/>
    <n v="49771.999999999898"/>
    <n v="2000"/>
    <n v="200"/>
    <x v="0"/>
    <n v="629527.17000000004"/>
    <x v="1027"/>
    <x v="0"/>
  </r>
  <r>
    <n v="35"/>
    <x v="1"/>
    <x v="3"/>
    <n v="2"/>
    <n v="1"/>
    <x v="0"/>
    <n v="378.80000000036802"/>
    <x v="0"/>
    <n v="110241"/>
    <n v="2000"/>
    <n v="200"/>
    <x v="0"/>
    <n v="584727.56999999995"/>
    <x v="1028"/>
    <x v="0"/>
  </r>
  <r>
    <n v="36"/>
    <x v="1"/>
    <x v="3"/>
    <n v="2"/>
    <n v="2"/>
    <x v="0"/>
    <n v="225.399999999709"/>
    <x v="0"/>
    <n v="111119"/>
    <n v="2000"/>
    <n v="200"/>
    <x v="0"/>
    <n v="584967.56999999995"/>
    <x v="1029"/>
    <x v="0"/>
  </r>
  <r>
    <n v="37"/>
    <x v="1"/>
    <x v="3"/>
    <n v="2"/>
    <n v="3"/>
    <x v="0"/>
    <n v="317.40000000049002"/>
    <x v="0"/>
    <n v="450438.99999999901"/>
    <n v="2000"/>
    <n v="200"/>
    <x v="0"/>
    <n v="570767.56999999995"/>
    <x v="1030"/>
    <x v="1"/>
  </r>
  <r>
    <n v="38"/>
    <x v="1"/>
    <x v="3"/>
    <n v="2"/>
    <n v="1"/>
    <x v="0"/>
    <n v="206.39999999971801"/>
    <x v="0"/>
    <n v="136472"/>
    <n v="2000"/>
    <n v="200"/>
    <x v="0"/>
    <n v="547887.17000000004"/>
    <x v="1031"/>
    <x v="0"/>
  </r>
  <r>
    <n v="39"/>
    <x v="1"/>
    <x v="4"/>
    <n v="2"/>
    <n v="1"/>
    <x v="0"/>
    <n v="257.600000000124"/>
    <x v="0"/>
    <n v="207379"/>
    <n v="2000"/>
    <n v="200"/>
    <x v="0"/>
    <n v="622526.77"/>
    <x v="1032"/>
    <x v="0"/>
  </r>
  <r>
    <n v="40"/>
    <x v="1"/>
    <x v="4"/>
    <n v="2"/>
    <n v="2"/>
    <x v="0"/>
    <n v="242.59999999962599"/>
    <x v="0"/>
    <n v="197622"/>
    <n v="2000"/>
    <n v="200"/>
    <x v="0"/>
    <n v="554527.97"/>
    <x v="1033"/>
    <x v="0"/>
  </r>
  <r>
    <n v="41"/>
    <x v="1"/>
    <x v="4"/>
    <n v="2"/>
    <n v="3"/>
    <x v="0"/>
    <n v="354.20000000030399"/>
    <x v="0"/>
    <n v="1010568"/>
    <n v="2000"/>
    <n v="200"/>
    <x v="0"/>
    <n v="612527.97"/>
    <x v="1034"/>
    <x v="0"/>
  </r>
  <r>
    <n v="42"/>
    <x v="1"/>
    <x v="1"/>
    <n v="2"/>
    <n v="1"/>
    <x v="0"/>
    <n v="129.800000000202"/>
    <x v="0"/>
    <n v="33082.000000000298"/>
    <n v="2000"/>
    <n v="200"/>
    <x v="0"/>
    <n v="568647.97"/>
    <x v="1035"/>
    <x v="0"/>
  </r>
  <r>
    <n v="43"/>
    <x v="1"/>
    <x v="2"/>
    <n v="2"/>
    <n v="1"/>
    <x v="0"/>
    <n v="157.00000000009601"/>
    <x v="0"/>
    <n v="50701.000000000102"/>
    <n v="2000"/>
    <n v="200"/>
    <x v="0"/>
    <n v="554847.17000000004"/>
    <x v="1036"/>
    <x v="0"/>
  </r>
  <r>
    <n v="44"/>
    <x v="1"/>
    <x v="2"/>
    <n v="2"/>
    <n v="2"/>
    <x v="0"/>
    <n v="156.599999999685"/>
    <x v="0"/>
    <n v="66129.000000000102"/>
    <n v="2000"/>
    <n v="200"/>
    <x v="0"/>
    <n v="556527.56999999995"/>
    <x v="1037"/>
    <x v="0"/>
  </r>
  <r>
    <n v="45"/>
    <x v="1"/>
    <x v="2"/>
    <n v="2"/>
    <n v="3"/>
    <x v="0"/>
    <n v="211.00000000018301"/>
    <x v="0"/>
    <n v="256781.99999999901"/>
    <n v="2000"/>
    <n v="200"/>
    <x v="0"/>
    <n v="560526.77"/>
    <x v="1038"/>
    <x v="1"/>
  </r>
  <r>
    <n v="46"/>
    <x v="1"/>
    <x v="3"/>
    <n v="2"/>
    <n v="1"/>
    <x v="0"/>
    <n v="189.400000000006"/>
    <x v="0"/>
    <n v="193839"/>
    <n v="2000"/>
    <n v="200"/>
    <x v="0"/>
    <n v="565648.37"/>
    <x v="1039"/>
    <x v="0"/>
  </r>
  <r>
    <n v="47"/>
    <x v="1"/>
    <x v="3"/>
    <n v="2"/>
    <n v="2"/>
    <x v="0"/>
    <n v="193.80000000026601"/>
    <x v="0"/>
    <n v="113693.999999999"/>
    <n v="2000"/>
    <n v="200"/>
    <x v="0"/>
    <n v="556807.17000000004"/>
    <x v="1040"/>
    <x v="0"/>
  </r>
  <r>
    <n v="48"/>
    <x v="1"/>
    <x v="3"/>
    <n v="2"/>
    <n v="3"/>
    <x v="0"/>
    <n v="249.79999999992199"/>
    <x v="0"/>
    <n v="251965"/>
    <n v="2000"/>
    <n v="200"/>
    <x v="0"/>
    <n v="642728.37"/>
    <x v="1041"/>
    <x v="0"/>
  </r>
  <r>
    <n v="49"/>
    <x v="1"/>
    <x v="3"/>
    <n v="2"/>
    <n v="1"/>
    <x v="0"/>
    <n v="183.19999999931699"/>
    <x v="0"/>
    <n v="102215.999999999"/>
    <n v="2000"/>
    <n v="200"/>
    <x v="0"/>
    <n v="584287.97"/>
    <x v="1042"/>
    <x v="0"/>
  </r>
  <r>
    <n v="50"/>
    <x v="1"/>
    <x v="3"/>
    <n v="2"/>
    <n v="2"/>
    <x v="0"/>
    <n v="190.800000000024"/>
    <x v="0"/>
    <n v="146021.99999999901"/>
    <n v="2000"/>
    <n v="200"/>
    <x v="0"/>
    <n v="550287.56999999995"/>
    <x v="1043"/>
    <x v="0"/>
  </r>
  <r>
    <n v="51"/>
    <x v="1"/>
    <x v="3"/>
    <n v="2"/>
    <n v="3"/>
    <x v="0"/>
    <n v="252.19999999990301"/>
    <x v="0"/>
    <n v="203922"/>
    <n v="2000"/>
    <n v="200"/>
    <x v="0"/>
    <n v="580726.77"/>
    <x v="1044"/>
    <x v="1"/>
  </r>
  <r>
    <n v="52"/>
    <x v="1"/>
    <x v="4"/>
    <n v="2"/>
    <n v="1"/>
    <x v="0"/>
    <n v="219.40000000029201"/>
    <x v="0"/>
    <n v="251747"/>
    <n v="2000"/>
    <n v="200"/>
    <x v="0"/>
    <n v="551807.17000000004"/>
    <x v="1045"/>
    <x v="0"/>
  </r>
  <r>
    <n v="53"/>
    <x v="1"/>
    <x v="4"/>
    <n v="2"/>
    <n v="2"/>
    <x v="0"/>
    <n v="218.80000000038501"/>
    <x v="0"/>
    <n v="209296.99999999901"/>
    <n v="2000"/>
    <n v="200"/>
    <x v="0"/>
    <n v="587647.56999999995"/>
    <x v="1046"/>
    <x v="0"/>
  </r>
  <r>
    <n v="54"/>
    <x v="1"/>
    <x v="4"/>
    <n v="2"/>
    <n v="3"/>
    <x v="0"/>
    <n v="306.40000000019501"/>
    <x v="0"/>
    <n v="515255"/>
    <n v="2000"/>
    <n v="200"/>
    <x v="0"/>
    <n v="594245.97"/>
    <x v="1047"/>
    <x v="1"/>
  </r>
  <r>
    <n v="55"/>
    <x v="1"/>
    <x v="2"/>
    <n v="2"/>
    <n v="1"/>
    <x v="0"/>
    <n v="140.60000000064599"/>
    <x v="0"/>
    <n v="51733.999999999702"/>
    <n v="2000"/>
    <n v="200"/>
    <x v="0"/>
    <n v="567407.17000000004"/>
    <x v="1048"/>
    <x v="0"/>
  </r>
  <r>
    <n v="56"/>
    <x v="1"/>
    <x v="2"/>
    <n v="2"/>
    <n v="2"/>
    <x v="0"/>
    <n v="137.60000000004899"/>
    <x v="0"/>
    <n v="57291.000000001099"/>
    <n v="2000"/>
    <n v="200"/>
    <x v="0"/>
    <n v="540367.56999999995"/>
    <x v="1049"/>
    <x v="0"/>
  </r>
  <r>
    <n v="57"/>
    <x v="1"/>
    <x v="2"/>
    <n v="2"/>
    <n v="3"/>
    <x v="0"/>
    <n v="183.39999999987799"/>
    <x v="0"/>
    <n v="96692.000000000902"/>
    <n v="2000"/>
    <n v="200"/>
    <x v="0"/>
    <n v="630247.17000000004"/>
    <x v="1050"/>
    <x v="0"/>
  </r>
  <r>
    <n v="58"/>
    <x v="1"/>
    <x v="3"/>
    <n v="2"/>
    <n v="1"/>
    <x v="0"/>
    <n v="215.599999999228"/>
    <x v="0"/>
    <n v="86040.000000000597"/>
    <n v="2000"/>
    <n v="200"/>
    <x v="0"/>
    <n v="574247.17000000004"/>
    <x v="1051"/>
    <x v="0"/>
  </r>
  <r>
    <n v="59"/>
    <x v="1"/>
    <x v="3"/>
    <n v="2"/>
    <n v="2"/>
    <x v="0"/>
    <n v="212.39999999984599"/>
    <x v="0"/>
    <n v="68540.000000000495"/>
    <n v="2000"/>
    <n v="200"/>
    <x v="0"/>
    <n v="536006.77"/>
    <x v="1052"/>
    <x v="0"/>
  </r>
  <r>
    <n v="60"/>
    <x v="1"/>
    <x v="3"/>
    <n v="2"/>
    <n v="3"/>
    <x v="0"/>
    <n v="288.40000000016602"/>
    <x v="0"/>
    <n v="278874.99999999901"/>
    <n v="2000"/>
    <n v="200"/>
    <x v="0"/>
    <n v="560248.37"/>
    <x v="1053"/>
    <x v="0"/>
  </r>
  <r>
    <n v="61"/>
    <x v="1"/>
    <x v="4"/>
    <n v="2"/>
    <n v="1"/>
    <x v="0"/>
    <n v="230.60000000043601"/>
    <x v="0"/>
    <n v="161028"/>
    <n v="2000"/>
    <n v="200"/>
    <x v="0"/>
    <n v="637727.17000000004"/>
    <x v="1054"/>
    <x v="0"/>
  </r>
  <r>
    <n v="62"/>
    <x v="1"/>
    <x v="4"/>
    <n v="2"/>
    <n v="2"/>
    <x v="0"/>
    <n v="233.80000000017299"/>
    <x v="0"/>
    <n v="123650"/>
    <n v="2000"/>
    <n v="200"/>
    <x v="0"/>
    <n v="586727.56999999995"/>
    <x v="1055"/>
    <x v="0"/>
  </r>
  <r>
    <n v="63"/>
    <x v="1"/>
    <x v="4"/>
    <n v="2"/>
    <n v="3"/>
    <x v="0"/>
    <n v="359.799999999666"/>
    <x v="0"/>
    <n v="395599.00000000099"/>
    <n v="2000"/>
    <n v="200"/>
    <x v="0"/>
    <n v="577369.17000000004"/>
    <x v="1056"/>
    <x v="1"/>
  </r>
  <r>
    <n v="64"/>
    <x v="1"/>
    <x v="5"/>
    <n v="2"/>
    <n v="1"/>
    <x v="0"/>
    <n v="274.00000000028501"/>
    <x v="0"/>
    <n v="279384"/>
    <n v="2000"/>
    <n v="200"/>
    <x v="0"/>
    <n v="557527.97"/>
    <x v="1057"/>
    <x v="0"/>
  </r>
  <r>
    <n v="65"/>
    <x v="1"/>
    <x v="5"/>
    <n v="2"/>
    <n v="2"/>
    <x v="0"/>
    <n v="271.20000000024902"/>
    <x v="0"/>
    <n v="345789"/>
    <n v="2000"/>
    <n v="200"/>
    <x v="0"/>
    <n v="590207.97"/>
    <x v="1058"/>
    <x v="0"/>
  </r>
  <r>
    <n v="66"/>
    <x v="1"/>
    <x v="5"/>
    <n v="2"/>
    <n v="3"/>
    <x v="0"/>
    <n v="390.99999999976399"/>
    <x v="0"/>
    <n v="1149315"/>
    <n v="2000"/>
    <n v="200"/>
    <x v="0"/>
    <n v="593487.56999999995"/>
    <x v="1059"/>
    <x v="1"/>
  </r>
  <r>
    <n v="67"/>
    <x v="1"/>
    <x v="4"/>
    <n v="2"/>
    <n v="1"/>
    <x v="0"/>
    <n v="210.20000000007099"/>
    <x v="0"/>
    <n v="176762"/>
    <n v="2000"/>
    <n v="200"/>
    <x v="0"/>
    <n v="579527.56999999995"/>
    <x v="1060"/>
    <x v="0"/>
  </r>
  <r>
    <n v="68"/>
    <x v="1"/>
    <x v="4"/>
    <n v="2"/>
    <n v="2"/>
    <x v="0"/>
    <n v="210.00000000022101"/>
    <x v="0"/>
    <n v="175160"/>
    <n v="2000"/>
    <n v="200"/>
    <x v="0"/>
    <n v="547686.77"/>
    <x v="1061"/>
    <x v="0"/>
  </r>
  <r>
    <n v="69"/>
    <x v="1"/>
    <x v="4"/>
    <n v="2"/>
    <n v="3"/>
    <x v="0"/>
    <n v="292.59999999986502"/>
    <x v="0"/>
    <n v="386187"/>
    <n v="2000"/>
    <n v="200"/>
    <x v="0"/>
    <n v="538926.37"/>
    <x v="1062"/>
    <x v="0"/>
  </r>
  <r>
    <n v="28"/>
    <x v="1"/>
    <x v="1"/>
    <n v="2"/>
    <n v="1"/>
    <x v="0"/>
    <n v="541.19999999961999"/>
    <x v="0"/>
    <n v="37176.000000000502"/>
    <n v="1000"/>
    <n v="500"/>
    <x v="0"/>
    <n v="583384.77"/>
    <x v="1063"/>
    <x v="0"/>
  </r>
  <r>
    <n v="29"/>
    <x v="1"/>
    <x v="2"/>
    <n v="2"/>
    <n v="2"/>
    <x v="0"/>
    <n v="547.39999999959798"/>
    <x v="0"/>
    <n v="71896.000000000597"/>
    <n v="1000"/>
    <n v="500"/>
    <x v="0"/>
    <n v="596623.97"/>
    <x v="1064"/>
    <x v="0"/>
  </r>
  <r>
    <n v="30"/>
    <x v="1"/>
    <x v="2"/>
    <n v="2"/>
    <n v="3"/>
    <x v="0"/>
    <n v="598.60000000000502"/>
    <x v="0"/>
    <n v="251473"/>
    <n v="1000"/>
    <n v="500"/>
    <x v="0"/>
    <n v="598944.77"/>
    <x v="1065"/>
    <x v="1"/>
  </r>
  <r>
    <n v="31"/>
    <x v="1"/>
    <x v="2"/>
    <n v="2"/>
    <n v="1"/>
    <x v="0"/>
    <n v="351.19999999970702"/>
    <x v="0"/>
    <n v="68826.999999999796"/>
    <n v="1000"/>
    <n v="500"/>
    <x v="0"/>
    <n v="575764.37"/>
    <x v="1066"/>
    <x v="0"/>
  </r>
  <r>
    <n v="32"/>
    <x v="1"/>
    <x v="2"/>
    <n v="2"/>
    <n v="2"/>
    <x v="0"/>
    <n v="356.00000000002302"/>
    <x v="0"/>
    <n v="64877.000000000102"/>
    <n v="1000"/>
    <n v="500"/>
    <x v="0"/>
    <n v="582704.37"/>
    <x v="1067"/>
    <x v="0"/>
  </r>
  <r>
    <n v="33"/>
    <x v="1"/>
    <x v="2"/>
    <n v="2"/>
    <n v="3"/>
    <x v="0"/>
    <n v="485.39999999981399"/>
    <x v="0"/>
    <n v="255639"/>
    <n v="1000"/>
    <n v="500"/>
    <x v="0"/>
    <n v="620863.56999999995"/>
    <x v="1068"/>
    <x v="1"/>
  </r>
  <r>
    <n v="34"/>
    <x v="1"/>
    <x v="2"/>
    <n v="2"/>
    <n v="1"/>
    <x v="0"/>
    <n v="307.60000000000798"/>
    <x v="0"/>
    <n v="49771.999999999898"/>
    <n v="1000"/>
    <n v="500"/>
    <x v="0"/>
    <n v="622723.97"/>
    <x v="1069"/>
    <x v="0"/>
  </r>
  <r>
    <n v="35"/>
    <x v="1"/>
    <x v="3"/>
    <n v="2"/>
    <n v="1"/>
    <x v="0"/>
    <n v="378.80000000036802"/>
    <x v="0"/>
    <n v="110241"/>
    <n v="1000"/>
    <n v="500"/>
    <x v="0"/>
    <n v="600323.97"/>
    <x v="1070"/>
    <x v="0"/>
  </r>
  <r>
    <n v="36"/>
    <x v="1"/>
    <x v="3"/>
    <n v="2"/>
    <n v="2"/>
    <x v="0"/>
    <n v="225.399999999709"/>
    <x v="0"/>
    <n v="111119"/>
    <n v="1000"/>
    <n v="500"/>
    <x v="0"/>
    <n v="600444.37"/>
    <x v="1071"/>
    <x v="1"/>
  </r>
  <r>
    <n v="37"/>
    <x v="1"/>
    <x v="3"/>
    <n v="2"/>
    <n v="3"/>
    <x v="0"/>
    <n v="317.40000000049002"/>
    <x v="0"/>
    <n v="450438.99999999901"/>
    <n v="1000"/>
    <n v="500"/>
    <x v="0"/>
    <n v="593344.37"/>
    <x v="1072"/>
    <x v="1"/>
  </r>
  <r>
    <n v="38"/>
    <x v="1"/>
    <x v="3"/>
    <n v="2"/>
    <n v="1"/>
    <x v="0"/>
    <n v="206.39999999971801"/>
    <x v="0"/>
    <n v="136472"/>
    <n v="1000"/>
    <n v="500"/>
    <x v="0"/>
    <n v="581903.97"/>
    <x v="1073"/>
    <x v="0"/>
  </r>
  <r>
    <n v="39"/>
    <x v="1"/>
    <x v="4"/>
    <n v="2"/>
    <n v="1"/>
    <x v="0"/>
    <n v="257.600000000124"/>
    <x v="0"/>
    <n v="207379"/>
    <n v="1000"/>
    <n v="500"/>
    <x v="0"/>
    <n v="619223.56999999995"/>
    <x v="1074"/>
    <x v="0"/>
  </r>
  <r>
    <n v="40"/>
    <x v="1"/>
    <x v="4"/>
    <n v="2"/>
    <n v="2"/>
    <x v="0"/>
    <n v="242.59999999962599"/>
    <x v="0"/>
    <n v="197622"/>
    <n v="1000"/>
    <n v="500"/>
    <x v="0"/>
    <n v="585224.77"/>
    <x v="1075"/>
    <x v="1"/>
  </r>
  <r>
    <n v="41"/>
    <x v="1"/>
    <x v="4"/>
    <n v="2"/>
    <n v="3"/>
    <x v="0"/>
    <n v="354.20000000030399"/>
    <x v="0"/>
    <n v="1010568"/>
    <n v="1000"/>
    <n v="500"/>
    <x v="0"/>
    <n v="614224.37"/>
    <x v="1076"/>
    <x v="1"/>
  </r>
  <r>
    <n v="42"/>
    <x v="1"/>
    <x v="1"/>
    <n v="2"/>
    <n v="1"/>
    <x v="0"/>
    <n v="129.800000000202"/>
    <x v="0"/>
    <n v="33082.000000000298"/>
    <n v="1000"/>
    <n v="500"/>
    <x v="0"/>
    <n v="592284.77"/>
    <x v="1077"/>
    <x v="0"/>
  </r>
  <r>
    <n v="43"/>
    <x v="1"/>
    <x v="2"/>
    <n v="2"/>
    <n v="1"/>
    <x v="0"/>
    <n v="157.00000000009601"/>
    <x v="0"/>
    <n v="50701.000000000102"/>
    <n v="1000"/>
    <n v="500"/>
    <x v="0"/>
    <n v="585385.17000000004"/>
    <x v="1078"/>
    <x v="0"/>
  </r>
  <r>
    <n v="44"/>
    <x v="1"/>
    <x v="2"/>
    <n v="2"/>
    <n v="2"/>
    <x v="0"/>
    <n v="156.599999999685"/>
    <x v="0"/>
    <n v="66129.000000000102"/>
    <n v="1000"/>
    <n v="500"/>
    <x v="0"/>
    <n v="586224.37"/>
    <x v="1079"/>
    <x v="0"/>
  </r>
  <r>
    <n v="45"/>
    <x v="1"/>
    <x v="2"/>
    <n v="2"/>
    <n v="3"/>
    <x v="0"/>
    <n v="211.00000000018301"/>
    <x v="0"/>
    <n v="256781.99999999901"/>
    <n v="1000"/>
    <n v="500"/>
    <x v="0"/>
    <n v="588224.77"/>
    <x v="1080"/>
    <x v="1"/>
  </r>
  <r>
    <n v="46"/>
    <x v="1"/>
    <x v="3"/>
    <n v="2"/>
    <n v="1"/>
    <x v="0"/>
    <n v="189.400000000006"/>
    <x v="0"/>
    <n v="193839"/>
    <n v="1000"/>
    <n v="500"/>
    <x v="0"/>
    <n v="590785.56999999995"/>
    <x v="1081"/>
    <x v="0"/>
  </r>
  <r>
    <n v="47"/>
    <x v="1"/>
    <x v="3"/>
    <n v="2"/>
    <n v="2"/>
    <x v="0"/>
    <n v="193.80000000026601"/>
    <x v="0"/>
    <n v="113693.999999999"/>
    <n v="1000"/>
    <n v="500"/>
    <x v="0"/>
    <n v="586363.97"/>
    <x v="1082"/>
    <x v="0"/>
  </r>
  <r>
    <n v="48"/>
    <x v="1"/>
    <x v="3"/>
    <n v="2"/>
    <n v="3"/>
    <x v="0"/>
    <n v="249.79999999992199"/>
    <x v="0"/>
    <n v="251965"/>
    <n v="1000"/>
    <n v="500"/>
    <x v="0"/>
    <n v="629325.17000000004"/>
    <x v="1083"/>
    <x v="0"/>
  </r>
  <r>
    <n v="49"/>
    <x v="1"/>
    <x v="3"/>
    <n v="2"/>
    <n v="1"/>
    <x v="0"/>
    <n v="183.19999999931699"/>
    <x v="0"/>
    <n v="102215.999999999"/>
    <n v="1000"/>
    <n v="500"/>
    <x v="0"/>
    <n v="600105.17000000004"/>
    <x v="1084"/>
    <x v="0"/>
  </r>
  <r>
    <n v="50"/>
    <x v="1"/>
    <x v="3"/>
    <n v="2"/>
    <n v="2"/>
    <x v="0"/>
    <n v="190.800000000024"/>
    <x v="0"/>
    <n v="146021.99999999901"/>
    <n v="1000"/>
    <n v="500"/>
    <x v="0"/>
    <n v="583104.37"/>
    <x v="1085"/>
    <x v="0"/>
  </r>
  <r>
    <n v="51"/>
    <x v="1"/>
    <x v="3"/>
    <n v="2"/>
    <n v="3"/>
    <x v="0"/>
    <n v="252.19999999990301"/>
    <x v="0"/>
    <n v="203922"/>
    <n v="1000"/>
    <n v="500"/>
    <x v="0"/>
    <n v="598323.56999999995"/>
    <x v="1086"/>
    <x v="1"/>
  </r>
  <r>
    <n v="52"/>
    <x v="1"/>
    <x v="4"/>
    <n v="2"/>
    <n v="1"/>
    <x v="0"/>
    <n v="219.40000000029201"/>
    <x v="0"/>
    <n v="251747"/>
    <n v="1000"/>
    <n v="500"/>
    <x v="0"/>
    <n v="583863.97"/>
    <x v="1087"/>
    <x v="1"/>
  </r>
  <r>
    <n v="53"/>
    <x v="1"/>
    <x v="4"/>
    <n v="2"/>
    <n v="2"/>
    <x v="0"/>
    <n v="218.80000000038501"/>
    <x v="0"/>
    <n v="209296.99999999901"/>
    <n v="1000"/>
    <n v="500"/>
    <x v="0"/>
    <n v="601784.37"/>
    <x v="1088"/>
    <x v="0"/>
  </r>
  <r>
    <n v="54"/>
    <x v="1"/>
    <x v="4"/>
    <n v="2"/>
    <n v="3"/>
    <x v="0"/>
    <n v="306.40000000019501"/>
    <x v="0"/>
    <n v="515255"/>
    <n v="1000"/>
    <n v="500"/>
    <x v="0"/>
    <n v="605083.56999999995"/>
    <x v="1089"/>
    <x v="1"/>
  </r>
  <r>
    <n v="55"/>
    <x v="1"/>
    <x v="2"/>
    <n v="2"/>
    <n v="1"/>
    <x v="0"/>
    <n v="140.60000000064599"/>
    <x v="0"/>
    <n v="51733.999999999702"/>
    <n v="1000"/>
    <n v="500"/>
    <x v="0"/>
    <n v="591664.37"/>
    <x v="1090"/>
    <x v="0"/>
  </r>
  <r>
    <n v="56"/>
    <x v="1"/>
    <x v="2"/>
    <n v="2"/>
    <n v="2"/>
    <x v="0"/>
    <n v="137.60000000004899"/>
    <x v="0"/>
    <n v="57291.000000001099"/>
    <n v="1000"/>
    <n v="500"/>
    <x v="0"/>
    <n v="578144.37"/>
    <x v="1091"/>
    <x v="0"/>
  </r>
  <r>
    <n v="57"/>
    <x v="1"/>
    <x v="2"/>
    <n v="2"/>
    <n v="3"/>
    <x v="0"/>
    <n v="183.39999999987799"/>
    <x v="0"/>
    <n v="96692.000000000902"/>
    <n v="1000"/>
    <n v="500"/>
    <x v="0"/>
    <n v="623084.77"/>
    <x v="1092"/>
    <x v="0"/>
  </r>
  <r>
    <n v="58"/>
    <x v="1"/>
    <x v="3"/>
    <n v="2"/>
    <n v="1"/>
    <x v="0"/>
    <n v="215.599999999228"/>
    <x v="0"/>
    <n v="86040.000000000597"/>
    <n v="1000"/>
    <n v="500"/>
    <x v="0"/>
    <n v="595083.97"/>
    <x v="1093"/>
    <x v="0"/>
  </r>
  <r>
    <n v="59"/>
    <x v="1"/>
    <x v="3"/>
    <n v="2"/>
    <n v="2"/>
    <x v="0"/>
    <n v="212.39999999984599"/>
    <x v="0"/>
    <n v="68540.000000000495"/>
    <n v="1000"/>
    <n v="500"/>
    <x v="0"/>
    <n v="575963.97"/>
    <x v="1094"/>
    <x v="0"/>
  </r>
  <r>
    <n v="60"/>
    <x v="1"/>
    <x v="3"/>
    <n v="2"/>
    <n v="3"/>
    <x v="0"/>
    <n v="288.40000000016602"/>
    <x v="0"/>
    <n v="278874.99999999901"/>
    <n v="1000"/>
    <n v="500"/>
    <x v="0"/>
    <n v="588085.17000000004"/>
    <x v="1095"/>
    <x v="0"/>
  </r>
  <r>
    <n v="61"/>
    <x v="1"/>
    <x v="4"/>
    <n v="2"/>
    <n v="1"/>
    <x v="0"/>
    <n v="230.60000000043601"/>
    <x v="0"/>
    <n v="161028"/>
    <n v="1000"/>
    <n v="500"/>
    <x v="0"/>
    <n v="626824.37"/>
    <x v="1096"/>
    <x v="0"/>
  </r>
  <r>
    <n v="62"/>
    <x v="1"/>
    <x v="4"/>
    <n v="2"/>
    <n v="2"/>
    <x v="0"/>
    <n v="233.80000000017299"/>
    <x v="0"/>
    <n v="123650"/>
    <n v="1000"/>
    <n v="500"/>
    <x v="0"/>
    <n v="601325.17000000004"/>
    <x v="1097"/>
    <x v="0"/>
  </r>
  <r>
    <n v="63"/>
    <x v="1"/>
    <x v="4"/>
    <n v="2"/>
    <n v="3"/>
    <x v="0"/>
    <n v="359.799999999666"/>
    <x v="0"/>
    <n v="395599.00000000099"/>
    <n v="1000"/>
    <n v="500"/>
    <x v="0"/>
    <n v="596645.17000000004"/>
    <x v="1098"/>
    <x v="1"/>
  </r>
  <r>
    <n v="64"/>
    <x v="1"/>
    <x v="5"/>
    <n v="2"/>
    <n v="1"/>
    <x v="0"/>
    <n v="274.00000000028501"/>
    <x v="0"/>
    <n v="279384"/>
    <n v="1000"/>
    <n v="500"/>
    <x v="0"/>
    <n v="586725.56999999995"/>
    <x v="1099"/>
    <x v="0"/>
  </r>
  <r>
    <n v="65"/>
    <x v="1"/>
    <x v="5"/>
    <n v="2"/>
    <n v="2"/>
    <x v="0"/>
    <n v="271.20000000024902"/>
    <x v="0"/>
    <n v="345789"/>
    <n v="1000"/>
    <n v="500"/>
    <x v="0"/>
    <n v="603064.77"/>
    <x v="1100"/>
    <x v="0"/>
  </r>
  <r>
    <n v="66"/>
    <x v="1"/>
    <x v="5"/>
    <n v="2"/>
    <n v="3"/>
    <x v="0"/>
    <n v="390.99999999976399"/>
    <x v="0"/>
    <n v="1149315"/>
    <n v="1000"/>
    <n v="500"/>
    <x v="0"/>
    <n v="604704.77"/>
    <x v="1101"/>
    <x v="1"/>
  </r>
  <r>
    <n v="67"/>
    <x v="1"/>
    <x v="4"/>
    <n v="2"/>
    <n v="1"/>
    <x v="0"/>
    <n v="210.20000000007099"/>
    <x v="0"/>
    <n v="176762"/>
    <n v="1000"/>
    <n v="500"/>
    <x v="0"/>
    <n v="597724.37"/>
    <x v="1102"/>
    <x v="0"/>
  </r>
  <r>
    <n v="68"/>
    <x v="1"/>
    <x v="4"/>
    <n v="2"/>
    <n v="2"/>
    <x v="0"/>
    <n v="210.00000000022101"/>
    <x v="0"/>
    <n v="175160"/>
    <n v="1000"/>
    <n v="500"/>
    <x v="0"/>
    <n v="581803.97"/>
    <x v="1103"/>
    <x v="0"/>
  </r>
  <r>
    <n v="69"/>
    <x v="1"/>
    <x v="4"/>
    <n v="2"/>
    <n v="3"/>
    <x v="0"/>
    <n v="292.59999999986502"/>
    <x v="0"/>
    <n v="386187"/>
    <n v="1000"/>
    <n v="500"/>
    <x v="0"/>
    <n v="577423.17000000004"/>
    <x v="1104"/>
    <x v="1"/>
  </r>
  <r>
    <n v="28"/>
    <x v="1"/>
    <x v="1"/>
    <n v="2"/>
    <n v="1"/>
    <x v="0"/>
    <n v="541.19999999961999"/>
    <x v="0"/>
    <n v="37176.000000000502"/>
    <n v="1000"/>
    <n v="700"/>
    <x v="0"/>
    <n v="783387.57"/>
    <x v="1105"/>
    <x v="0"/>
  </r>
  <r>
    <n v="29"/>
    <x v="1"/>
    <x v="2"/>
    <n v="2"/>
    <n v="2"/>
    <x v="0"/>
    <n v="547.39999999959798"/>
    <x v="0"/>
    <n v="71896.000000000597"/>
    <n v="1000"/>
    <n v="700"/>
    <x v="0"/>
    <n v="796626.77"/>
    <x v="1106"/>
    <x v="0"/>
  </r>
  <r>
    <n v="30"/>
    <x v="1"/>
    <x v="2"/>
    <n v="2"/>
    <n v="3"/>
    <x v="0"/>
    <n v="598.60000000000502"/>
    <x v="0"/>
    <n v="251473"/>
    <n v="1000"/>
    <n v="700"/>
    <x v="0"/>
    <n v="798947.17"/>
    <x v="1107"/>
    <x v="0"/>
  </r>
  <r>
    <n v="31"/>
    <x v="1"/>
    <x v="2"/>
    <n v="2"/>
    <n v="1"/>
    <x v="0"/>
    <n v="351.19999999970702"/>
    <x v="0"/>
    <n v="68826.999999999796"/>
    <n v="1000"/>
    <n v="700"/>
    <x v="0"/>
    <n v="775767.57"/>
    <x v="1108"/>
    <x v="0"/>
  </r>
  <r>
    <n v="32"/>
    <x v="1"/>
    <x v="2"/>
    <n v="2"/>
    <n v="2"/>
    <x v="0"/>
    <n v="356.00000000002302"/>
    <x v="0"/>
    <n v="64877.000000000102"/>
    <n v="1000"/>
    <n v="700"/>
    <x v="0"/>
    <n v="782707.17"/>
    <x v="1109"/>
    <x v="0"/>
  </r>
  <r>
    <n v="33"/>
    <x v="1"/>
    <x v="2"/>
    <n v="2"/>
    <n v="3"/>
    <x v="0"/>
    <n v="485.39999999981399"/>
    <x v="0"/>
    <n v="255639"/>
    <n v="1000"/>
    <n v="700"/>
    <x v="0"/>
    <n v="820866.77"/>
    <x v="1110"/>
    <x v="0"/>
  </r>
  <r>
    <n v="34"/>
    <x v="1"/>
    <x v="2"/>
    <n v="2"/>
    <n v="1"/>
    <x v="0"/>
    <n v="307.60000000000798"/>
    <x v="0"/>
    <n v="49771.999999999898"/>
    <n v="1000"/>
    <n v="700"/>
    <x v="0"/>
    <n v="822726.77"/>
    <x v="1111"/>
    <x v="0"/>
  </r>
  <r>
    <n v="35"/>
    <x v="1"/>
    <x v="3"/>
    <n v="2"/>
    <n v="1"/>
    <x v="0"/>
    <n v="378.80000000036802"/>
    <x v="0"/>
    <n v="110241"/>
    <n v="1000"/>
    <n v="700"/>
    <x v="0"/>
    <n v="800326.77"/>
    <x v="1112"/>
    <x v="0"/>
  </r>
  <r>
    <n v="36"/>
    <x v="1"/>
    <x v="3"/>
    <n v="2"/>
    <n v="2"/>
    <x v="0"/>
    <n v="225.399999999709"/>
    <x v="0"/>
    <n v="111119"/>
    <n v="1000"/>
    <n v="700"/>
    <x v="0"/>
    <n v="800447.57"/>
    <x v="1113"/>
    <x v="1"/>
  </r>
  <r>
    <n v="37"/>
    <x v="1"/>
    <x v="3"/>
    <n v="2"/>
    <n v="3"/>
    <x v="0"/>
    <n v="317.40000000049002"/>
    <x v="0"/>
    <n v="450438.99999999901"/>
    <n v="1000"/>
    <n v="700"/>
    <x v="0"/>
    <n v="793347.17"/>
    <x v="1114"/>
    <x v="1"/>
  </r>
  <r>
    <n v="38"/>
    <x v="1"/>
    <x v="3"/>
    <n v="2"/>
    <n v="1"/>
    <x v="0"/>
    <n v="206.39999999971801"/>
    <x v="0"/>
    <n v="136472"/>
    <n v="1000"/>
    <n v="700"/>
    <x v="0"/>
    <n v="781906.77"/>
    <x v="1115"/>
    <x v="0"/>
  </r>
  <r>
    <n v="39"/>
    <x v="1"/>
    <x v="4"/>
    <n v="2"/>
    <n v="1"/>
    <x v="0"/>
    <n v="257.600000000124"/>
    <x v="0"/>
    <n v="207379"/>
    <n v="1000"/>
    <n v="700"/>
    <x v="0"/>
    <n v="819226.37"/>
    <x v="1116"/>
    <x v="0"/>
  </r>
  <r>
    <n v="40"/>
    <x v="1"/>
    <x v="4"/>
    <n v="2"/>
    <n v="2"/>
    <x v="0"/>
    <n v="242.59999999962599"/>
    <x v="0"/>
    <n v="197622"/>
    <n v="1000"/>
    <n v="700"/>
    <x v="0"/>
    <n v="785226.77"/>
    <x v="1117"/>
    <x v="0"/>
  </r>
  <r>
    <n v="41"/>
    <x v="1"/>
    <x v="4"/>
    <n v="2"/>
    <n v="3"/>
    <x v="0"/>
    <n v="354.20000000030399"/>
    <x v="0"/>
    <n v="1010568"/>
    <n v="1000"/>
    <n v="700"/>
    <x v="0"/>
    <n v="814227.57"/>
    <x v="1118"/>
    <x v="1"/>
  </r>
  <r>
    <n v="42"/>
    <x v="1"/>
    <x v="1"/>
    <n v="2"/>
    <n v="1"/>
    <x v="0"/>
    <n v="129.800000000202"/>
    <x v="0"/>
    <n v="33082.000000000298"/>
    <n v="1000"/>
    <n v="700"/>
    <x v="0"/>
    <n v="792287.57"/>
    <x v="1119"/>
    <x v="0"/>
  </r>
  <r>
    <n v="43"/>
    <x v="1"/>
    <x v="2"/>
    <n v="2"/>
    <n v="1"/>
    <x v="0"/>
    <n v="157.00000000009601"/>
    <x v="0"/>
    <n v="50701.000000000102"/>
    <n v="1000"/>
    <n v="700"/>
    <x v="0"/>
    <n v="785387.57"/>
    <x v="1120"/>
    <x v="0"/>
  </r>
  <r>
    <n v="44"/>
    <x v="1"/>
    <x v="2"/>
    <n v="2"/>
    <n v="2"/>
    <x v="0"/>
    <n v="156.599999999685"/>
    <x v="0"/>
    <n v="66129.000000000102"/>
    <n v="1000"/>
    <n v="700"/>
    <x v="0"/>
    <n v="786227.17"/>
    <x v="1121"/>
    <x v="0"/>
  </r>
  <r>
    <n v="45"/>
    <x v="1"/>
    <x v="2"/>
    <n v="2"/>
    <n v="3"/>
    <x v="0"/>
    <n v="211.00000000018301"/>
    <x v="0"/>
    <n v="256781.99999999901"/>
    <n v="1000"/>
    <n v="700"/>
    <x v="0"/>
    <n v="788227.17"/>
    <x v="1122"/>
    <x v="0"/>
  </r>
  <r>
    <n v="46"/>
    <x v="1"/>
    <x v="3"/>
    <n v="2"/>
    <n v="1"/>
    <x v="0"/>
    <n v="189.400000000006"/>
    <x v="0"/>
    <n v="193839"/>
    <n v="1000"/>
    <n v="700"/>
    <x v="0"/>
    <n v="790788.77"/>
    <x v="1123"/>
    <x v="0"/>
  </r>
  <r>
    <n v="47"/>
    <x v="1"/>
    <x v="3"/>
    <n v="2"/>
    <n v="2"/>
    <x v="0"/>
    <n v="193.80000000026601"/>
    <x v="0"/>
    <n v="113693.999999999"/>
    <n v="1000"/>
    <n v="700"/>
    <x v="0"/>
    <n v="786367.17"/>
    <x v="1124"/>
    <x v="0"/>
  </r>
  <r>
    <n v="48"/>
    <x v="1"/>
    <x v="3"/>
    <n v="2"/>
    <n v="3"/>
    <x v="0"/>
    <n v="249.79999999992199"/>
    <x v="0"/>
    <n v="251965"/>
    <n v="1000"/>
    <n v="700"/>
    <x v="0"/>
    <n v="829327.57"/>
    <x v="1125"/>
    <x v="1"/>
  </r>
  <r>
    <n v="49"/>
    <x v="1"/>
    <x v="3"/>
    <n v="2"/>
    <n v="1"/>
    <x v="0"/>
    <n v="183.19999999931699"/>
    <x v="0"/>
    <n v="102215.999999999"/>
    <n v="1000"/>
    <n v="700"/>
    <x v="0"/>
    <n v="800107.57"/>
    <x v="1126"/>
    <x v="0"/>
  </r>
  <r>
    <n v="50"/>
    <x v="1"/>
    <x v="3"/>
    <n v="2"/>
    <n v="2"/>
    <x v="0"/>
    <n v="190.800000000024"/>
    <x v="0"/>
    <n v="146021.99999999901"/>
    <n v="1000"/>
    <n v="700"/>
    <x v="0"/>
    <n v="783106.77"/>
    <x v="1127"/>
    <x v="0"/>
  </r>
  <r>
    <n v="51"/>
    <x v="1"/>
    <x v="3"/>
    <n v="2"/>
    <n v="3"/>
    <x v="0"/>
    <n v="252.19999999990301"/>
    <x v="0"/>
    <n v="203922"/>
    <n v="1000"/>
    <n v="700"/>
    <x v="0"/>
    <n v="798326.37"/>
    <x v="1128"/>
    <x v="1"/>
  </r>
  <r>
    <n v="52"/>
    <x v="1"/>
    <x v="4"/>
    <n v="2"/>
    <n v="1"/>
    <x v="0"/>
    <n v="219.40000000029201"/>
    <x v="0"/>
    <n v="251747"/>
    <n v="1000"/>
    <n v="700"/>
    <x v="0"/>
    <n v="783866.77"/>
    <x v="1129"/>
    <x v="0"/>
  </r>
  <r>
    <n v="53"/>
    <x v="1"/>
    <x v="4"/>
    <n v="2"/>
    <n v="2"/>
    <x v="0"/>
    <n v="218.80000000038501"/>
    <x v="0"/>
    <n v="209296.99999999901"/>
    <n v="1000"/>
    <n v="700"/>
    <x v="0"/>
    <n v="801787.17"/>
    <x v="1130"/>
    <x v="0"/>
  </r>
  <r>
    <n v="54"/>
    <x v="1"/>
    <x v="4"/>
    <n v="2"/>
    <n v="3"/>
    <x v="0"/>
    <n v="306.40000000019501"/>
    <x v="0"/>
    <n v="515255"/>
    <n v="1000"/>
    <n v="700"/>
    <x v="0"/>
    <n v="805085.57"/>
    <x v="1131"/>
    <x v="1"/>
  </r>
  <r>
    <n v="55"/>
    <x v="1"/>
    <x v="2"/>
    <n v="2"/>
    <n v="1"/>
    <x v="0"/>
    <n v="140.60000000064599"/>
    <x v="0"/>
    <n v="51733.999999999702"/>
    <n v="1000"/>
    <n v="700"/>
    <x v="0"/>
    <n v="791667.17"/>
    <x v="1132"/>
    <x v="0"/>
  </r>
  <r>
    <n v="56"/>
    <x v="1"/>
    <x v="2"/>
    <n v="2"/>
    <n v="2"/>
    <x v="0"/>
    <n v="137.60000000004899"/>
    <x v="0"/>
    <n v="57291.000000001099"/>
    <n v="1000"/>
    <n v="700"/>
    <x v="0"/>
    <n v="778147.17"/>
    <x v="1133"/>
    <x v="0"/>
  </r>
  <r>
    <n v="57"/>
    <x v="1"/>
    <x v="2"/>
    <n v="2"/>
    <n v="3"/>
    <x v="0"/>
    <n v="183.39999999987799"/>
    <x v="0"/>
    <n v="96692.000000000902"/>
    <n v="1000"/>
    <n v="700"/>
    <x v="0"/>
    <n v="823087.57"/>
    <x v="1134"/>
    <x v="0"/>
  </r>
  <r>
    <n v="58"/>
    <x v="1"/>
    <x v="3"/>
    <n v="2"/>
    <n v="1"/>
    <x v="0"/>
    <n v="215.599999999228"/>
    <x v="0"/>
    <n v="86040.000000000597"/>
    <n v="1000"/>
    <n v="700"/>
    <x v="0"/>
    <n v="795087.57"/>
    <x v="1135"/>
    <x v="0"/>
  </r>
  <r>
    <n v="59"/>
    <x v="1"/>
    <x v="3"/>
    <n v="2"/>
    <n v="2"/>
    <x v="0"/>
    <n v="212.39999999984599"/>
    <x v="0"/>
    <n v="68540.000000000495"/>
    <n v="1000"/>
    <n v="700"/>
    <x v="0"/>
    <n v="775967.17"/>
    <x v="1136"/>
    <x v="0"/>
  </r>
  <r>
    <n v="60"/>
    <x v="1"/>
    <x v="3"/>
    <n v="2"/>
    <n v="3"/>
    <x v="0"/>
    <n v="288.40000000016602"/>
    <x v="0"/>
    <n v="278874.99999999901"/>
    <n v="1000"/>
    <n v="700"/>
    <x v="0"/>
    <n v="788088.37"/>
    <x v="1137"/>
    <x v="1"/>
  </r>
  <r>
    <n v="61"/>
    <x v="1"/>
    <x v="4"/>
    <n v="2"/>
    <n v="1"/>
    <x v="0"/>
    <n v="230.60000000043601"/>
    <x v="0"/>
    <n v="161028"/>
    <n v="1000"/>
    <n v="700"/>
    <x v="0"/>
    <n v="826826.77"/>
    <x v="1138"/>
    <x v="0"/>
  </r>
  <r>
    <n v="62"/>
    <x v="1"/>
    <x v="4"/>
    <n v="2"/>
    <n v="2"/>
    <x v="0"/>
    <n v="233.80000000017299"/>
    <x v="0"/>
    <n v="123650"/>
    <n v="1000"/>
    <n v="700"/>
    <x v="0"/>
    <n v="801327.97"/>
    <x v="1139"/>
    <x v="0"/>
  </r>
  <r>
    <n v="63"/>
    <x v="1"/>
    <x v="4"/>
    <n v="2"/>
    <n v="3"/>
    <x v="0"/>
    <n v="359.799999999666"/>
    <x v="0"/>
    <n v="395599.00000000099"/>
    <n v="1000"/>
    <n v="700"/>
    <x v="0"/>
    <n v="796647.97"/>
    <x v="1140"/>
    <x v="1"/>
  </r>
  <r>
    <n v="64"/>
    <x v="1"/>
    <x v="5"/>
    <n v="2"/>
    <n v="1"/>
    <x v="0"/>
    <n v="274.00000000028501"/>
    <x v="0"/>
    <n v="279384"/>
    <n v="1000"/>
    <n v="700"/>
    <x v="0"/>
    <n v="786727.97"/>
    <x v="1141"/>
    <x v="1"/>
  </r>
  <r>
    <n v="65"/>
    <x v="1"/>
    <x v="5"/>
    <n v="2"/>
    <n v="2"/>
    <x v="0"/>
    <n v="271.20000000024902"/>
    <x v="0"/>
    <n v="345789"/>
    <n v="1000"/>
    <n v="700"/>
    <x v="0"/>
    <n v="803067.17"/>
    <x v="1142"/>
    <x v="0"/>
  </r>
  <r>
    <n v="66"/>
    <x v="1"/>
    <x v="5"/>
    <n v="2"/>
    <n v="3"/>
    <x v="0"/>
    <n v="390.99999999976399"/>
    <x v="0"/>
    <n v="1149315"/>
    <n v="1000"/>
    <n v="700"/>
    <x v="0"/>
    <n v="804706.77"/>
    <x v="1143"/>
    <x v="1"/>
  </r>
  <r>
    <n v="67"/>
    <x v="1"/>
    <x v="4"/>
    <n v="2"/>
    <n v="1"/>
    <x v="0"/>
    <n v="210.20000000007099"/>
    <x v="0"/>
    <n v="176762"/>
    <n v="1000"/>
    <n v="700"/>
    <x v="0"/>
    <n v="797726.77"/>
    <x v="1144"/>
    <x v="0"/>
  </r>
  <r>
    <n v="68"/>
    <x v="1"/>
    <x v="4"/>
    <n v="2"/>
    <n v="2"/>
    <x v="0"/>
    <n v="210.00000000022101"/>
    <x v="0"/>
    <n v="175160"/>
    <n v="1000"/>
    <n v="700"/>
    <x v="0"/>
    <n v="781806.37"/>
    <x v="1145"/>
    <x v="0"/>
  </r>
  <r>
    <n v="69"/>
    <x v="1"/>
    <x v="4"/>
    <n v="2"/>
    <n v="3"/>
    <x v="0"/>
    <n v="292.59999999986502"/>
    <x v="0"/>
    <n v="386187"/>
    <n v="1000"/>
    <n v="700"/>
    <x v="0"/>
    <n v="777426.37"/>
    <x v="1146"/>
    <x v="1"/>
  </r>
  <r>
    <n v="28"/>
    <x v="1"/>
    <x v="1"/>
    <n v="2"/>
    <n v="1"/>
    <x v="0"/>
    <n v="541.19999999961999"/>
    <x v="0"/>
    <n v="37176.000000000502"/>
    <n v="1000"/>
    <n v="300"/>
    <x v="0"/>
    <n v="383385.97"/>
    <x v="1147"/>
    <x v="0"/>
  </r>
  <r>
    <n v="29"/>
    <x v="1"/>
    <x v="2"/>
    <n v="2"/>
    <n v="2"/>
    <x v="0"/>
    <n v="547.39999999959798"/>
    <x v="0"/>
    <n v="71896.000000000597"/>
    <n v="1000"/>
    <n v="300"/>
    <x v="0"/>
    <n v="396625.17"/>
    <x v="1148"/>
    <x v="0"/>
  </r>
  <r>
    <n v="30"/>
    <x v="1"/>
    <x v="2"/>
    <n v="2"/>
    <n v="3"/>
    <x v="0"/>
    <n v="598.60000000000502"/>
    <x v="0"/>
    <n v="251473"/>
    <n v="1000"/>
    <n v="300"/>
    <x v="0"/>
    <n v="398945.97"/>
    <x v="1149"/>
    <x v="1"/>
  </r>
  <r>
    <n v="31"/>
    <x v="1"/>
    <x v="2"/>
    <n v="2"/>
    <n v="1"/>
    <x v="0"/>
    <n v="351.19999999970702"/>
    <x v="0"/>
    <n v="68826.999999999796"/>
    <n v="1000"/>
    <n v="300"/>
    <x v="0"/>
    <n v="375765.57"/>
    <x v="1150"/>
    <x v="0"/>
  </r>
  <r>
    <n v="32"/>
    <x v="1"/>
    <x v="2"/>
    <n v="2"/>
    <n v="2"/>
    <x v="0"/>
    <n v="356.00000000002302"/>
    <x v="0"/>
    <n v="64877.000000000102"/>
    <n v="1000"/>
    <n v="300"/>
    <x v="0"/>
    <n v="382705.57"/>
    <x v="1151"/>
    <x v="0"/>
  </r>
  <r>
    <n v="33"/>
    <x v="1"/>
    <x v="2"/>
    <n v="2"/>
    <n v="3"/>
    <x v="0"/>
    <n v="485.39999999981399"/>
    <x v="0"/>
    <n v="255639"/>
    <n v="1000"/>
    <n v="300"/>
    <x v="0"/>
    <n v="420864.37"/>
    <x v="1152"/>
    <x v="1"/>
  </r>
  <r>
    <n v="34"/>
    <x v="1"/>
    <x v="2"/>
    <n v="2"/>
    <n v="1"/>
    <x v="0"/>
    <n v="307.60000000000798"/>
    <x v="0"/>
    <n v="49771.999999999898"/>
    <n v="1000"/>
    <n v="300"/>
    <x v="0"/>
    <n v="422725.57"/>
    <x v="1153"/>
    <x v="0"/>
  </r>
  <r>
    <n v="35"/>
    <x v="1"/>
    <x v="3"/>
    <n v="2"/>
    <n v="1"/>
    <x v="0"/>
    <n v="378.80000000036802"/>
    <x v="0"/>
    <n v="110241"/>
    <n v="1000"/>
    <n v="300"/>
    <x v="0"/>
    <n v="400325.57"/>
    <x v="1154"/>
    <x v="0"/>
  </r>
  <r>
    <n v="36"/>
    <x v="1"/>
    <x v="3"/>
    <n v="2"/>
    <n v="2"/>
    <x v="0"/>
    <n v="225.399999999709"/>
    <x v="0"/>
    <n v="111119"/>
    <n v="1000"/>
    <n v="300"/>
    <x v="0"/>
    <n v="400445.57"/>
    <x v="1155"/>
    <x v="0"/>
  </r>
  <r>
    <n v="37"/>
    <x v="1"/>
    <x v="3"/>
    <n v="2"/>
    <n v="3"/>
    <x v="0"/>
    <n v="317.40000000049002"/>
    <x v="0"/>
    <n v="450438.99999999901"/>
    <n v="1000"/>
    <n v="300"/>
    <x v="0"/>
    <n v="393346.37"/>
    <x v="1156"/>
    <x v="1"/>
  </r>
  <r>
    <n v="38"/>
    <x v="1"/>
    <x v="3"/>
    <n v="2"/>
    <n v="1"/>
    <x v="0"/>
    <n v="206.39999999971801"/>
    <x v="0"/>
    <n v="136472"/>
    <n v="1000"/>
    <n v="300"/>
    <x v="0"/>
    <n v="381905.17"/>
    <x v="1157"/>
    <x v="0"/>
  </r>
  <r>
    <n v="39"/>
    <x v="1"/>
    <x v="4"/>
    <n v="2"/>
    <n v="1"/>
    <x v="0"/>
    <n v="257.600000000124"/>
    <x v="0"/>
    <n v="207379"/>
    <n v="1000"/>
    <n v="300"/>
    <x v="0"/>
    <n v="419224.77"/>
    <x v="1158"/>
    <x v="0"/>
  </r>
  <r>
    <n v="40"/>
    <x v="1"/>
    <x v="4"/>
    <n v="2"/>
    <n v="2"/>
    <x v="0"/>
    <n v="242.59999999962599"/>
    <x v="0"/>
    <n v="197622"/>
    <n v="1000"/>
    <n v="300"/>
    <x v="0"/>
    <n v="385225.57"/>
    <x v="1159"/>
    <x v="0"/>
  </r>
  <r>
    <n v="41"/>
    <x v="1"/>
    <x v="4"/>
    <n v="2"/>
    <n v="3"/>
    <x v="0"/>
    <n v="354.20000000030399"/>
    <x v="0"/>
    <n v="1010568"/>
    <n v="1000"/>
    <n v="300"/>
    <x v="0"/>
    <n v="414225.97"/>
    <x v="1160"/>
    <x v="1"/>
  </r>
  <r>
    <n v="42"/>
    <x v="1"/>
    <x v="1"/>
    <n v="2"/>
    <n v="1"/>
    <x v="0"/>
    <n v="129.800000000202"/>
    <x v="0"/>
    <n v="33082.000000000298"/>
    <n v="1000"/>
    <n v="300"/>
    <x v="0"/>
    <n v="392285.97"/>
    <x v="1161"/>
    <x v="0"/>
  </r>
  <r>
    <n v="43"/>
    <x v="1"/>
    <x v="2"/>
    <n v="2"/>
    <n v="1"/>
    <x v="0"/>
    <n v="157.00000000009601"/>
    <x v="0"/>
    <n v="50701.000000000102"/>
    <n v="1000"/>
    <n v="300"/>
    <x v="0"/>
    <n v="385386.37"/>
    <x v="1162"/>
    <x v="0"/>
  </r>
  <r>
    <n v="44"/>
    <x v="1"/>
    <x v="2"/>
    <n v="2"/>
    <n v="2"/>
    <x v="0"/>
    <n v="156.599999999685"/>
    <x v="0"/>
    <n v="66129.000000000102"/>
    <n v="1000"/>
    <n v="300"/>
    <x v="0"/>
    <n v="386225.97"/>
    <x v="1163"/>
    <x v="0"/>
  </r>
  <r>
    <n v="45"/>
    <x v="1"/>
    <x v="2"/>
    <n v="2"/>
    <n v="3"/>
    <x v="0"/>
    <n v="211.00000000018301"/>
    <x v="0"/>
    <n v="256781.99999999901"/>
    <n v="1000"/>
    <n v="300"/>
    <x v="0"/>
    <n v="388225.57"/>
    <x v="1164"/>
    <x v="0"/>
  </r>
  <r>
    <n v="46"/>
    <x v="1"/>
    <x v="3"/>
    <n v="2"/>
    <n v="1"/>
    <x v="0"/>
    <n v="189.400000000006"/>
    <x v="0"/>
    <n v="193839"/>
    <n v="1000"/>
    <n v="300"/>
    <x v="0"/>
    <n v="390786.77"/>
    <x v="1165"/>
    <x v="0"/>
  </r>
  <r>
    <n v="47"/>
    <x v="1"/>
    <x v="3"/>
    <n v="2"/>
    <n v="2"/>
    <x v="0"/>
    <n v="193.80000000026601"/>
    <x v="0"/>
    <n v="113693.999999999"/>
    <n v="1000"/>
    <n v="300"/>
    <x v="0"/>
    <n v="386365.57"/>
    <x v="1166"/>
    <x v="0"/>
  </r>
  <r>
    <n v="48"/>
    <x v="1"/>
    <x v="3"/>
    <n v="2"/>
    <n v="3"/>
    <x v="0"/>
    <n v="249.79999999992199"/>
    <x v="0"/>
    <n v="251965"/>
    <n v="1000"/>
    <n v="300"/>
    <x v="0"/>
    <n v="429326.37"/>
    <x v="1167"/>
    <x v="1"/>
  </r>
  <r>
    <n v="49"/>
    <x v="1"/>
    <x v="3"/>
    <n v="2"/>
    <n v="1"/>
    <x v="0"/>
    <n v="183.19999999931699"/>
    <x v="0"/>
    <n v="102215.999999999"/>
    <n v="1000"/>
    <n v="300"/>
    <x v="0"/>
    <n v="400105.57"/>
    <x v="1168"/>
    <x v="0"/>
  </r>
  <r>
    <n v="50"/>
    <x v="1"/>
    <x v="3"/>
    <n v="2"/>
    <n v="2"/>
    <x v="0"/>
    <n v="190.800000000024"/>
    <x v="0"/>
    <n v="146021.99999999901"/>
    <n v="1000"/>
    <n v="300"/>
    <x v="0"/>
    <n v="383105.57"/>
    <x v="1169"/>
    <x v="0"/>
  </r>
  <r>
    <n v="51"/>
    <x v="1"/>
    <x v="3"/>
    <n v="2"/>
    <n v="3"/>
    <x v="0"/>
    <n v="252.19999999990301"/>
    <x v="0"/>
    <n v="203922"/>
    <n v="1000"/>
    <n v="300"/>
    <x v="0"/>
    <n v="398324.77"/>
    <x v="1170"/>
    <x v="0"/>
  </r>
  <r>
    <n v="52"/>
    <x v="1"/>
    <x v="4"/>
    <n v="2"/>
    <n v="1"/>
    <x v="0"/>
    <n v="219.40000000029201"/>
    <x v="0"/>
    <n v="251747"/>
    <n v="1000"/>
    <n v="300"/>
    <x v="0"/>
    <n v="383865.17"/>
    <x v="1171"/>
    <x v="0"/>
  </r>
  <r>
    <n v="53"/>
    <x v="1"/>
    <x v="4"/>
    <n v="2"/>
    <n v="2"/>
    <x v="0"/>
    <n v="218.80000000038501"/>
    <x v="0"/>
    <n v="209296.99999999901"/>
    <n v="1000"/>
    <n v="300"/>
    <x v="0"/>
    <n v="401784.77"/>
    <x v="1172"/>
    <x v="0"/>
  </r>
  <r>
    <n v="54"/>
    <x v="1"/>
    <x v="4"/>
    <n v="2"/>
    <n v="3"/>
    <x v="0"/>
    <n v="306.40000000019501"/>
    <x v="0"/>
    <n v="515255"/>
    <n v="1000"/>
    <n v="300"/>
    <x v="0"/>
    <n v="405083.97"/>
    <x v="1173"/>
    <x v="0"/>
  </r>
  <r>
    <n v="55"/>
    <x v="1"/>
    <x v="2"/>
    <n v="2"/>
    <n v="1"/>
    <x v="0"/>
    <n v="140.60000000064599"/>
    <x v="0"/>
    <n v="51733.999999999702"/>
    <n v="1000"/>
    <n v="300"/>
    <x v="0"/>
    <n v="391665.17"/>
    <x v="1174"/>
    <x v="0"/>
  </r>
  <r>
    <n v="56"/>
    <x v="1"/>
    <x v="2"/>
    <n v="2"/>
    <n v="2"/>
    <x v="0"/>
    <n v="137.60000000004899"/>
    <x v="0"/>
    <n v="57291.000000001099"/>
    <n v="1000"/>
    <n v="300"/>
    <x v="0"/>
    <n v="378145.57"/>
    <x v="1175"/>
    <x v="0"/>
  </r>
  <r>
    <n v="57"/>
    <x v="1"/>
    <x v="2"/>
    <n v="2"/>
    <n v="3"/>
    <x v="0"/>
    <n v="183.39999999987799"/>
    <x v="0"/>
    <n v="96692.000000000902"/>
    <n v="1000"/>
    <n v="300"/>
    <x v="0"/>
    <n v="423086.37"/>
    <x v="1176"/>
    <x v="0"/>
  </r>
  <r>
    <n v="58"/>
    <x v="1"/>
    <x v="3"/>
    <n v="2"/>
    <n v="1"/>
    <x v="0"/>
    <n v="215.599999999228"/>
    <x v="0"/>
    <n v="86040.000000000597"/>
    <n v="1000"/>
    <n v="300"/>
    <x v="0"/>
    <n v="395085.17"/>
    <x v="1177"/>
    <x v="0"/>
  </r>
  <r>
    <n v="59"/>
    <x v="1"/>
    <x v="3"/>
    <n v="2"/>
    <n v="2"/>
    <x v="0"/>
    <n v="212.39999999984599"/>
    <x v="0"/>
    <n v="68540.000000000495"/>
    <n v="1000"/>
    <n v="300"/>
    <x v="0"/>
    <n v="375965.57"/>
    <x v="1178"/>
    <x v="0"/>
  </r>
  <r>
    <n v="60"/>
    <x v="1"/>
    <x v="3"/>
    <n v="2"/>
    <n v="3"/>
    <x v="0"/>
    <n v="288.40000000016602"/>
    <x v="0"/>
    <n v="278874.99999999901"/>
    <n v="1000"/>
    <n v="300"/>
    <x v="0"/>
    <n v="388086.77"/>
    <x v="1179"/>
    <x v="1"/>
  </r>
  <r>
    <n v="61"/>
    <x v="1"/>
    <x v="4"/>
    <n v="2"/>
    <n v="1"/>
    <x v="0"/>
    <n v="230.60000000043601"/>
    <x v="0"/>
    <n v="161028"/>
    <n v="1000"/>
    <n v="300"/>
    <x v="0"/>
    <n v="426825.17"/>
    <x v="1180"/>
    <x v="0"/>
  </r>
  <r>
    <n v="62"/>
    <x v="1"/>
    <x v="4"/>
    <n v="2"/>
    <n v="2"/>
    <x v="0"/>
    <n v="233.80000000017299"/>
    <x v="0"/>
    <n v="123650"/>
    <n v="1000"/>
    <n v="300"/>
    <x v="0"/>
    <n v="401325.97"/>
    <x v="1181"/>
    <x v="0"/>
  </r>
  <r>
    <n v="63"/>
    <x v="1"/>
    <x v="4"/>
    <n v="2"/>
    <n v="3"/>
    <x v="0"/>
    <n v="359.799999999666"/>
    <x v="0"/>
    <n v="395599.00000000099"/>
    <n v="1000"/>
    <n v="300"/>
    <x v="0"/>
    <n v="396646.77"/>
    <x v="1182"/>
    <x v="1"/>
  </r>
  <r>
    <n v="64"/>
    <x v="1"/>
    <x v="5"/>
    <n v="2"/>
    <n v="1"/>
    <x v="0"/>
    <n v="274.00000000028501"/>
    <x v="0"/>
    <n v="279384"/>
    <n v="1000"/>
    <n v="300"/>
    <x v="0"/>
    <n v="386726.77"/>
    <x v="1183"/>
    <x v="0"/>
  </r>
  <r>
    <n v="65"/>
    <x v="1"/>
    <x v="5"/>
    <n v="2"/>
    <n v="2"/>
    <x v="0"/>
    <n v="271.20000000024902"/>
    <x v="0"/>
    <n v="345789"/>
    <n v="1000"/>
    <n v="300"/>
    <x v="0"/>
    <n v="403065.17"/>
    <x v="1184"/>
    <x v="0"/>
  </r>
  <r>
    <n v="66"/>
    <x v="1"/>
    <x v="5"/>
    <n v="2"/>
    <n v="3"/>
    <x v="0"/>
    <n v="390.99999999976399"/>
    <x v="0"/>
    <n v="1149315"/>
    <n v="1000"/>
    <n v="300"/>
    <x v="0"/>
    <n v="404705.57"/>
    <x v="1185"/>
    <x v="1"/>
  </r>
  <r>
    <n v="67"/>
    <x v="1"/>
    <x v="4"/>
    <n v="2"/>
    <n v="1"/>
    <x v="0"/>
    <n v="210.20000000007099"/>
    <x v="0"/>
    <n v="176762"/>
    <n v="1000"/>
    <n v="300"/>
    <x v="0"/>
    <n v="397725.17"/>
    <x v="1186"/>
    <x v="0"/>
  </r>
  <r>
    <n v="68"/>
    <x v="1"/>
    <x v="4"/>
    <n v="2"/>
    <n v="2"/>
    <x v="0"/>
    <n v="210.00000000022101"/>
    <x v="0"/>
    <n v="175160"/>
    <n v="1000"/>
    <n v="300"/>
    <x v="0"/>
    <n v="381804.77"/>
    <x v="1187"/>
    <x v="0"/>
  </r>
  <r>
    <n v="69"/>
    <x v="1"/>
    <x v="4"/>
    <n v="2"/>
    <n v="3"/>
    <x v="0"/>
    <n v="292.59999999986502"/>
    <x v="0"/>
    <n v="386187"/>
    <n v="1000"/>
    <n v="300"/>
    <x v="0"/>
    <n v="377424.37"/>
    <x v="1188"/>
    <x v="1"/>
  </r>
  <r>
    <n v="28"/>
    <x v="1"/>
    <x v="1"/>
    <n v="2"/>
    <n v="1"/>
    <x v="0"/>
    <n v="541.19999999961999"/>
    <x v="0"/>
    <n v="37176.000000000502"/>
    <n v="2000"/>
    <n v="300"/>
    <x v="0"/>
    <n v="750848.37"/>
    <x v="1189"/>
    <x v="0"/>
  </r>
  <r>
    <n v="29"/>
    <x v="1"/>
    <x v="2"/>
    <n v="2"/>
    <n v="2"/>
    <x v="0"/>
    <n v="547.39999999959798"/>
    <x v="0"/>
    <n v="71896.000000000597"/>
    <n v="2000"/>
    <n v="300"/>
    <x v="0"/>
    <n v="777327.17"/>
    <x v="1190"/>
    <x v="0"/>
  </r>
  <r>
    <n v="30"/>
    <x v="1"/>
    <x v="2"/>
    <n v="2"/>
    <n v="3"/>
    <x v="0"/>
    <n v="598.60000000000502"/>
    <x v="0"/>
    <n v="251473"/>
    <n v="2000"/>
    <n v="300"/>
    <x v="0"/>
    <n v="781967.57"/>
    <x v="1191"/>
    <x v="1"/>
  </r>
  <r>
    <n v="31"/>
    <x v="1"/>
    <x v="2"/>
    <n v="2"/>
    <n v="1"/>
    <x v="0"/>
    <n v="351.19999999970702"/>
    <x v="0"/>
    <n v="68826.999999999796"/>
    <n v="2000"/>
    <n v="300"/>
    <x v="0"/>
    <n v="735607.17"/>
    <x v="1192"/>
    <x v="0"/>
  </r>
  <r>
    <n v="32"/>
    <x v="1"/>
    <x v="2"/>
    <n v="2"/>
    <n v="2"/>
    <x v="0"/>
    <n v="356.00000000002302"/>
    <x v="0"/>
    <n v="64877.000000000102"/>
    <n v="2000"/>
    <n v="300"/>
    <x v="0"/>
    <n v="749487.17"/>
    <x v="1193"/>
    <x v="0"/>
  </r>
  <r>
    <n v="33"/>
    <x v="1"/>
    <x v="2"/>
    <n v="2"/>
    <n v="3"/>
    <x v="0"/>
    <n v="485.39999999981399"/>
    <x v="0"/>
    <n v="255639"/>
    <n v="2000"/>
    <n v="300"/>
    <x v="0"/>
    <n v="825806.37"/>
    <x v="1194"/>
    <x v="1"/>
  </r>
  <r>
    <n v="34"/>
    <x v="1"/>
    <x v="2"/>
    <n v="2"/>
    <n v="1"/>
    <x v="0"/>
    <n v="307.60000000000798"/>
    <x v="0"/>
    <n v="49771.999999999898"/>
    <n v="2000"/>
    <n v="300"/>
    <x v="0"/>
    <n v="829526.77"/>
    <x v="1195"/>
    <x v="0"/>
  </r>
  <r>
    <n v="35"/>
    <x v="1"/>
    <x v="3"/>
    <n v="2"/>
    <n v="1"/>
    <x v="0"/>
    <n v="378.80000000036802"/>
    <x v="0"/>
    <n v="110241"/>
    <n v="2000"/>
    <n v="300"/>
    <x v="0"/>
    <n v="784726.77"/>
    <x v="1196"/>
    <x v="0"/>
  </r>
  <r>
    <n v="36"/>
    <x v="1"/>
    <x v="3"/>
    <n v="2"/>
    <n v="2"/>
    <x v="0"/>
    <n v="225.399999999709"/>
    <x v="0"/>
    <n v="111119"/>
    <n v="2000"/>
    <n v="300"/>
    <x v="0"/>
    <n v="784967.17"/>
    <x v="1197"/>
    <x v="0"/>
  </r>
  <r>
    <n v="37"/>
    <x v="1"/>
    <x v="3"/>
    <n v="2"/>
    <n v="3"/>
    <x v="0"/>
    <n v="317.40000000049002"/>
    <x v="0"/>
    <n v="450438.99999999901"/>
    <n v="2000"/>
    <n v="300"/>
    <x v="0"/>
    <n v="770767.17"/>
    <x v="1198"/>
    <x v="1"/>
  </r>
  <r>
    <n v="38"/>
    <x v="1"/>
    <x v="3"/>
    <n v="2"/>
    <n v="1"/>
    <x v="0"/>
    <n v="206.39999999971801"/>
    <x v="0"/>
    <n v="136472"/>
    <n v="2000"/>
    <n v="300"/>
    <x v="0"/>
    <n v="747886.77"/>
    <x v="1199"/>
    <x v="0"/>
  </r>
  <r>
    <n v="39"/>
    <x v="1"/>
    <x v="4"/>
    <n v="2"/>
    <n v="1"/>
    <x v="0"/>
    <n v="257.600000000124"/>
    <x v="0"/>
    <n v="207379"/>
    <n v="2000"/>
    <n v="300"/>
    <x v="0"/>
    <n v="822526.37"/>
    <x v="1200"/>
    <x v="0"/>
  </r>
  <r>
    <n v="40"/>
    <x v="1"/>
    <x v="4"/>
    <n v="2"/>
    <n v="2"/>
    <x v="0"/>
    <n v="242.59999999962599"/>
    <x v="0"/>
    <n v="197622"/>
    <n v="2000"/>
    <n v="300"/>
    <x v="0"/>
    <n v="754527.17"/>
    <x v="1201"/>
    <x v="1"/>
  </r>
  <r>
    <n v="41"/>
    <x v="1"/>
    <x v="4"/>
    <n v="2"/>
    <n v="3"/>
    <x v="0"/>
    <n v="354.20000000030399"/>
    <x v="0"/>
    <n v="1010568"/>
    <n v="2000"/>
    <n v="300"/>
    <x v="0"/>
    <n v="812527.97"/>
    <x v="1202"/>
    <x v="1"/>
  </r>
  <r>
    <n v="42"/>
    <x v="1"/>
    <x v="1"/>
    <n v="2"/>
    <n v="1"/>
    <x v="0"/>
    <n v="129.800000000202"/>
    <x v="0"/>
    <n v="33082.000000000298"/>
    <n v="2000"/>
    <n v="300"/>
    <x v="0"/>
    <n v="768647.57"/>
    <x v="1203"/>
    <x v="0"/>
  </r>
  <r>
    <n v="43"/>
    <x v="1"/>
    <x v="2"/>
    <n v="2"/>
    <n v="1"/>
    <x v="0"/>
    <n v="157.00000000009601"/>
    <x v="0"/>
    <n v="50701.000000000102"/>
    <n v="2000"/>
    <n v="300"/>
    <x v="0"/>
    <n v="754847.17"/>
    <x v="1204"/>
    <x v="0"/>
  </r>
  <r>
    <n v="44"/>
    <x v="1"/>
    <x v="2"/>
    <n v="2"/>
    <n v="2"/>
    <x v="0"/>
    <n v="156.599999999685"/>
    <x v="0"/>
    <n v="66129.000000000102"/>
    <n v="2000"/>
    <n v="300"/>
    <x v="0"/>
    <n v="756527.57"/>
    <x v="1205"/>
    <x v="0"/>
  </r>
  <r>
    <n v="45"/>
    <x v="1"/>
    <x v="2"/>
    <n v="2"/>
    <n v="3"/>
    <x v="0"/>
    <n v="211.00000000018301"/>
    <x v="0"/>
    <n v="256781.99999999901"/>
    <n v="2000"/>
    <n v="300"/>
    <x v="0"/>
    <n v="760527.17"/>
    <x v="1206"/>
    <x v="0"/>
  </r>
  <r>
    <n v="46"/>
    <x v="1"/>
    <x v="3"/>
    <n v="2"/>
    <n v="1"/>
    <x v="0"/>
    <n v="189.400000000006"/>
    <x v="0"/>
    <n v="193839"/>
    <n v="2000"/>
    <n v="300"/>
    <x v="0"/>
    <n v="765648.37"/>
    <x v="1207"/>
    <x v="0"/>
  </r>
  <r>
    <n v="47"/>
    <x v="1"/>
    <x v="3"/>
    <n v="2"/>
    <n v="2"/>
    <x v="0"/>
    <n v="193.80000000026601"/>
    <x v="0"/>
    <n v="113693.999999999"/>
    <n v="2000"/>
    <n v="300"/>
    <x v="0"/>
    <n v="756806.77"/>
    <x v="1208"/>
    <x v="0"/>
  </r>
  <r>
    <n v="48"/>
    <x v="1"/>
    <x v="3"/>
    <n v="2"/>
    <n v="3"/>
    <x v="0"/>
    <n v="249.79999999992199"/>
    <x v="0"/>
    <n v="251965"/>
    <n v="2000"/>
    <n v="300"/>
    <x v="0"/>
    <n v="842727.97"/>
    <x v="1209"/>
    <x v="0"/>
  </r>
  <r>
    <n v="49"/>
    <x v="1"/>
    <x v="3"/>
    <n v="2"/>
    <n v="1"/>
    <x v="0"/>
    <n v="183.19999999931699"/>
    <x v="0"/>
    <n v="102215.999999999"/>
    <n v="2000"/>
    <n v="300"/>
    <x v="0"/>
    <n v="784287.17"/>
    <x v="1210"/>
    <x v="0"/>
  </r>
  <r>
    <n v="50"/>
    <x v="1"/>
    <x v="3"/>
    <n v="2"/>
    <n v="2"/>
    <x v="0"/>
    <n v="190.800000000024"/>
    <x v="0"/>
    <n v="146021.99999999901"/>
    <n v="2000"/>
    <n v="300"/>
    <x v="0"/>
    <n v="750287.57"/>
    <x v="1211"/>
    <x v="0"/>
  </r>
  <r>
    <n v="51"/>
    <x v="1"/>
    <x v="3"/>
    <n v="2"/>
    <n v="3"/>
    <x v="0"/>
    <n v="252.19999999990301"/>
    <x v="0"/>
    <n v="203922"/>
    <n v="2000"/>
    <n v="300"/>
    <x v="0"/>
    <n v="780726.37"/>
    <x v="1212"/>
    <x v="1"/>
  </r>
  <r>
    <n v="52"/>
    <x v="1"/>
    <x v="4"/>
    <n v="2"/>
    <n v="1"/>
    <x v="0"/>
    <n v="219.40000000029201"/>
    <x v="0"/>
    <n v="251747"/>
    <n v="2000"/>
    <n v="300"/>
    <x v="0"/>
    <n v="751806.77"/>
    <x v="1213"/>
    <x v="0"/>
  </r>
  <r>
    <n v="53"/>
    <x v="1"/>
    <x v="4"/>
    <n v="2"/>
    <n v="2"/>
    <x v="0"/>
    <n v="218.80000000038501"/>
    <x v="0"/>
    <n v="209296.99999999901"/>
    <n v="2000"/>
    <n v="300"/>
    <x v="0"/>
    <n v="787647.17"/>
    <x v="1214"/>
    <x v="0"/>
  </r>
  <r>
    <n v="54"/>
    <x v="1"/>
    <x v="4"/>
    <n v="2"/>
    <n v="3"/>
    <x v="0"/>
    <n v="306.40000000019501"/>
    <x v="0"/>
    <n v="515255"/>
    <n v="2000"/>
    <n v="300"/>
    <x v="0"/>
    <n v="794245.97"/>
    <x v="1215"/>
    <x v="1"/>
  </r>
  <r>
    <n v="55"/>
    <x v="1"/>
    <x v="2"/>
    <n v="2"/>
    <n v="1"/>
    <x v="0"/>
    <n v="140.60000000064599"/>
    <x v="0"/>
    <n v="51733.999999999702"/>
    <n v="2000"/>
    <n v="300"/>
    <x v="0"/>
    <n v="767407.17"/>
    <x v="1216"/>
    <x v="0"/>
  </r>
  <r>
    <n v="56"/>
    <x v="1"/>
    <x v="2"/>
    <n v="2"/>
    <n v="2"/>
    <x v="0"/>
    <n v="137.60000000004899"/>
    <x v="0"/>
    <n v="57291.000000001099"/>
    <n v="2000"/>
    <n v="300"/>
    <x v="0"/>
    <n v="740367.17"/>
    <x v="1217"/>
    <x v="0"/>
  </r>
  <r>
    <n v="57"/>
    <x v="1"/>
    <x v="2"/>
    <n v="2"/>
    <n v="3"/>
    <x v="0"/>
    <n v="183.39999999987799"/>
    <x v="0"/>
    <n v="96692.000000000902"/>
    <n v="2000"/>
    <n v="300"/>
    <x v="0"/>
    <n v="830247.57"/>
    <x v="1218"/>
    <x v="0"/>
  </r>
  <r>
    <n v="58"/>
    <x v="1"/>
    <x v="3"/>
    <n v="2"/>
    <n v="1"/>
    <x v="0"/>
    <n v="215.599999999228"/>
    <x v="0"/>
    <n v="86040.000000000597"/>
    <n v="2000"/>
    <n v="300"/>
    <x v="0"/>
    <n v="774246.77"/>
    <x v="1219"/>
    <x v="0"/>
  </r>
  <r>
    <n v="59"/>
    <x v="1"/>
    <x v="3"/>
    <n v="2"/>
    <n v="2"/>
    <x v="0"/>
    <n v="212.39999999984599"/>
    <x v="0"/>
    <n v="68540.000000000495"/>
    <n v="2000"/>
    <n v="300"/>
    <x v="0"/>
    <n v="736006.77"/>
    <x v="1220"/>
    <x v="0"/>
  </r>
  <r>
    <n v="60"/>
    <x v="1"/>
    <x v="3"/>
    <n v="2"/>
    <n v="3"/>
    <x v="0"/>
    <n v="288.40000000016602"/>
    <x v="0"/>
    <n v="278874.99999999901"/>
    <n v="2000"/>
    <n v="300"/>
    <x v="0"/>
    <n v="760247.97"/>
    <x v="1221"/>
    <x v="0"/>
  </r>
  <r>
    <n v="61"/>
    <x v="1"/>
    <x v="4"/>
    <n v="2"/>
    <n v="1"/>
    <x v="0"/>
    <n v="230.60000000043601"/>
    <x v="0"/>
    <n v="161028"/>
    <n v="2000"/>
    <n v="300"/>
    <x v="0"/>
    <n v="837727.17"/>
    <x v="1222"/>
    <x v="0"/>
  </r>
  <r>
    <n v="62"/>
    <x v="1"/>
    <x v="4"/>
    <n v="2"/>
    <n v="2"/>
    <x v="0"/>
    <n v="233.80000000017299"/>
    <x v="0"/>
    <n v="123650"/>
    <n v="2000"/>
    <n v="300"/>
    <x v="0"/>
    <n v="786727.57"/>
    <x v="1223"/>
    <x v="0"/>
  </r>
  <r>
    <n v="63"/>
    <x v="1"/>
    <x v="4"/>
    <n v="2"/>
    <n v="3"/>
    <x v="0"/>
    <n v="359.799999999666"/>
    <x v="0"/>
    <n v="395599.00000000099"/>
    <n v="2000"/>
    <n v="300"/>
    <x v="0"/>
    <n v="777367.97"/>
    <x v="1224"/>
    <x v="0"/>
  </r>
  <r>
    <n v="64"/>
    <x v="1"/>
    <x v="5"/>
    <n v="2"/>
    <n v="1"/>
    <x v="0"/>
    <n v="274.00000000028501"/>
    <x v="0"/>
    <n v="279384"/>
    <n v="2000"/>
    <n v="300"/>
    <x v="0"/>
    <n v="757528.37"/>
    <x v="1225"/>
    <x v="0"/>
  </r>
  <r>
    <n v="65"/>
    <x v="1"/>
    <x v="5"/>
    <n v="2"/>
    <n v="2"/>
    <x v="0"/>
    <n v="271.20000000024902"/>
    <x v="0"/>
    <n v="345789"/>
    <n v="2000"/>
    <n v="300"/>
    <x v="0"/>
    <n v="790207.57"/>
    <x v="1226"/>
    <x v="0"/>
  </r>
  <r>
    <n v="66"/>
    <x v="1"/>
    <x v="5"/>
    <n v="2"/>
    <n v="3"/>
    <x v="0"/>
    <n v="390.99999999976399"/>
    <x v="0"/>
    <n v="1149315"/>
    <n v="2000"/>
    <n v="300"/>
    <x v="0"/>
    <n v="793487.57"/>
    <x v="1227"/>
    <x v="1"/>
  </r>
  <r>
    <n v="67"/>
    <x v="1"/>
    <x v="4"/>
    <n v="2"/>
    <n v="1"/>
    <x v="0"/>
    <n v="210.20000000007099"/>
    <x v="0"/>
    <n v="176762"/>
    <n v="2000"/>
    <n v="300"/>
    <x v="0"/>
    <n v="779526.77"/>
    <x v="1228"/>
    <x v="0"/>
  </r>
  <r>
    <n v="68"/>
    <x v="1"/>
    <x v="4"/>
    <n v="2"/>
    <n v="2"/>
    <x v="0"/>
    <n v="210.00000000022101"/>
    <x v="0"/>
    <n v="175160"/>
    <n v="2000"/>
    <n v="300"/>
    <x v="0"/>
    <n v="747686.37"/>
    <x v="1229"/>
    <x v="0"/>
  </r>
  <r>
    <n v="69"/>
    <x v="1"/>
    <x v="4"/>
    <n v="2"/>
    <n v="3"/>
    <x v="0"/>
    <n v="292.59999999986502"/>
    <x v="0"/>
    <n v="386187"/>
    <n v="2000"/>
    <n v="300"/>
    <x v="0"/>
    <n v="738926.37"/>
    <x v="1230"/>
    <x v="0"/>
  </r>
  <r>
    <n v="28"/>
    <x v="1"/>
    <x v="1"/>
    <n v="2"/>
    <n v="1"/>
    <x v="0"/>
    <n v="541.19999999961999"/>
    <x v="1"/>
    <n v="40185.000000008098"/>
    <n v="1000"/>
    <n v="20"/>
    <x v="0"/>
    <n v="111668.81"/>
    <x v="1231"/>
    <x v="0"/>
  </r>
  <r>
    <n v="29"/>
    <x v="1"/>
    <x v="2"/>
    <n v="2"/>
    <n v="2"/>
    <x v="0"/>
    <n v="547.39999999959798"/>
    <x v="1"/>
    <n v="34695.999999996697"/>
    <n v="1000"/>
    <n v="20"/>
    <x v="0"/>
    <n v="97187.21"/>
    <x v="1232"/>
    <x v="0"/>
  </r>
  <r>
    <n v="30"/>
    <x v="1"/>
    <x v="2"/>
    <n v="2"/>
    <n v="3"/>
    <x v="0"/>
    <n v="598.60000000000502"/>
    <x v="1"/>
    <n v="78614.999999984997"/>
    <n v="1000"/>
    <n v="20"/>
    <x v="0"/>
    <n v="101228.01"/>
    <x v="1233"/>
    <x v="1"/>
  </r>
  <r>
    <n v="31"/>
    <x v="1"/>
    <x v="2"/>
    <n v="2"/>
    <n v="1"/>
    <x v="0"/>
    <n v="351.19999999970702"/>
    <x v="1"/>
    <n v="51963.999999998101"/>
    <n v="1000"/>
    <n v="20"/>
    <x v="0"/>
    <n v="99107.61"/>
    <x v="1234"/>
    <x v="0"/>
  </r>
  <r>
    <n v="32"/>
    <x v="1"/>
    <x v="2"/>
    <n v="2"/>
    <n v="2"/>
    <x v="0"/>
    <n v="356.00000000002302"/>
    <x v="1"/>
    <n v="20672.999999987998"/>
    <n v="1000"/>
    <n v="20"/>
    <x v="0"/>
    <n v="96787.21"/>
    <x v="1235"/>
    <x v="0"/>
  </r>
  <r>
    <n v="33"/>
    <x v="1"/>
    <x v="2"/>
    <n v="2"/>
    <n v="3"/>
    <x v="0"/>
    <n v="485.39999999981399"/>
    <x v="1"/>
    <n v="60222.000000010201"/>
    <n v="1000"/>
    <n v="20"/>
    <x v="0"/>
    <n v="100428.01"/>
    <x v="1236"/>
    <x v="0"/>
  </r>
  <r>
    <n v="34"/>
    <x v="1"/>
    <x v="2"/>
    <n v="2"/>
    <n v="1"/>
    <x v="0"/>
    <n v="307.60000000000798"/>
    <x v="1"/>
    <n v="19947.000000001899"/>
    <n v="1000"/>
    <n v="20"/>
    <x v="0"/>
    <n v="98907.61"/>
    <x v="1237"/>
    <x v="0"/>
  </r>
  <r>
    <n v="35"/>
    <x v="1"/>
    <x v="3"/>
    <n v="2"/>
    <n v="1"/>
    <x v="0"/>
    <n v="378.80000000036802"/>
    <x v="1"/>
    <n v="67833.000000007407"/>
    <n v="1000"/>
    <n v="20"/>
    <x v="0"/>
    <n v="128347.61"/>
    <x v="1238"/>
    <x v="0"/>
  </r>
  <r>
    <n v="36"/>
    <x v="1"/>
    <x v="3"/>
    <n v="2"/>
    <n v="2"/>
    <x v="0"/>
    <n v="225.399999999709"/>
    <x v="1"/>
    <n v="85232.000000019107"/>
    <n v="1000"/>
    <n v="20"/>
    <x v="0"/>
    <n v="113388.01"/>
    <x v="1239"/>
    <x v="1"/>
  </r>
  <r>
    <n v="37"/>
    <x v="1"/>
    <x v="3"/>
    <n v="2"/>
    <n v="3"/>
    <x v="0"/>
    <n v="317.40000000049002"/>
    <x v="1"/>
    <n v="429632.99999999598"/>
    <n v="1000"/>
    <n v="20"/>
    <x v="0"/>
    <n v="125307.61"/>
    <x v="1240"/>
    <x v="1"/>
  </r>
  <r>
    <n v="38"/>
    <x v="1"/>
    <x v="3"/>
    <n v="2"/>
    <n v="1"/>
    <x v="0"/>
    <n v="206.39999999971801"/>
    <x v="1"/>
    <n v="58606.999999995001"/>
    <n v="1000"/>
    <n v="20"/>
    <x v="0"/>
    <n v="128467.21"/>
    <x v="1241"/>
    <x v="0"/>
  </r>
  <r>
    <n v="39"/>
    <x v="1"/>
    <x v="4"/>
    <n v="2"/>
    <n v="1"/>
    <x v="0"/>
    <n v="257.600000000124"/>
    <x v="1"/>
    <n v="172606.00000000201"/>
    <n v="1000"/>
    <n v="20"/>
    <x v="0"/>
    <n v="132828.01"/>
    <x v="1242"/>
    <x v="0"/>
  </r>
  <r>
    <n v="40"/>
    <x v="1"/>
    <x v="4"/>
    <n v="2"/>
    <n v="2"/>
    <x v="0"/>
    <n v="242.59999999962599"/>
    <x v="1"/>
    <n v="100393.999999994"/>
    <n v="1000"/>
    <n v="20"/>
    <x v="0"/>
    <n v="116068.41"/>
    <x v="1243"/>
    <x v="1"/>
  </r>
  <r>
    <n v="41"/>
    <x v="1"/>
    <x v="4"/>
    <n v="2"/>
    <n v="3"/>
    <x v="0"/>
    <n v="354.20000000030399"/>
    <x v="1"/>
    <n v="409392.00000002497"/>
    <n v="1000"/>
    <n v="20"/>
    <x v="0"/>
    <n v="125389.21"/>
    <x v="1244"/>
    <x v="1"/>
  </r>
  <r>
    <n v="42"/>
    <x v="1"/>
    <x v="1"/>
    <n v="2"/>
    <n v="1"/>
    <x v="0"/>
    <n v="129.800000000202"/>
    <x v="1"/>
    <n v="11878.999999993301"/>
    <n v="1000"/>
    <n v="20"/>
    <x v="0"/>
    <n v="98067.61"/>
    <x v="1245"/>
    <x v="0"/>
  </r>
  <r>
    <n v="43"/>
    <x v="1"/>
    <x v="2"/>
    <n v="2"/>
    <n v="1"/>
    <x v="0"/>
    <n v="157.00000000009601"/>
    <x v="1"/>
    <n v="17081.999999987798"/>
    <n v="1000"/>
    <n v="20"/>
    <x v="0"/>
    <n v="100427.61"/>
    <x v="1246"/>
    <x v="0"/>
  </r>
  <r>
    <n v="44"/>
    <x v="1"/>
    <x v="2"/>
    <n v="2"/>
    <n v="2"/>
    <x v="0"/>
    <n v="156.599999999685"/>
    <x v="1"/>
    <n v="24732.0000000002"/>
    <n v="1000"/>
    <n v="20"/>
    <x v="0"/>
    <n v="99868.01"/>
    <x v="1247"/>
    <x v="0"/>
  </r>
  <r>
    <n v="45"/>
    <x v="1"/>
    <x v="2"/>
    <n v="2"/>
    <n v="3"/>
    <x v="0"/>
    <n v="211.00000000018301"/>
    <x v="1"/>
    <n v="56737.9999999957"/>
    <n v="1000"/>
    <n v="20"/>
    <x v="0"/>
    <n v="97428.01"/>
    <x v="1248"/>
    <x v="0"/>
  </r>
  <r>
    <n v="46"/>
    <x v="1"/>
    <x v="3"/>
    <n v="2"/>
    <n v="1"/>
    <x v="0"/>
    <n v="189.400000000006"/>
    <x v="1"/>
    <n v="68061.000000000204"/>
    <n v="1000"/>
    <n v="20"/>
    <x v="0"/>
    <n v="99509.21"/>
    <x v="1249"/>
    <x v="0"/>
  </r>
  <r>
    <n v="47"/>
    <x v="1"/>
    <x v="3"/>
    <n v="2"/>
    <n v="2"/>
    <x v="0"/>
    <n v="193.80000000026601"/>
    <x v="1"/>
    <n v="55103.000000002598"/>
    <n v="1000"/>
    <n v="20"/>
    <x v="0"/>
    <n v="100267.61"/>
    <x v="1250"/>
    <x v="0"/>
  </r>
  <r>
    <n v="48"/>
    <x v="1"/>
    <x v="3"/>
    <n v="2"/>
    <n v="3"/>
    <x v="0"/>
    <n v="249.79999999992199"/>
    <x v="1"/>
    <n v="121555.000000001"/>
    <n v="1000"/>
    <n v="20"/>
    <x v="0"/>
    <n v="129507.61"/>
    <x v="1251"/>
    <x v="1"/>
  </r>
  <r>
    <n v="49"/>
    <x v="1"/>
    <x v="3"/>
    <n v="2"/>
    <n v="1"/>
    <x v="0"/>
    <n v="183.19999999931699"/>
    <x v="1"/>
    <n v="41121.000000004002"/>
    <n v="1000"/>
    <n v="20"/>
    <x v="0"/>
    <n v="96068.81"/>
    <x v="1252"/>
    <x v="0"/>
  </r>
  <r>
    <n v="50"/>
    <x v="1"/>
    <x v="3"/>
    <n v="2"/>
    <n v="2"/>
    <x v="0"/>
    <n v="190.800000000024"/>
    <x v="1"/>
    <n v="50727.999999992302"/>
    <n v="1000"/>
    <n v="20"/>
    <x v="0"/>
    <n v="111748.01"/>
    <x v="1253"/>
    <x v="0"/>
  </r>
  <r>
    <n v="51"/>
    <x v="1"/>
    <x v="3"/>
    <n v="2"/>
    <n v="3"/>
    <x v="0"/>
    <n v="252.19999999990301"/>
    <x v="1"/>
    <n v="139174.99999999499"/>
    <n v="1000"/>
    <n v="20"/>
    <x v="0"/>
    <n v="113068.01"/>
    <x v="1254"/>
    <x v="1"/>
  </r>
  <r>
    <n v="52"/>
    <x v="1"/>
    <x v="4"/>
    <n v="2"/>
    <n v="1"/>
    <x v="0"/>
    <n v="219.40000000029201"/>
    <x v="1"/>
    <n v="49910.000000011198"/>
    <n v="1000"/>
    <n v="20"/>
    <x v="0"/>
    <n v="97428.81"/>
    <x v="1255"/>
    <x v="0"/>
  </r>
  <r>
    <n v="53"/>
    <x v="1"/>
    <x v="4"/>
    <n v="2"/>
    <n v="2"/>
    <x v="0"/>
    <n v="218.80000000038501"/>
    <x v="1"/>
    <n v="113836.99999999"/>
    <n v="1000"/>
    <n v="20"/>
    <x v="0"/>
    <n v="114747.61"/>
    <x v="1256"/>
    <x v="1"/>
  </r>
  <r>
    <n v="54"/>
    <x v="1"/>
    <x v="4"/>
    <n v="2"/>
    <n v="3"/>
    <x v="0"/>
    <n v="306.40000000019501"/>
    <x v="1"/>
    <n v="434876.00000000303"/>
    <n v="1000"/>
    <n v="20"/>
    <x v="0"/>
    <n v="133150.01"/>
    <x v="1257"/>
    <x v="1"/>
  </r>
  <r>
    <n v="55"/>
    <x v="1"/>
    <x v="2"/>
    <n v="2"/>
    <n v="1"/>
    <x v="0"/>
    <n v="140.60000000064599"/>
    <x v="1"/>
    <n v="27028.000000001401"/>
    <n v="1000"/>
    <n v="20"/>
    <x v="0"/>
    <n v="98468.01"/>
    <x v="1258"/>
    <x v="0"/>
  </r>
  <r>
    <n v="56"/>
    <x v="1"/>
    <x v="2"/>
    <n v="2"/>
    <n v="2"/>
    <x v="0"/>
    <n v="137.60000000004899"/>
    <x v="1"/>
    <n v="25397.999999995602"/>
    <n v="1000"/>
    <n v="20"/>
    <x v="0"/>
    <n v="99828.01"/>
    <x v="1259"/>
    <x v="0"/>
  </r>
  <r>
    <n v="57"/>
    <x v="1"/>
    <x v="2"/>
    <n v="2"/>
    <n v="3"/>
    <x v="0"/>
    <n v="183.39999999987799"/>
    <x v="1"/>
    <n v="44558.000000023399"/>
    <n v="1000"/>
    <n v="20"/>
    <x v="0"/>
    <n v="96468.81"/>
    <x v="1260"/>
    <x v="1"/>
  </r>
  <r>
    <n v="58"/>
    <x v="1"/>
    <x v="3"/>
    <n v="2"/>
    <n v="1"/>
    <x v="0"/>
    <n v="215.599999999228"/>
    <x v="1"/>
    <n v="56205.000000005602"/>
    <n v="1000"/>
    <n v="20"/>
    <x v="0"/>
    <n v="101031.21"/>
    <x v="1261"/>
    <x v="0"/>
  </r>
  <r>
    <n v="59"/>
    <x v="1"/>
    <x v="3"/>
    <n v="2"/>
    <n v="2"/>
    <x v="0"/>
    <n v="212.39999999984599"/>
    <x v="1"/>
    <n v="45035.000000012798"/>
    <n v="1000"/>
    <n v="20"/>
    <x v="0"/>
    <n v="99388.01"/>
    <x v="1262"/>
    <x v="0"/>
  </r>
  <r>
    <n v="60"/>
    <x v="1"/>
    <x v="3"/>
    <n v="2"/>
    <n v="3"/>
    <x v="0"/>
    <n v="288.40000000016602"/>
    <x v="1"/>
    <n v="150798.00000000899"/>
    <n v="1000"/>
    <n v="20"/>
    <x v="0"/>
    <n v="101189.61"/>
    <x v="1263"/>
    <x v="1"/>
  </r>
  <r>
    <n v="61"/>
    <x v="1"/>
    <x v="4"/>
    <n v="2"/>
    <n v="1"/>
    <x v="0"/>
    <n v="230.60000000043601"/>
    <x v="1"/>
    <n v="105615.99999999801"/>
    <n v="1000"/>
    <n v="20"/>
    <x v="0"/>
    <n v="120829.21"/>
    <x v="1264"/>
    <x v="0"/>
  </r>
  <r>
    <n v="62"/>
    <x v="1"/>
    <x v="4"/>
    <n v="2"/>
    <n v="2"/>
    <x v="0"/>
    <n v="233.80000000017299"/>
    <x v="1"/>
    <n v="102223.999999978"/>
    <n v="1000"/>
    <n v="20"/>
    <x v="0"/>
    <n v="97707.61"/>
    <x v="1265"/>
    <x v="0"/>
  </r>
  <r>
    <n v="63"/>
    <x v="1"/>
    <x v="4"/>
    <n v="2"/>
    <n v="3"/>
    <x v="0"/>
    <n v="359.799999999666"/>
    <x v="1"/>
    <n v="241534.99999999901"/>
    <n v="1000"/>
    <n v="20"/>
    <x v="0"/>
    <n v="103428.41"/>
    <x v="1266"/>
    <x v="1"/>
  </r>
  <r>
    <n v="64"/>
    <x v="1"/>
    <x v="5"/>
    <n v="2"/>
    <n v="1"/>
    <x v="0"/>
    <n v="274.00000000028501"/>
    <x v="1"/>
    <n v="128890.00000001299"/>
    <n v="1000"/>
    <n v="20"/>
    <x v="0"/>
    <n v="104790.41"/>
    <x v="1267"/>
    <x v="0"/>
  </r>
  <r>
    <n v="65"/>
    <x v="1"/>
    <x v="5"/>
    <n v="2"/>
    <n v="2"/>
    <x v="0"/>
    <n v="271.20000000024902"/>
    <x v="1"/>
    <n v="165955.999999994"/>
    <n v="1000"/>
    <n v="20"/>
    <x v="0"/>
    <n v="101148.01"/>
    <x v="1268"/>
    <x v="1"/>
  </r>
  <r>
    <n v="66"/>
    <x v="1"/>
    <x v="5"/>
    <n v="2"/>
    <n v="3"/>
    <x v="0"/>
    <n v="390.99999999976399"/>
    <x v="1"/>
    <n v="603557.99999999197"/>
    <n v="1000"/>
    <n v="20"/>
    <x v="0"/>
    <n v="105829.21"/>
    <x v="1269"/>
    <x v="1"/>
  </r>
  <r>
    <n v="67"/>
    <x v="1"/>
    <x v="4"/>
    <n v="2"/>
    <n v="1"/>
    <x v="0"/>
    <n v="210.20000000007099"/>
    <x v="1"/>
    <n v="119817.999999981"/>
    <n v="1000"/>
    <n v="20"/>
    <x v="0"/>
    <n v="116268.01"/>
    <x v="1270"/>
    <x v="0"/>
  </r>
  <r>
    <n v="68"/>
    <x v="1"/>
    <x v="4"/>
    <n v="2"/>
    <n v="2"/>
    <x v="0"/>
    <n v="210.00000000022101"/>
    <x v="1"/>
    <n v="73575.000000005297"/>
    <n v="1000"/>
    <n v="20"/>
    <x v="0"/>
    <n v="102268.41"/>
    <x v="1271"/>
    <x v="0"/>
  </r>
  <r>
    <n v="69"/>
    <x v="1"/>
    <x v="4"/>
    <n v="2"/>
    <n v="3"/>
    <x v="0"/>
    <n v="292.59999999986502"/>
    <x v="1"/>
    <n v="260648.000000003"/>
    <n v="1000"/>
    <n v="20"/>
    <x v="0"/>
    <n v="98428.81"/>
    <x v="1272"/>
    <x v="1"/>
  </r>
  <r>
    <n v="28"/>
    <x v="1"/>
    <x v="1"/>
    <n v="2"/>
    <n v="1"/>
    <x v="0"/>
    <n v="541.19999999961999"/>
    <x v="1"/>
    <n v="40185.000000008098"/>
    <n v="2000"/>
    <n v="20"/>
    <x v="0"/>
    <n v="204108.81"/>
    <x v="1273"/>
    <x v="0"/>
  </r>
  <r>
    <n v="29"/>
    <x v="1"/>
    <x v="2"/>
    <n v="2"/>
    <n v="2"/>
    <x v="0"/>
    <n v="547.39999999959798"/>
    <x v="1"/>
    <n v="34695.999999996697"/>
    <n v="2000"/>
    <n v="20"/>
    <x v="0"/>
    <n v="175147.21"/>
    <x v="1274"/>
    <x v="0"/>
  </r>
  <r>
    <n v="30"/>
    <x v="1"/>
    <x v="2"/>
    <n v="2"/>
    <n v="3"/>
    <x v="0"/>
    <n v="598.60000000000502"/>
    <x v="1"/>
    <n v="78614.999999984997"/>
    <n v="2000"/>
    <n v="20"/>
    <x v="0"/>
    <n v="183228.01"/>
    <x v="1275"/>
    <x v="1"/>
  </r>
  <r>
    <n v="31"/>
    <x v="1"/>
    <x v="2"/>
    <n v="2"/>
    <n v="1"/>
    <x v="0"/>
    <n v="351.19999999970702"/>
    <x v="1"/>
    <n v="51963.999999998101"/>
    <n v="2000"/>
    <n v="20"/>
    <x v="0"/>
    <n v="178987.61"/>
    <x v="1276"/>
    <x v="0"/>
  </r>
  <r>
    <n v="32"/>
    <x v="1"/>
    <x v="2"/>
    <n v="2"/>
    <n v="2"/>
    <x v="0"/>
    <n v="356.00000000002302"/>
    <x v="1"/>
    <n v="20672.999999987998"/>
    <n v="2000"/>
    <n v="20"/>
    <x v="0"/>
    <n v="174347.21"/>
    <x v="1277"/>
    <x v="0"/>
  </r>
  <r>
    <n v="33"/>
    <x v="1"/>
    <x v="2"/>
    <n v="2"/>
    <n v="3"/>
    <x v="0"/>
    <n v="485.39999999981399"/>
    <x v="1"/>
    <n v="60222.000000010201"/>
    <n v="2000"/>
    <n v="20"/>
    <x v="0"/>
    <n v="181627.61"/>
    <x v="1278"/>
    <x v="0"/>
  </r>
  <r>
    <n v="34"/>
    <x v="1"/>
    <x v="2"/>
    <n v="2"/>
    <n v="1"/>
    <x v="0"/>
    <n v="307.60000000000798"/>
    <x v="1"/>
    <n v="19947.000000001899"/>
    <n v="2000"/>
    <n v="20"/>
    <x v="0"/>
    <n v="178587.61"/>
    <x v="1279"/>
    <x v="0"/>
  </r>
  <r>
    <n v="35"/>
    <x v="1"/>
    <x v="3"/>
    <n v="2"/>
    <n v="1"/>
    <x v="0"/>
    <n v="378.80000000036802"/>
    <x v="1"/>
    <n v="67833.000000007407"/>
    <n v="2000"/>
    <n v="20"/>
    <x v="0"/>
    <n v="237467.61"/>
    <x v="1280"/>
    <x v="0"/>
  </r>
  <r>
    <n v="36"/>
    <x v="1"/>
    <x v="3"/>
    <n v="2"/>
    <n v="2"/>
    <x v="0"/>
    <n v="225.399999999709"/>
    <x v="1"/>
    <n v="85232.000000019107"/>
    <n v="2000"/>
    <n v="20"/>
    <x v="0"/>
    <n v="207548.01"/>
    <x v="1281"/>
    <x v="1"/>
  </r>
  <r>
    <n v="37"/>
    <x v="1"/>
    <x v="3"/>
    <n v="2"/>
    <n v="3"/>
    <x v="0"/>
    <n v="317.40000000049002"/>
    <x v="1"/>
    <n v="429632.99999999598"/>
    <n v="2000"/>
    <n v="20"/>
    <x v="0"/>
    <n v="231387.61"/>
    <x v="1282"/>
    <x v="1"/>
  </r>
  <r>
    <n v="38"/>
    <x v="1"/>
    <x v="3"/>
    <n v="2"/>
    <n v="1"/>
    <x v="0"/>
    <n v="206.39999999971801"/>
    <x v="1"/>
    <n v="58606.999999995001"/>
    <n v="2000"/>
    <n v="20"/>
    <x v="0"/>
    <n v="237707.21"/>
    <x v="1283"/>
    <x v="0"/>
  </r>
  <r>
    <n v="39"/>
    <x v="1"/>
    <x v="4"/>
    <n v="2"/>
    <n v="1"/>
    <x v="0"/>
    <n v="257.600000000124"/>
    <x v="1"/>
    <n v="172606.00000000201"/>
    <n v="2000"/>
    <n v="20"/>
    <x v="0"/>
    <n v="246428.01"/>
    <x v="1284"/>
    <x v="0"/>
  </r>
  <r>
    <n v="40"/>
    <x v="1"/>
    <x v="4"/>
    <n v="2"/>
    <n v="2"/>
    <x v="0"/>
    <n v="242.59999999962599"/>
    <x v="1"/>
    <n v="100393.999999994"/>
    <n v="2000"/>
    <n v="20"/>
    <x v="0"/>
    <n v="212908.41"/>
    <x v="1285"/>
    <x v="1"/>
  </r>
  <r>
    <n v="41"/>
    <x v="1"/>
    <x v="4"/>
    <n v="2"/>
    <n v="3"/>
    <x v="0"/>
    <n v="354.20000000030399"/>
    <x v="1"/>
    <n v="409392.00000002497"/>
    <n v="2000"/>
    <n v="20"/>
    <x v="0"/>
    <n v="231549.21"/>
    <x v="1286"/>
    <x v="1"/>
  </r>
  <r>
    <n v="42"/>
    <x v="1"/>
    <x v="1"/>
    <n v="2"/>
    <n v="1"/>
    <x v="0"/>
    <n v="129.800000000202"/>
    <x v="1"/>
    <n v="11878.999999993301"/>
    <n v="2000"/>
    <n v="20"/>
    <x v="0"/>
    <n v="176907.61"/>
    <x v="1287"/>
    <x v="0"/>
  </r>
  <r>
    <n v="43"/>
    <x v="1"/>
    <x v="2"/>
    <n v="2"/>
    <n v="1"/>
    <x v="0"/>
    <n v="157.00000000009601"/>
    <x v="1"/>
    <n v="17081.999999987798"/>
    <n v="2000"/>
    <n v="20"/>
    <x v="0"/>
    <n v="181627.61"/>
    <x v="1288"/>
    <x v="0"/>
  </r>
  <r>
    <n v="44"/>
    <x v="1"/>
    <x v="2"/>
    <n v="2"/>
    <n v="2"/>
    <x v="0"/>
    <n v="156.599999999685"/>
    <x v="1"/>
    <n v="24732.0000000002"/>
    <n v="2000"/>
    <n v="20"/>
    <x v="0"/>
    <n v="180508.01"/>
    <x v="1289"/>
    <x v="0"/>
  </r>
  <r>
    <n v="45"/>
    <x v="1"/>
    <x v="2"/>
    <n v="2"/>
    <n v="3"/>
    <x v="0"/>
    <n v="211.00000000018301"/>
    <x v="1"/>
    <n v="56737.9999999957"/>
    <n v="2000"/>
    <n v="20"/>
    <x v="0"/>
    <n v="175628.01"/>
    <x v="1290"/>
    <x v="0"/>
  </r>
  <r>
    <n v="46"/>
    <x v="1"/>
    <x v="3"/>
    <n v="2"/>
    <n v="1"/>
    <x v="0"/>
    <n v="189.400000000006"/>
    <x v="1"/>
    <n v="68061.000000000204"/>
    <n v="2000"/>
    <n v="20"/>
    <x v="0"/>
    <n v="179789.21"/>
    <x v="1291"/>
    <x v="0"/>
  </r>
  <r>
    <n v="47"/>
    <x v="1"/>
    <x v="3"/>
    <n v="2"/>
    <n v="2"/>
    <x v="0"/>
    <n v="193.80000000026601"/>
    <x v="1"/>
    <n v="55103.000000002598"/>
    <n v="2000"/>
    <n v="20"/>
    <x v="0"/>
    <n v="181307.61"/>
    <x v="1292"/>
    <x v="0"/>
  </r>
  <r>
    <n v="48"/>
    <x v="1"/>
    <x v="3"/>
    <n v="2"/>
    <n v="3"/>
    <x v="0"/>
    <n v="249.79999999992199"/>
    <x v="1"/>
    <n v="121555.000000001"/>
    <n v="2000"/>
    <n v="20"/>
    <x v="0"/>
    <n v="239787.61"/>
    <x v="1293"/>
    <x v="1"/>
  </r>
  <r>
    <n v="49"/>
    <x v="1"/>
    <x v="3"/>
    <n v="2"/>
    <n v="1"/>
    <x v="0"/>
    <n v="183.19999999931699"/>
    <x v="1"/>
    <n v="41121.000000004002"/>
    <n v="2000"/>
    <n v="20"/>
    <x v="0"/>
    <n v="172908.41"/>
    <x v="1294"/>
    <x v="0"/>
  </r>
  <r>
    <n v="50"/>
    <x v="1"/>
    <x v="3"/>
    <n v="2"/>
    <n v="2"/>
    <x v="0"/>
    <n v="190.800000000024"/>
    <x v="1"/>
    <n v="50727.999999992302"/>
    <n v="2000"/>
    <n v="20"/>
    <x v="0"/>
    <n v="204268.01"/>
    <x v="1295"/>
    <x v="0"/>
  </r>
  <r>
    <n v="51"/>
    <x v="1"/>
    <x v="3"/>
    <n v="2"/>
    <n v="3"/>
    <x v="0"/>
    <n v="252.19999999990301"/>
    <x v="1"/>
    <n v="139174.99999999499"/>
    <n v="2000"/>
    <n v="20"/>
    <x v="0"/>
    <n v="206908.01"/>
    <x v="1296"/>
    <x v="1"/>
  </r>
  <r>
    <n v="52"/>
    <x v="1"/>
    <x v="4"/>
    <n v="2"/>
    <n v="1"/>
    <x v="0"/>
    <n v="219.40000000029201"/>
    <x v="1"/>
    <n v="49910.000000011198"/>
    <n v="2000"/>
    <n v="20"/>
    <x v="0"/>
    <n v="175628.81"/>
    <x v="1297"/>
    <x v="0"/>
  </r>
  <r>
    <n v="53"/>
    <x v="1"/>
    <x v="4"/>
    <n v="2"/>
    <n v="2"/>
    <x v="0"/>
    <n v="218.80000000038501"/>
    <x v="1"/>
    <n v="113836.99999999"/>
    <n v="2000"/>
    <n v="20"/>
    <x v="0"/>
    <n v="210267.61"/>
    <x v="1298"/>
    <x v="0"/>
  </r>
  <r>
    <n v="54"/>
    <x v="1"/>
    <x v="4"/>
    <n v="2"/>
    <n v="3"/>
    <x v="0"/>
    <n v="306.40000000019501"/>
    <x v="1"/>
    <n v="434876.00000000303"/>
    <n v="2000"/>
    <n v="20"/>
    <x v="0"/>
    <n v="247070.01"/>
    <x v="1299"/>
    <x v="0"/>
  </r>
  <r>
    <n v="55"/>
    <x v="1"/>
    <x v="2"/>
    <n v="2"/>
    <n v="1"/>
    <x v="0"/>
    <n v="140.60000000064599"/>
    <x v="1"/>
    <n v="27028.000000001401"/>
    <n v="2000"/>
    <n v="20"/>
    <x v="0"/>
    <n v="177708.01"/>
    <x v="1300"/>
    <x v="0"/>
  </r>
  <r>
    <n v="56"/>
    <x v="1"/>
    <x v="2"/>
    <n v="2"/>
    <n v="2"/>
    <x v="0"/>
    <n v="137.60000000004899"/>
    <x v="1"/>
    <n v="25397.999999995602"/>
    <n v="2000"/>
    <n v="20"/>
    <x v="0"/>
    <n v="180428.01"/>
    <x v="1301"/>
    <x v="0"/>
  </r>
  <r>
    <n v="57"/>
    <x v="1"/>
    <x v="2"/>
    <n v="2"/>
    <n v="3"/>
    <x v="0"/>
    <n v="183.39999999987799"/>
    <x v="1"/>
    <n v="44558.000000023399"/>
    <n v="2000"/>
    <n v="20"/>
    <x v="0"/>
    <n v="173708.81"/>
    <x v="1302"/>
    <x v="0"/>
  </r>
  <r>
    <n v="58"/>
    <x v="1"/>
    <x v="3"/>
    <n v="2"/>
    <n v="1"/>
    <x v="0"/>
    <n v="215.599999999228"/>
    <x v="1"/>
    <n v="56205.000000005602"/>
    <n v="2000"/>
    <n v="20"/>
    <x v="0"/>
    <n v="182831.21"/>
    <x v="1303"/>
    <x v="0"/>
  </r>
  <r>
    <n v="59"/>
    <x v="1"/>
    <x v="3"/>
    <n v="2"/>
    <n v="2"/>
    <x v="0"/>
    <n v="212.39999999984599"/>
    <x v="1"/>
    <n v="45035.000000012798"/>
    <n v="2000"/>
    <n v="20"/>
    <x v="0"/>
    <n v="179548.01"/>
    <x v="1304"/>
    <x v="0"/>
  </r>
  <r>
    <n v="60"/>
    <x v="1"/>
    <x v="3"/>
    <n v="2"/>
    <n v="3"/>
    <x v="0"/>
    <n v="288.40000000016602"/>
    <x v="1"/>
    <n v="150798.00000000899"/>
    <n v="2000"/>
    <n v="20"/>
    <x v="0"/>
    <n v="183149.61"/>
    <x v="1305"/>
    <x v="0"/>
  </r>
  <r>
    <n v="61"/>
    <x v="1"/>
    <x v="4"/>
    <n v="2"/>
    <n v="1"/>
    <x v="0"/>
    <n v="230.60000000043601"/>
    <x v="1"/>
    <n v="105615.99999999801"/>
    <n v="2000"/>
    <n v="20"/>
    <x v="0"/>
    <n v="222429.21"/>
    <x v="1306"/>
    <x v="0"/>
  </r>
  <r>
    <n v="62"/>
    <x v="1"/>
    <x v="4"/>
    <n v="2"/>
    <n v="2"/>
    <x v="0"/>
    <n v="233.80000000017299"/>
    <x v="1"/>
    <n v="102223.999999978"/>
    <n v="2000"/>
    <n v="20"/>
    <x v="0"/>
    <n v="176187.61"/>
    <x v="1307"/>
    <x v="0"/>
  </r>
  <r>
    <n v="63"/>
    <x v="1"/>
    <x v="4"/>
    <n v="2"/>
    <n v="3"/>
    <x v="0"/>
    <n v="359.799999999666"/>
    <x v="1"/>
    <n v="241534.99999999901"/>
    <n v="2000"/>
    <n v="20"/>
    <x v="0"/>
    <n v="187628.41"/>
    <x v="1308"/>
    <x v="0"/>
  </r>
  <r>
    <n v="64"/>
    <x v="1"/>
    <x v="5"/>
    <n v="2"/>
    <n v="1"/>
    <x v="0"/>
    <n v="274.00000000028501"/>
    <x v="1"/>
    <n v="128890.00000001299"/>
    <n v="2000"/>
    <n v="20"/>
    <x v="0"/>
    <n v="190350.41"/>
    <x v="1309"/>
    <x v="0"/>
  </r>
  <r>
    <n v="65"/>
    <x v="1"/>
    <x v="5"/>
    <n v="2"/>
    <n v="2"/>
    <x v="0"/>
    <n v="271.20000000024902"/>
    <x v="1"/>
    <n v="165955.999999994"/>
    <n v="2000"/>
    <n v="20"/>
    <x v="0"/>
    <n v="183068.01"/>
    <x v="1310"/>
    <x v="1"/>
  </r>
  <r>
    <n v="66"/>
    <x v="1"/>
    <x v="5"/>
    <n v="2"/>
    <n v="3"/>
    <x v="0"/>
    <n v="390.99999999976399"/>
    <x v="1"/>
    <n v="603557.99999999197"/>
    <n v="2000"/>
    <n v="20"/>
    <x v="0"/>
    <n v="192429.21"/>
    <x v="1311"/>
    <x v="1"/>
  </r>
  <r>
    <n v="67"/>
    <x v="1"/>
    <x v="4"/>
    <n v="2"/>
    <n v="1"/>
    <x v="0"/>
    <n v="210.20000000007099"/>
    <x v="1"/>
    <n v="119817.999999981"/>
    <n v="2000"/>
    <n v="20"/>
    <x v="0"/>
    <n v="213308.01"/>
    <x v="1312"/>
    <x v="0"/>
  </r>
  <r>
    <n v="68"/>
    <x v="1"/>
    <x v="4"/>
    <n v="2"/>
    <n v="2"/>
    <x v="0"/>
    <n v="210.00000000022101"/>
    <x v="1"/>
    <n v="73575.000000005297"/>
    <n v="2000"/>
    <n v="20"/>
    <x v="0"/>
    <n v="185308.41"/>
    <x v="1313"/>
    <x v="0"/>
  </r>
  <r>
    <n v="69"/>
    <x v="1"/>
    <x v="4"/>
    <n v="2"/>
    <n v="3"/>
    <x v="0"/>
    <n v="292.59999999986502"/>
    <x v="1"/>
    <n v="260648.000000003"/>
    <n v="2000"/>
    <n v="20"/>
    <x v="0"/>
    <n v="177628.81"/>
    <x v="1314"/>
    <x v="1"/>
  </r>
  <r>
    <n v="28"/>
    <x v="1"/>
    <x v="1"/>
    <n v="2"/>
    <n v="1"/>
    <x v="0"/>
    <n v="541.19999999961999"/>
    <x v="1"/>
    <n v="40185.000000008098"/>
    <n v="3000"/>
    <n v="20"/>
    <x v="0"/>
    <n v="296548.81"/>
    <x v="1315"/>
    <x v="0"/>
  </r>
  <r>
    <n v="29"/>
    <x v="1"/>
    <x v="2"/>
    <n v="2"/>
    <n v="2"/>
    <x v="0"/>
    <n v="547.39999999959798"/>
    <x v="1"/>
    <n v="34695.999999996697"/>
    <n v="3000"/>
    <n v="20"/>
    <x v="0"/>
    <n v="253107.21"/>
    <x v="1316"/>
    <x v="0"/>
  </r>
  <r>
    <n v="30"/>
    <x v="1"/>
    <x v="2"/>
    <n v="2"/>
    <n v="3"/>
    <x v="0"/>
    <n v="598.60000000000502"/>
    <x v="1"/>
    <n v="78614.999999984997"/>
    <n v="3000"/>
    <n v="20"/>
    <x v="0"/>
    <n v="265228.01"/>
    <x v="1317"/>
    <x v="0"/>
  </r>
  <r>
    <n v="31"/>
    <x v="1"/>
    <x v="2"/>
    <n v="2"/>
    <n v="1"/>
    <x v="0"/>
    <n v="351.19999999970702"/>
    <x v="1"/>
    <n v="51963.999999998101"/>
    <n v="3000"/>
    <n v="20"/>
    <x v="0"/>
    <n v="258867.61"/>
    <x v="1318"/>
    <x v="0"/>
  </r>
  <r>
    <n v="32"/>
    <x v="1"/>
    <x v="2"/>
    <n v="2"/>
    <n v="2"/>
    <x v="0"/>
    <n v="356.00000000002302"/>
    <x v="1"/>
    <n v="20672.999999987998"/>
    <n v="3000"/>
    <n v="20"/>
    <x v="0"/>
    <n v="251907.21"/>
    <x v="1319"/>
    <x v="0"/>
  </r>
  <r>
    <n v="33"/>
    <x v="1"/>
    <x v="2"/>
    <n v="2"/>
    <n v="3"/>
    <x v="0"/>
    <n v="485.39999999981399"/>
    <x v="1"/>
    <n v="60222.000000010201"/>
    <n v="3000"/>
    <n v="20"/>
    <x v="0"/>
    <n v="262827.61"/>
    <x v="1320"/>
    <x v="0"/>
  </r>
  <r>
    <n v="34"/>
    <x v="1"/>
    <x v="2"/>
    <n v="2"/>
    <n v="1"/>
    <x v="0"/>
    <n v="307.60000000000798"/>
    <x v="1"/>
    <n v="19947.000000001899"/>
    <n v="3000"/>
    <n v="20"/>
    <x v="0"/>
    <n v="258267.61"/>
    <x v="1321"/>
    <x v="0"/>
  </r>
  <r>
    <n v="35"/>
    <x v="1"/>
    <x v="3"/>
    <n v="2"/>
    <n v="1"/>
    <x v="0"/>
    <n v="378.80000000036802"/>
    <x v="1"/>
    <n v="67833.000000007407"/>
    <n v="3000"/>
    <n v="20"/>
    <x v="0"/>
    <n v="346587.61"/>
    <x v="1322"/>
    <x v="0"/>
  </r>
  <r>
    <n v="36"/>
    <x v="1"/>
    <x v="3"/>
    <n v="2"/>
    <n v="2"/>
    <x v="0"/>
    <n v="225.399999999709"/>
    <x v="1"/>
    <n v="85232.000000019107"/>
    <n v="3000"/>
    <n v="20"/>
    <x v="0"/>
    <n v="301708.01"/>
    <x v="1323"/>
    <x v="1"/>
  </r>
  <r>
    <n v="37"/>
    <x v="1"/>
    <x v="3"/>
    <n v="2"/>
    <n v="3"/>
    <x v="0"/>
    <n v="317.40000000049002"/>
    <x v="1"/>
    <n v="429632.99999999598"/>
    <n v="3000"/>
    <n v="20"/>
    <x v="0"/>
    <n v="337467.61"/>
    <x v="1324"/>
    <x v="1"/>
  </r>
  <r>
    <n v="38"/>
    <x v="1"/>
    <x v="3"/>
    <n v="2"/>
    <n v="1"/>
    <x v="0"/>
    <n v="206.39999999971801"/>
    <x v="1"/>
    <n v="58606.999999995001"/>
    <n v="3000"/>
    <n v="20"/>
    <x v="0"/>
    <n v="346947.21"/>
    <x v="1325"/>
    <x v="0"/>
  </r>
  <r>
    <n v="39"/>
    <x v="1"/>
    <x v="4"/>
    <n v="2"/>
    <n v="1"/>
    <x v="0"/>
    <n v="257.600000000124"/>
    <x v="1"/>
    <n v="172606.00000000201"/>
    <n v="3000"/>
    <n v="20"/>
    <x v="0"/>
    <n v="360028.01"/>
    <x v="1326"/>
    <x v="0"/>
  </r>
  <r>
    <n v="40"/>
    <x v="1"/>
    <x v="4"/>
    <n v="2"/>
    <n v="2"/>
    <x v="0"/>
    <n v="242.59999999962599"/>
    <x v="1"/>
    <n v="100393.999999994"/>
    <n v="3000"/>
    <n v="20"/>
    <x v="0"/>
    <n v="309748.40999999997"/>
    <x v="1327"/>
    <x v="1"/>
  </r>
  <r>
    <n v="41"/>
    <x v="1"/>
    <x v="4"/>
    <n v="2"/>
    <n v="3"/>
    <x v="0"/>
    <n v="354.20000000030399"/>
    <x v="1"/>
    <n v="409392.00000002497"/>
    <n v="3000"/>
    <n v="20"/>
    <x v="0"/>
    <n v="337709.21"/>
    <x v="1328"/>
    <x v="1"/>
  </r>
  <r>
    <n v="42"/>
    <x v="1"/>
    <x v="1"/>
    <n v="2"/>
    <n v="1"/>
    <x v="0"/>
    <n v="129.800000000202"/>
    <x v="1"/>
    <n v="11878.999999993301"/>
    <n v="3000"/>
    <n v="20"/>
    <x v="0"/>
    <n v="255747.61"/>
    <x v="1329"/>
    <x v="0"/>
  </r>
  <r>
    <n v="43"/>
    <x v="1"/>
    <x v="2"/>
    <n v="2"/>
    <n v="1"/>
    <x v="0"/>
    <n v="157.00000000009601"/>
    <x v="1"/>
    <n v="17081.999999987798"/>
    <n v="3000"/>
    <n v="20"/>
    <x v="0"/>
    <n v="262827.61"/>
    <x v="1330"/>
    <x v="0"/>
  </r>
  <r>
    <n v="44"/>
    <x v="1"/>
    <x v="2"/>
    <n v="2"/>
    <n v="2"/>
    <x v="0"/>
    <n v="156.599999999685"/>
    <x v="1"/>
    <n v="24732.0000000002"/>
    <n v="3000"/>
    <n v="20"/>
    <x v="0"/>
    <n v="261148.01"/>
    <x v="1331"/>
    <x v="0"/>
  </r>
  <r>
    <n v="45"/>
    <x v="1"/>
    <x v="2"/>
    <n v="2"/>
    <n v="3"/>
    <x v="0"/>
    <n v="211.00000000018301"/>
    <x v="1"/>
    <n v="56737.9999999957"/>
    <n v="3000"/>
    <n v="20"/>
    <x v="0"/>
    <n v="253828.01"/>
    <x v="1332"/>
    <x v="0"/>
  </r>
  <r>
    <n v="46"/>
    <x v="1"/>
    <x v="3"/>
    <n v="2"/>
    <n v="1"/>
    <x v="0"/>
    <n v="189.400000000006"/>
    <x v="1"/>
    <n v="68061.000000000204"/>
    <n v="3000"/>
    <n v="20"/>
    <x v="0"/>
    <n v="260069.21"/>
    <x v="1333"/>
    <x v="0"/>
  </r>
  <r>
    <n v="47"/>
    <x v="1"/>
    <x v="3"/>
    <n v="2"/>
    <n v="2"/>
    <x v="0"/>
    <n v="193.80000000026601"/>
    <x v="1"/>
    <n v="55103.000000002598"/>
    <n v="3000"/>
    <n v="20"/>
    <x v="0"/>
    <n v="262347.61"/>
    <x v="1334"/>
    <x v="0"/>
  </r>
  <r>
    <n v="48"/>
    <x v="1"/>
    <x v="3"/>
    <n v="2"/>
    <n v="3"/>
    <x v="0"/>
    <n v="249.79999999992199"/>
    <x v="1"/>
    <n v="121555.000000001"/>
    <n v="3000"/>
    <n v="20"/>
    <x v="0"/>
    <n v="350067.61"/>
    <x v="1335"/>
    <x v="1"/>
  </r>
  <r>
    <n v="49"/>
    <x v="1"/>
    <x v="3"/>
    <n v="2"/>
    <n v="1"/>
    <x v="0"/>
    <n v="183.19999999931699"/>
    <x v="1"/>
    <n v="41121.000000004002"/>
    <n v="3000"/>
    <n v="20"/>
    <x v="0"/>
    <n v="249748.41"/>
    <x v="1336"/>
    <x v="0"/>
  </r>
  <r>
    <n v="50"/>
    <x v="1"/>
    <x v="3"/>
    <n v="2"/>
    <n v="2"/>
    <x v="0"/>
    <n v="190.800000000024"/>
    <x v="1"/>
    <n v="50727.999999992302"/>
    <n v="3000"/>
    <n v="20"/>
    <x v="0"/>
    <n v="296788.01"/>
    <x v="1337"/>
    <x v="0"/>
  </r>
  <r>
    <n v="51"/>
    <x v="1"/>
    <x v="3"/>
    <n v="2"/>
    <n v="3"/>
    <x v="0"/>
    <n v="252.19999999990301"/>
    <x v="1"/>
    <n v="139174.99999999499"/>
    <n v="3000"/>
    <n v="20"/>
    <x v="0"/>
    <n v="300748.01"/>
    <x v="1338"/>
    <x v="0"/>
  </r>
  <r>
    <n v="52"/>
    <x v="1"/>
    <x v="4"/>
    <n v="2"/>
    <n v="1"/>
    <x v="0"/>
    <n v="219.40000000029201"/>
    <x v="1"/>
    <n v="49910.000000011198"/>
    <n v="3000"/>
    <n v="20"/>
    <x v="0"/>
    <n v="253828.81"/>
    <x v="1339"/>
    <x v="0"/>
  </r>
  <r>
    <n v="53"/>
    <x v="1"/>
    <x v="4"/>
    <n v="2"/>
    <n v="2"/>
    <x v="0"/>
    <n v="218.80000000038501"/>
    <x v="1"/>
    <n v="113836.99999999"/>
    <n v="3000"/>
    <n v="20"/>
    <x v="0"/>
    <n v="305787.61"/>
    <x v="1340"/>
    <x v="1"/>
  </r>
  <r>
    <n v="54"/>
    <x v="1"/>
    <x v="4"/>
    <n v="2"/>
    <n v="3"/>
    <x v="0"/>
    <n v="306.40000000019501"/>
    <x v="1"/>
    <n v="434876.00000000303"/>
    <n v="3000"/>
    <n v="20"/>
    <x v="0"/>
    <n v="360990.01"/>
    <x v="1341"/>
    <x v="0"/>
  </r>
  <r>
    <n v="55"/>
    <x v="1"/>
    <x v="2"/>
    <n v="2"/>
    <n v="1"/>
    <x v="0"/>
    <n v="140.60000000064599"/>
    <x v="1"/>
    <n v="27028.000000001401"/>
    <n v="3000"/>
    <n v="20"/>
    <x v="0"/>
    <n v="256948.01"/>
    <x v="1342"/>
    <x v="0"/>
  </r>
  <r>
    <n v="56"/>
    <x v="1"/>
    <x v="2"/>
    <n v="2"/>
    <n v="2"/>
    <x v="0"/>
    <n v="137.60000000004899"/>
    <x v="1"/>
    <n v="25397.999999995602"/>
    <n v="3000"/>
    <n v="20"/>
    <x v="0"/>
    <n v="261028.01"/>
    <x v="1343"/>
    <x v="0"/>
  </r>
  <r>
    <n v="57"/>
    <x v="1"/>
    <x v="2"/>
    <n v="2"/>
    <n v="3"/>
    <x v="0"/>
    <n v="183.39999999987799"/>
    <x v="1"/>
    <n v="44558.000000023399"/>
    <n v="3000"/>
    <n v="20"/>
    <x v="0"/>
    <n v="250948.81"/>
    <x v="1344"/>
    <x v="0"/>
  </r>
  <r>
    <n v="58"/>
    <x v="1"/>
    <x v="3"/>
    <n v="2"/>
    <n v="1"/>
    <x v="0"/>
    <n v="215.599999999228"/>
    <x v="1"/>
    <n v="56205.000000005602"/>
    <n v="3000"/>
    <n v="20"/>
    <x v="0"/>
    <n v="264631.21000000002"/>
    <x v="1345"/>
    <x v="0"/>
  </r>
  <r>
    <n v="59"/>
    <x v="1"/>
    <x v="3"/>
    <n v="2"/>
    <n v="2"/>
    <x v="0"/>
    <n v="212.39999999984599"/>
    <x v="1"/>
    <n v="45035.000000012798"/>
    <n v="3000"/>
    <n v="20"/>
    <x v="0"/>
    <n v="259708.01"/>
    <x v="1346"/>
    <x v="0"/>
  </r>
  <r>
    <n v="60"/>
    <x v="1"/>
    <x v="3"/>
    <n v="2"/>
    <n v="3"/>
    <x v="0"/>
    <n v="288.40000000016602"/>
    <x v="1"/>
    <n v="150798.00000000899"/>
    <n v="3000"/>
    <n v="20"/>
    <x v="0"/>
    <n v="265109.61"/>
    <x v="1347"/>
    <x v="1"/>
  </r>
  <r>
    <n v="61"/>
    <x v="1"/>
    <x v="4"/>
    <n v="2"/>
    <n v="1"/>
    <x v="0"/>
    <n v="230.60000000043601"/>
    <x v="1"/>
    <n v="105615.99999999801"/>
    <n v="3000"/>
    <n v="20"/>
    <x v="0"/>
    <n v="324029.21000000002"/>
    <x v="1348"/>
    <x v="0"/>
  </r>
  <r>
    <n v="62"/>
    <x v="1"/>
    <x v="4"/>
    <n v="2"/>
    <n v="2"/>
    <x v="0"/>
    <n v="233.80000000017299"/>
    <x v="1"/>
    <n v="102223.999999978"/>
    <n v="3000"/>
    <n v="20"/>
    <x v="0"/>
    <n v="254667.61"/>
    <x v="1349"/>
    <x v="0"/>
  </r>
  <r>
    <n v="63"/>
    <x v="1"/>
    <x v="4"/>
    <n v="2"/>
    <n v="3"/>
    <x v="0"/>
    <n v="359.799999999666"/>
    <x v="1"/>
    <n v="241534.99999999901"/>
    <n v="3000"/>
    <n v="20"/>
    <x v="0"/>
    <n v="271828.40999999997"/>
    <x v="1350"/>
    <x v="1"/>
  </r>
  <r>
    <n v="64"/>
    <x v="1"/>
    <x v="5"/>
    <n v="2"/>
    <n v="1"/>
    <x v="0"/>
    <n v="274.00000000028501"/>
    <x v="1"/>
    <n v="128890.00000001299"/>
    <n v="3000"/>
    <n v="20"/>
    <x v="0"/>
    <n v="275910.40999999997"/>
    <x v="1351"/>
    <x v="0"/>
  </r>
  <r>
    <n v="65"/>
    <x v="1"/>
    <x v="5"/>
    <n v="2"/>
    <n v="2"/>
    <x v="0"/>
    <n v="271.20000000024902"/>
    <x v="1"/>
    <n v="165955.999999994"/>
    <n v="3000"/>
    <n v="20"/>
    <x v="0"/>
    <n v="264988.01"/>
    <x v="1352"/>
    <x v="1"/>
  </r>
  <r>
    <n v="66"/>
    <x v="1"/>
    <x v="5"/>
    <n v="2"/>
    <n v="3"/>
    <x v="0"/>
    <n v="390.99999999976399"/>
    <x v="1"/>
    <n v="603557.99999999197"/>
    <n v="3000"/>
    <n v="20"/>
    <x v="0"/>
    <n v="279029.21000000002"/>
    <x v="1353"/>
    <x v="1"/>
  </r>
  <r>
    <n v="67"/>
    <x v="1"/>
    <x v="4"/>
    <n v="2"/>
    <n v="1"/>
    <x v="0"/>
    <n v="210.20000000007099"/>
    <x v="1"/>
    <n v="119817.999999981"/>
    <n v="3000"/>
    <n v="20"/>
    <x v="0"/>
    <n v="310348.01"/>
    <x v="1354"/>
    <x v="0"/>
  </r>
  <r>
    <n v="68"/>
    <x v="1"/>
    <x v="4"/>
    <n v="2"/>
    <n v="2"/>
    <x v="0"/>
    <n v="210.00000000022101"/>
    <x v="1"/>
    <n v="73575.000000005297"/>
    <n v="3000"/>
    <n v="20"/>
    <x v="0"/>
    <n v="268348.40999999997"/>
    <x v="1355"/>
    <x v="0"/>
  </r>
  <r>
    <n v="69"/>
    <x v="1"/>
    <x v="4"/>
    <n v="2"/>
    <n v="3"/>
    <x v="0"/>
    <n v="292.59999999986502"/>
    <x v="1"/>
    <n v="260648.000000003"/>
    <n v="3000"/>
    <n v="20"/>
    <x v="0"/>
    <n v="256828.81"/>
    <x v="1356"/>
    <x v="1"/>
  </r>
  <r>
    <n v="28"/>
    <x v="1"/>
    <x v="1"/>
    <n v="2"/>
    <n v="1"/>
    <x v="0"/>
    <n v="541.19999999961999"/>
    <x v="1"/>
    <n v="40185.000000008098"/>
    <n v="5000"/>
    <n v="20"/>
    <x v="0"/>
    <n v="481428.81"/>
    <x v="1357"/>
    <x v="0"/>
  </r>
  <r>
    <n v="29"/>
    <x v="1"/>
    <x v="2"/>
    <n v="2"/>
    <n v="2"/>
    <x v="0"/>
    <n v="547.39999999959798"/>
    <x v="1"/>
    <n v="34695.999999996697"/>
    <n v="5000"/>
    <n v="20"/>
    <x v="0"/>
    <n v="409027.21"/>
    <x v="1358"/>
    <x v="0"/>
  </r>
  <r>
    <n v="30"/>
    <x v="1"/>
    <x v="2"/>
    <n v="2"/>
    <n v="3"/>
    <x v="0"/>
    <n v="598.60000000000502"/>
    <x v="1"/>
    <n v="78614.999999984997"/>
    <n v="5000"/>
    <n v="20"/>
    <x v="0"/>
    <n v="429228.01"/>
    <x v="1359"/>
    <x v="0"/>
  </r>
  <r>
    <n v="31"/>
    <x v="1"/>
    <x v="2"/>
    <n v="2"/>
    <n v="1"/>
    <x v="0"/>
    <n v="351.19999999970702"/>
    <x v="1"/>
    <n v="51963.999999998101"/>
    <n v="5000"/>
    <n v="20"/>
    <x v="0"/>
    <n v="418627.61"/>
    <x v="1360"/>
    <x v="0"/>
  </r>
  <r>
    <n v="32"/>
    <x v="1"/>
    <x v="2"/>
    <n v="2"/>
    <n v="2"/>
    <x v="0"/>
    <n v="356.00000000002302"/>
    <x v="1"/>
    <n v="20672.999999987998"/>
    <n v="5000"/>
    <n v="20"/>
    <x v="0"/>
    <n v="407027.21"/>
    <x v="1361"/>
    <x v="0"/>
  </r>
  <r>
    <n v="33"/>
    <x v="1"/>
    <x v="2"/>
    <n v="2"/>
    <n v="3"/>
    <x v="0"/>
    <n v="485.39999999981399"/>
    <x v="1"/>
    <n v="60222.000000010201"/>
    <n v="5000"/>
    <n v="20"/>
    <x v="0"/>
    <n v="425227.61"/>
    <x v="1362"/>
    <x v="0"/>
  </r>
  <r>
    <n v="34"/>
    <x v="1"/>
    <x v="2"/>
    <n v="2"/>
    <n v="1"/>
    <x v="0"/>
    <n v="307.60000000000798"/>
    <x v="1"/>
    <n v="19947.000000001899"/>
    <n v="5000"/>
    <n v="20"/>
    <x v="0"/>
    <n v="417627.61"/>
    <x v="1363"/>
    <x v="0"/>
  </r>
  <r>
    <n v="35"/>
    <x v="1"/>
    <x v="3"/>
    <n v="2"/>
    <n v="1"/>
    <x v="0"/>
    <n v="378.80000000036802"/>
    <x v="1"/>
    <n v="67833.000000007407"/>
    <n v="5000"/>
    <n v="20"/>
    <x v="0"/>
    <n v="564827.61"/>
    <x v="1364"/>
    <x v="0"/>
  </r>
  <r>
    <n v="36"/>
    <x v="1"/>
    <x v="3"/>
    <n v="2"/>
    <n v="2"/>
    <x v="0"/>
    <n v="225.399999999709"/>
    <x v="1"/>
    <n v="85232.000000019107"/>
    <n v="5000"/>
    <n v="20"/>
    <x v="0"/>
    <n v="490028.01"/>
    <x v="1365"/>
    <x v="1"/>
  </r>
  <r>
    <n v="37"/>
    <x v="1"/>
    <x v="3"/>
    <n v="2"/>
    <n v="3"/>
    <x v="0"/>
    <n v="317.40000000049002"/>
    <x v="1"/>
    <n v="429632.99999999598"/>
    <n v="5000"/>
    <n v="20"/>
    <x v="0"/>
    <n v="549627.61"/>
    <x v="1366"/>
    <x v="1"/>
  </r>
  <r>
    <n v="38"/>
    <x v="1"/>
    <x v="3"/>
    <n v="2"/>
    <n v="1"/>
    <x v="0"/>
    <n v="206.39999999971801"/>
    <x v="1"/>
    <n v="58606.999999995001"/>
    <n v="5000"/>
    <n v="20"/>
    <x v="0"/>
    <n v="565427.21"/>
    <x v="1367"/>
    <x v="0"/>
  </r>
  <r>
    <n v="39"/>
    <x v="1"/>
    <x v="4"/>
    <n v="2"/>
    <n v="1"/>
    <x v="0"/>
    <n v="257.600000000124"/>
    <x v="1"/>
    <n v="172606.00000000201"/>
    <n v="5000"/>
    <n v="20"/>
    <x v="0"/>
    <n v="587228.01"/>
    <x v="1368"/>
    <x v="0"/>
  </r>
  <r>
    <n v="40"/>
    <x v="1"/>
    <x v="4"/>
    <n v="2"/>
    <n v="2"/>
    <x v="0"/>
    <n v="242.59999999962599"/>
    <x v="1"/>
    <n v="100393.999999994"/>
    <n v="5000"/>
    <n v="20"/>
    <x v="0"/>
    <n v="503428.41"/>
    <x v="1369"/>
    <x v="0"/>
  </r>
  <r>
    <n v="41"/>
    <x v="1"/>
    <x v="4"/>
    <n v="2"/>
    <n v="3"/>
    <x v="0"/>
    <n v="354.20000000030399"/>
    <x v="1"/>
    <n v="409392.00000002497"/>
    <n v="5000"/>
    <n v="20"/>
    <x v="0"/>
    <n v="550029.21"/>
    <x v="1370"/>
    <x v="1"/>
  </r>
  <r>
    <n v="42"/>
    <x v="1"/>
    <x v="1"/>
    <n v="2"/>
    <n v="1"/>
    <x v="0"/>
    <n v="129.800000000202"/>
    <x v="1"/>
    <n v="11878.999999993301"/>
    <n v="5000"/>
    <n v="20"/>
    <x v="0"/>
    <n v="413427.61"/>
    <x v="1371"/>
    <x v="0"/>
  </r>
  <r>
    <n v="43"/>
    <x v="1"/>
    <x v="2"/>
    <n v="2"/>
    <n v="1"/>
    <x v="0"/>
    <n v="157.00000000009601"/>
    <x v="1"/>
    <n v="17081.999999987798"/>
    <n v="5000"/>
    <n v="20"/>
    <x v="0"/>
    <n v="425227.61"/>
    <x v="1372"/>
    <x v="0"/>
  </r>
  <r>
    <n v="44"/>
    <x v="1"/>
    <x v="2"/>
    <n v="2"/>
    <n v="2"/>
    <x v="0"/>
    <n v="156.599999999685"/>
    <x v="1"/>
    <n v="24732.0000000002"/>
    <n v="5000"/>
    <n v="20"/>
    <x v="0"/>
    <n v="422428.01"/>
    <x v="1373"/>
    <x v="0"/>
  </r>
  <r>
    <n v="45"/>
    <x v="1"/>
    <x v="2"/>
    <n v="2"/>
    <n v="3"/>
    <x v="0"/>
    <n v="211.00000000018301"/>
    <x v="1"/>
    <n v="56737.9999999957"/>
    <n v="5000"/>
    <n v="20"/>
    <x v="0"/>
    <n v="410228.01"/>
    <x v="1374"/>
    <x v="0"/>
  </r>
  <r>
    <n v="46"/>
    <x v="1"/>
    <x v="3"/>
    <n v="2"/>
    <n v="1"/>
    <x v="0"/>
    <n v="189.400000000006"/>
    <x v="1"/>
    <n v="68061.000000000204"/>
    <n v="5000"/>
    <n v="20"/>
    <x v="0"/>
    <n v="420629.21"/>
    <x v="1375"/>
    <x v="0"/>
  </r>
  <r>
    <n v="47"/>
    <x v="1"/>
    <x v="3"/>
    <n v="2"/>
    <n v="2"/>
    <x v="0"/>
    <n v="193.80000000026601"/>
    <x v="1"/>
    <n v="55103.000000002598"/>
    <n v="5000"/>
    <n v="20"/>
    <x v="0"/>
    <n v="424427.61"/>
    <x v="1376"/>
    <x v="0"/>
  </r>
  <r>
    <n v="48"/>
    <x v="1"/>
    <x v="3"/>
    <n v="2"/>
    <n v="3"/>
    <x v="0"/>
    <n v="249.79999999992199"/>
    <x v="1"/>
    <n v="121555.000000001"/>
    <n v="5000"/>
    <n v="20"/>
    <x v="0"/>
    <n v="570627.61"/>
    <x v="1377"/>
    <x v="1"/>
  </r>
  <r>
    <n v="49"/>
    <x v="1"/>
    <x v="3"/>
    <n v="2"/>
    <n v="1"/>
    <x v="0"/>
    <n v="183.19999999931699"/>
    <x v="1"/>
    <n v="41121.000000004002"/>
    <n v="5000"/>
    <n v="20"/>
    <x v="0"/>
    <n v="403428.41"/>
    <x v="1378"/>
    <x v="0"/>
  </r>
  <r>
    <n v="50"/>
    <x v="1"/>
    <x v="3"/>
    <n v="2"/>
    <n v="2"/>
    <x v="0"/>
    <n v="190.800000000024"/>
    <x v="1"/>
    <n v="50727.999999992302"/>
    <n v="5000"/>
    <n v="20"/>
    <x v="0"/>
    <n v="481828.01"/>
    <x v="1379"/>
    <x v="0"/>
  </r>
  <r>
    <n v="51"/>
    <x v="1"/>
    <x v="3"/>
    <n v="2"/>
    <n v="3"/>
    <x v="0"/>
    <n v="252.19999999990301"/>
    <x v="1"/>
    <n v="139174.99999999499"/>
    <n v="5000"/>
    <n v="20"/>
    <x v="0"/>
    <n v="488428.01"/>
    <x v="1380"/>
    <x v="0"/>
  </r>
  <r>
    <n v="52"/>
    <x v="1"/>
    <x v="4"/>
    <n v="2"/>
    <n v="1"/>
    <x v="0"/>
    <n v="219.40000000029201"/>
    <x v="1"/>
    <n v="49910.000000011198"/>
    <n v="5000"/>
    <n v="20"/>
    <x v="0"/>
    <n v="410228.81"/>
    <x v="1381"/>
    <x v="0"/>
  </r>
  <r>
    <n v="53"/>
    <x v="1"/>
    <x v="4"/>
    <n v="2"/>
    <n v="2"/>
    <x v="0"/>
    <n v="218.80000000038501"/>
    <x v="1"/>
    <n v="113836.99999999"/>
    <n v="5000"/>
    <n v="20"/>
    <x v="0"/>
    <n v="496827.61"/>
    <x v="1382"/>
    <x v="1"/>
  </r>
  <r>
    <n v="54"/>
    <x v="1"/>
    <x v="4"/>
    <n v="2"/>
    <n v="3"/>
    <x v="0"/>
    <n v="306.40000000019501"/>
    <x v="1"/>
    <n v="434876.00000000303"/>
    <n v="5000"/>
    <n v="20"/>
    <x v="0"/>
    <n v="588830.01"/>
    <x v="1383"/>
    <x v="0"/>
  </r>
  <r>
    <n v="55"/>
    <x v="1"/>
    <x v="2"/>
    <n v="2"/>
    <n v="1"/>
    <x v="0"/>
    <n v="140.60000000064599"/>
    <x v="1"/>
    <n v="27028.000000001401"/>
    <n v="5000"/>
    <n v="20"/>
    <x v="0"/>
    <n v="415428.01"/>
    <x v="1384"/>
    <x v="0"/>
  </r>
  <r>
    <n v="56"/>
    <x v="1"/>
    <x v="2"/>
    <n v="2"/>
    <n v="2"/>
    <x v="0"/>
    <n v="137.60000000004899"/>
    <x v="1"/>
    <n v="25397.999999995602"/>
    <n v="5000"/>
    <n v="20"/>
    <x v="0"/>
    <n v="422228.01"/>
    <x v="1385"/>
    <x v="0"/>
  </r>
  <r>
    <n v="57"/>
    <x v="1"/>
    <x v="2"/>
    <n v="2"/>
    <n v="3"/>
    <x v="0"/>
    <n v="183.39999999987799"/>
    <x v="1"/>
    <n v="44558.000000023399"/>
    <n v="5000"/>
    <n v="20"/>
    <x v="0"/>
    <n v="405428.81"/>
    <x v="1386"/>
    <x v="0"/>
  </r>
  <r>
    <n v="58"/>
    <x v="1"/>
    <x v="3"/>
    <n v="2"/>
    <n v="1"/>
    <x v="0"/>
    <n v="215.599999999228"/>
    <x v="1"/>
    <n v="56205.000000005602"/>
    <n v="5000"/>
    <n v="20"/>
    <x v="0"/>
    <n v="428231.21"/>
    <x v="1387"/>
    <x v="0"/>
  </r>
  <r>
    <n v="59"/>
    <x v="1"/>
    <x v="3"/>
    <n v="2"/>
    <n v="2"/>
    <x v="0"/>
    <n v="212.39999999984599"/>
    <x v="1"/>
    <n v="45035.000000012798"/>
    <n v="5000"/>
    <n v="20"/>
    <x v="0"/>
    <n v="420028.01"/>
    <x v="1388"/>
    <x v="0"/>
  </r>
  <r>
    <n v="60"/>
    <x v="1"/>
    <x v="3"/>
    <n v="2"/>
    <n v="3"/>
    <x v="0"/>
    <n v="288.40000000016602"/>
    <x v="1"/>
    <n v="150798.00000000899"/>
    <n v="5000"/>
    <n v="20"/>
    <x v="0"/>
    <n v="429029.61"/>
    <x v="1389"/>
    <x v="0"/>
  </r>
  <r>
    <n v="61"/>
    <x v="1"/>
    <x v="4"/>
    <n v="2"/>
    <n v="1"/>
    <x v="0"/>
    <n v="230.60000000043601"/>
    <x v="1"/>
    <n v="105615.99999999801"/>
    <n v="5000"/>
    <n v="20"/>
    <x v="0"/>
    <n v="527229.21"/>
    <x v="1390"/>
    <x v="0"/>
  </r>
  <r>
    <n v="62"/>
    <x v="1"/>
    <x v="4"/>
    <n v="2"/>
    <n v="2"/>
    <x v="0"/>
    <n v="233.80000000017299"/>
    <x v="1"/>
    <n v="102223.999999978"/>
    <n v="5000"/>
    <n v="20"/>
    <x v="0"/>
    <n v="411627.61"/>
    <x v="1391"/>
    <x v="0"/>
  </r>
  <r>
    <n v="63"/>
    <x v="1"/>
    <x v="4"/>
    <n v="2"/>
    <n v="3"/>
    <x v="0"/>
    <n v="359.799999999666"/>
    <x v="1"/>
    <n v="241534.99999999901"/>
    <n v="5000"/>
    <n v="20"/>
    <x v="0"/>
    <n v="440228.41"/>
    <x v="1392"/>
    <x v="1"/>
  </r>
  <r>
    <n v="64"/>
    <x v="1"/>
    <x v="5"/>
    <n v="2"/>
    <n v="1"/>
    <x v="0"/>
    <n v="274.00000000028501"/>
    <x v="1"/>
    <n v="128890.00000001299"/>
    <n v="5000"/>
    <n v="20"/>
    <x v="0"/>
    <n v="447030.41"/>
    <x v="1393"/>
    <x v="0"/>
  </r>
  <r>
    <n v="65"/>
    <x v="1"/>
    <x v="5"/>
    <n v="2"/>
    <n v="2"/>
    <x v="0"/>
    <n v="271.20000000024902"/>
    <x v="1"/>
    <n v="165955.999999994"/>
    <n v="5000"/>
    <n v="20"/>
    <x v="0"/>
    <n v="428828.01"/>
    <x v="1394"/>
    <x v="1"/>
  </r>
  <r>
    <n v="66"/>
    <x v="1"/>
    <x v="5"/>
    <n v="2"/>
    <n v="3"/>
    <x v="0"/>
    <n v="390.99999999976399"/>
    <x v="1"/>
    <n v="603557.99999999197"/>
    <n v="5000"/>
    <n v="20"/>
    <x v="0"/>
    <n v="452229.21"/>
    <x v="1395"/>
    <x v="1"/>
  </r>
  <r>
    <n v="67"/>
    <x v="1"/>
    <x v="4"/>
    <n v="2"/>
    <n v="1"/>
    <x v="0"/>
    <n v="210.20000000007099"/>
    <x v="1"/>
    <n v="119817.999999981"/>
    <n v="5000"/>
    <n v="20"/>
    <x v="0"/>
    <n v="504428.01"/>
    <x v="1396"/>
    <x v="0"/>
  </r>
  <r>
    <n v="68"/>
    <x v="1"/>
    <x v="4"/>
    <n v="2"/>
    <n v="2"/>
    <x v="0"/>
    <n v="210.00000000022101"/>
    <x v="1"/>
    <n v="73575.000000005297"/>
    <n v="5000"/>
    <n v="20"/>
    <x v="0"/>
    <n v="434428.41"/>
    <x v="1397"/>
    <x v="0"/>
  </r>
  <r>
    <n v="69"/>
    <x v="1"/>
    <x v="4"/>
    <n v="2"/>
    <n v="3"/>
    <x v="0"/>
    <n v="292.59999999986502"/>
    <x v="1"/>
    <n v="260648.000000003"/>
    <n v="5000"/>
    <n v="20"/>
    <x v="0"/>
    <n v="415228.81"/>
    <x v="1398"/>
    <x v="1"/>
  </r>
  <r>
    <n v="28"/>
    <x v="1"/>
    <x v="1"/>
    <n v="2"/>
    <n v="1"/>
    <x v="0"/>
    <n v="541.19999999961999"/>
    <x v="1"/>
    <n v="40185.000000008098"/>
    <n v="2000"/>
    <n v="300"/>
    <x v="0"/>
    <n v="764108.81"/>
    <x v="1399"/>
    <x v="0"/>
  </r>
  <r>
    <n v="29"/>
    <x v="1"/>
    <x v="2"/>
    <n v="2"/>
    <n v="2"/>
    <x v="0"/>
    <n v="547.39999999959798"/>
    <x v="1"/>
    <n v="34695.999999996697"/>
    <n v="2000"/>
    <n v="300"/>
    <x v="0"/>
    <n v="735147.21"/>
    <x v="1400"/>
    <x v="0"/>
  </r>
  <r>
    <n v="30"/>
    <x v="1"/>
    <x v="2"/>
    <n v="2"/>
    <n v="3"/>
    <x v="0"/>
    <n v="598.60000000000502"/>
    <x v="1"/>
    <n v="78614.999999984997"/>
    <n v="2000"/>
    <n v="300"/>
    <x v="0"/>
    <n v="743228.01"/>
    <x v="1401"/>
    <x v="0"/>
  </r>
  <r>
    <n v="31"/>
    <x v="1"/>
    <x v="2"/>
    <n v="2"/>
    <n v="1"/>
    <x v="0"/>
    <n v="351.19999999970702"/>
    <x v="1"/>
    <n v="51963.999999998101"/>
    <n v="2000"/>
    <n v="300"/>
    <x v="0"/>
    <n v="738987.61"/>
    <x v="1402"/>
    <x v="0"/>
  </r>
  <r>
    <n v="32"/>
    <x v="1"/>
    <x v="2"/>
    <n v="2"/>
    <n v="2"/>
    <x v="0"/>
    <n v="356.00000000002302"/>
    <x v="1"/>
    <n v="20672.999999987998"/>
    <n v="2000"/>
    <n v="300"/>
    <x v="0"/>
    <n v="734347.21"/>
    <x v="1403"/>
    <x v="0"/>
  </r>
  <r>
    <n v="33"/>
    <x v="1"/>
    <x v="2"/>
    <n v="2"/>
    <n v="3"/>
    <x v="0"/>
    <n v="485.39999999981399"/>
    <x v="1"/>
    <n v="60222.000000010201"/>
    <n v="2000"/>
    <n v="300"/>
    <x v="0"/>
    <n v="741628.01"/>
    <x v="1404"/>
    <x v="0"/>
  </r>
  <r>
    <n v="34"/>
    <x v="1"/>
    <x v="2"/>
    <n v="2"/>
    <n v="1"/>
    <x v="0"/>
    <n v="307.60000000000798"/>
    <x v="1"/>
    <n v="19947.000000001899"/>
    <n v="2000"/>
    <n v="300"/>
    <x v="0"/>
    <n v="738587.61"/>
    <x v="1405"/>
    <x v="0"/>
  </r>
  <r>
    <n v="35"/>
    <x v="1"/>
    <x v="3"/>
    <n v="2"/>
    <n v="1"/>
    <x v="0"/>
    <n v="378.80000000036802"/>
    <x v="1"/>
    <n v="67833.000000007407"/>
    <n v="2000"/>
    <n v="300"/>
    <x v="0"/>
    <n v="797467.61"/>
    <x v="1406"/>
    <x v="0"/>
  </r>
  <r>
    <n v="36"/>
    <x v="1"/>
    <x v="3"/>
    <n v="2"/>
    <n v="2"/>
    <x v="0"/>
    <n v="225.399999999709"/>
    <x v="1"/>
    <n v="85232.000000019107"/>
    <n v="2000"/>
    <n v="300"/>
    <x v="0"/>
    <n v="767548.01"/>
    <x v="1407"/>
    <x v="1"/>
  </r>
  <r>
    <n v="37"/>
    <x v="1"/>
    <x v="3"/>
    <n v="2"/>
    <n v="3"/>
    <x v="0"/>
    <n v="317.40000000049002"/>
    <x v="1"/>
    <n v="429632.99999999598"/>
    <n v="2000"/>
    <n v="300"/>
    <x v="0"/>
    <n v="791387.61"/>
    <x v="1408"/>
    <x v="1"/>
  </r>
  <r>
    <n v="38"/>
    <x v="1"/>
    <x v="3"/>
    <n v="2"/>
    <n v="1"/>
    <x v="0"/>
    <n v="206.39999999971801"/>
    <x v="1"/>
    <n v="58606.999999995001"/>
    <n v="2000"/>
    <n v="300"/>
    <x v="0"/>
    <n v="797707.21"/>
    <x v="1409"/>
    <x v="0"/>
  </r>
  <r>
    <n v="39"/>
    <x v="1"/>
    <x v="4"/>
    <n v="2"/>
    <n v="1"/>
    <x v="0"/>
    <n v="257.600000000124"/>
    <x v="1"/>
    <n v="172606.00000000201"/>
    <n v="2000"/>
    <n v="300"/>
    <x v="0"/>
    <n v="806428.01"/>
    <x v="1410"/>
    <x v="0"/>
  </r>
  <r>
    <n v="40"/>
    <x v="1"/>
    <x v="4"/>
    <n v="2"/>
    <n v="2"/>
    <x v="0"/>
    <n v="242.59999999962599"/>
    <x v="1"/>
    <n v="100393.999999994"/>
    <n v="2000"/>
    <n v="300"/>
    <x v="0"/>
    <n v="772908.41"/>
    <x v="1411"/>
    <x v="1"/>
  </r>
  <r>
    <n v="41"/>
    <x v="1"/>
    <x v="4"/>
    <n v="2"/>
    <n v="3"/>
    <x v="0"/>
    <n v="354.20000000030399"/>
    <x v="1"/>
    <n v="409392.00000002497"/>
    <n v="2000"/>
    <n v="300"/>
    <x v="0"/>
    <n v="791549.21"/>
    <x v="1412"/>
    <x v="1"/>
  </r>
  <r>
    <n v="42"/>
    <x v="1"/>
    <x v="1"/>
    <n v="2"/>
    <n v="1"/>
    <x v="0"/>
    <n v="129.800000000202"/>
    <x v="1"/>
    <n v="11878.999999993301"/>
    <n v="2000"/>
    <n v="300"/>
    <x v="0"/>
    <n v="736907.61"/>
    <x v="1413"/>
    <x v="0"/>
  </r>
  <r>
    <n v="43"/>
    <x v="1"/>
    <x v="2"/>
    <n v="2"/>
    <n v="1"/>
    <x v="0"/>
    <n v="157.00000000009601"/>
    <x v="1"/>
    <n v="17081.999999987798"/>
    <n v="2000"/>
    <n v="300"/>
    <x v="0"/>
    <n v="741627.61"/>
    <x v="1414"/>
    <x v="0"/>
  </r>
  <r>
    <n v="44"/>
    <x v="1"/>
    <x v="2"/>
    <n v="2"/>
    <n v="2"/>
    <x v="0"/>
    <n v="156.599999999685"/>
    <x v="1"/>
    <n v="24732.0000000002"/>
    <n v="2000"/>
    <n v="300"/>
    <x v="0"/>
    <n v="740508.01"/>
    <x v="1415"/>
    <x v="0"/>
  </r>
  <r>
    <n v="45"/>
    <x v="1"/>
    <x v="2"/>
    <n v="2"/>
    <n v="3"/>
    <x v="0"/>
    <n v="211.00000000018301"/>
    <x v="1"/>
    <n v="56737.9999999957"/>
    <n v="2000"/>
    <n v="300"/>
    <x v="0"/>
    <n v="735628.01"/>
    <x v="1416"/>
    <x v="0"/>
  </r>
  <r>
    <n v="46"/>
    <x v="1"/>
    <x v="3"/>
    <n v="2"/>
    <n v="1"/>
    <x v="0"/>
    <n v="189.400000000006"/>
    <x v="1"/>
    <n v="68061.000000000204"/>
    <n v="2000"/>
    <n v="300"/>
    <x v="0"/>
    <n v="739789.21"/>
    <x v="1417"/>
    <x v="0"/>
  </r>
  <r>
    <n v="47"/>
    <x v="1"/>
    <x v="3"/>
    <n v="2"/>
    <n v="2"/>
    <x v="0"/>
    <n v="193.80000000026601"/>
    <x v="1"/>
    <n v="55103.000000002598"/>
    <n v="2000"/>
    <n v="300"/>
    <x v="0"/>
    <n v="741307.61"/>
    <x v="1418"/>
    <x v="0"/>
  </r>
  <r>
    <n v="48"/>
    <x v="1"/>
    <x v="3"/>
    <n v="2"/>
    <n v="3"/>
    <x v="0"/>
    <n v="249.79999999992199"/>
    <x v="1"/>
    <n v="121555.000000001"/>
    <n v="2000"/>
    <n v="300"/>
    <x v="0"/>
    <n v="799787.61"/>
    <x v="1419"/>
    <x v="1"/>
  </r>
  <r>
    <n v="49"/>
    <x v="1"/>
    <x v="3"/>
    <n v="2"/>
    <n v="1"/>
    <x v="0"/>
    <n v="183.19999999931699"/>
    <x v="1"/>
    <n v="41121.000000004002"/>
    <n v="2000"/>
    <n v="300"/>
    <x v="0"/>
    <n v="732908.41"/>
    <x v="1420"/>
    <x v="0"/>
  </r>
  <r>
    <n v="50"/>
    <x v="1"/>
    <x v="3"/>
    <n v="2"/>
    <n v="2"/>
    <x v="0"/>
    <n v="190.800000000024"/>
    <x v="1"/>
    <n v="50727.999999992302"/>
    <n v="2000"/>
    <n v="300"/>
    <x v="0"/>
    <n v="764268.01"/>
    <x v="1421"/>
    <x v="0"/>
  </r>
  <r>
    <n v="51"/>
    <x v="1"/>
    <x v="3"/>
    <n v="2"/>
    <n v="3"/>
    <x v="0"/>
    <n v="252.19999999990301"/>
    <x v="1"/>
    <n v="139174.99999999499"/>
    <n v="2000"/>
    <n v="300"/>
    <x v="0"/>
    <n v="766908.01"/>
    <x v="1422"/>
    <x v="1"/>
  </r>
  <r>
    <n v="52"/>
    <x v="1"/>
    <x v="4"/>
    <n v="2"/>
    <n v="1"/>
    <x v="0"/>
    <n v="219.40000000029201"/>
    <x v="1"/>
    <n v="49910.000000011198"/>
    <n v="2000"/>
    <n v="300"/>
    <x v="0"/>
    <n v="735628.81"/>
    <x v="1423"/>
    <x v="0"/>
  </r>
  <r>
    <n v="53"/>
    <x v="1"/>
    <x v="4"/>
    <n v="2"/>
    <n v="2"/>
    <x v="0"/>
    <n v="218.80000000038501"/>
    <x v="1"/>
    <n v="113836.99999999"/>
    <n v="2000"/>
    <n v="300"/>
    <x v="0"/>
    <n v="770267.61"/>
    <x v="1424"/>
    <x v="1"/>
  </r>
  <r>
    <n v="54"/>
    <x v="1"/>
    <x v="4"/>
    <n v="2"/>
    <n v="3"/>
    <x v="0"/>
    <n v="306.40000000019501"/>
    <x v="1"/>
    <n v="434876.00000000303"/>
    <n v="2000"/>
    <n v="300"/>
    <x v="0"/>
    <n v="807070.01"/>
    <x v="1425"/>
    <x v="1"/>
  </r>
  <r>
    <n v="55"/>
    <x v="1"/>
    <x v="2"/>
    <n v="2"/>
    <n v="1"/>
    <x v="0"/>
    <n v="140.60000000064599"/>
    <x v="1"/>
    <n v="27028.000000001401"/>
    <n v="2000"/>
    <n v="300"/>
    <x v="0"/>
    <n v="737708.01"/>
    <x v="1426"/>
    <x v="0"/>
  </r>
  <r>
    <n v="56"/>
    <x v="1"/>
    <x v="2"/>
    <n v="2"/>
    <n v="2"/>
    <x v="0"/>
    <n v="137.60000000004899"/>
    <x v="1"/>
    <n v="25397.999999995602"/>
    <n v="2000"/>
    <n v="300"/>
    <x v="0"/>
    <n v="740428.01"/>
    <x v="1427"/>
    <x v="0"/>
  </r>
  <r>
    <n v="57"/>
    <x v="1"/>
    <x v="2"/>
    <n v="2"/>
    <n v="3"/>
    <x v="0"/>
    <n v="183.39999999987799"/>
    <x v="1"/>
    <n v="44558.000000023399"/>
    <n v="2000"/>
    <n v="300"/>
    <x v="0"/>
    <n v="733708.81"/>
    <x v="1428"/>
    <x v="0"/>
  </r>
  <r>
    <n v="58"/>
    <x v="1"/>
    <x v="3"/>
    <n v="2"/>
    <n v="1"/>
    <x v="0"/>
    <n v="215.599999999228"/>
    <x v="1"/>
    <n v="56205.000000005602"/>
    <n v="2000"/>
    <n v="300"/>
    <x v="0"/>
    <n v="742831.21"/>
    <x v="1429"/>
    <x v="0"/>
  </r>
  <r>
    <n v="59"/>
    <x v="1"/>
    <x v="3"/>
    <n v="2"/>
    <n v="2"/>
    <x v="0"/>
    <n v="212.39999999984599"/>
    <x v="1"/>
    <n v="45035.000000012798"/>
    <n v="2000"/>
    <n v="300"/>
    <x v="0"/>
    <n v="739548.01"/>
    <x v="1430"/>
    <x v="0"/>
  </r>
  <r>
    <n v="60"/>
    <x v="1"/>
    <x v="3"/>
    <n v="2"/>
    <n v="3"/>
    <x v="0"/>
    <n v="288.40000000016602"/>
    <x v="1"/>
    <n v="150798.00000000899"/>
    <n v="2000"/>
    <n v="300"/>
    <x v="0"/>
    <n v="743149.61"/>
    <x v="1431"/>
    <x v="0"/>
  </r>
  <r>
    <n v="61"/>
    <x v="1"/>
    <x v="4"/>
    <n v="2"/>
    <n v="1"/>
    <x v="0"/>
    <n v="230.60000000043601"/>
    <x v="1"/>
    <n v="105615.99999999801"/>
    <n v="2000"/>
    <n v="300"/>
    <x v="0"/>
    <n v="782429.21"/>
    <x v="1432"/>
    <x v="0"/>
  </r>
  <r>
    <n v="62"/>
    <x v="1"/>
    <x v="4"/>
    <n v="2"/>
    <n v="2"/>
    <x v="0"/>
    <n v="233.80000000017299"/>
    <x v="1"/>
    <n v="102223.999999978"/>
    <n v="2000"/>
    <n v="300"/>
    <x v="0"/>
    <n v="736187.61"/>
    <x v="1433"/>
    <x v="0"/>
  </r>
  <r>
    <n v="63"/>
    <x v="1"/>
    <x v="4"/>
    <n v="2"/>
    <n v="3"/>
    <x v="0"/>
    <n v="359.799999999666"/>
    <x v="1"/>
    <n v="241534.99999999901"/>
    <n v="2000"/>
    <n v="300"/>
    <x v="0"/>
    <n v="747628.41"/>
    <x v="1434"/>
    <x v="1"/>
  </r>
  <r>
    <n v="64"/>
    <x v="1"/>
    <x v="5"/>
    <n v="2"/>
    <n v="1"/>
    <x v="0"/>
    <n v="274.00000000028501"/>
    <x v="1"/>
    <n v="128890.00000001299"/>
    <n v="2000"/>
    <n v="300"/>
    <x v="0"/>
    <n v="750350.41"/>
    <x v="1435"/>
    <x v="1"/>
  </r>
  <r>
    <n v="65"/>
    <x v="1"/>
    <x v="5"/>
    <n v="2"/>
    <n v="2"/>
    <x v="0"/>
    <n v="271.20000000024902"/>
    <x v="1"/>
    <n v="165955.999999994"/>
    <n v="2000"/>
    <n v="300"/>
    <x v="0"/>
    <n v="743068.01"/>
    <x v="1436"/>
    <x v="1"/>
  </r>
  <r>
    <n v="66"/>
    <x v="1"/>
    <x v="5"/>
    <n v="2"/>
    <n v="3"/>
    <x v="0"/>
    <n v="390.99999999976399"/>
    <x v="1"/>
    <n v="603557.99999999197"/>
    <n v="2000"/>
    <n v="300"/>
    <x v="0"/>
    <n v="752429.21"/>
    <x v="1437"/>
    <x v="1"/>
  </r>
  <r>
    <n v="67"/>
    <x v="1"/>
    <x v="4"/>
    <n v="2"/>
    <n v="1"/>
    <x v="0"/>
    <n v="210.20000000007099"/>
    <x v="1"/>
    <n v="119817.999999981"/>
    <n v="2000"/>
    <n v="300"/>
    <x v="0"/>
    <n v="773308.01"/>
    <x v="1438"/>
    <x v="0"/>
  </r>
  <r>
    <n v="68"/>
    <x v="1"/>
    <x v="4"/>
    <n v="2"/>
    <n v="2"/>
    <x v="0"/>
    <n v="210.00000000022101"/>
    <x v="1"/>
    <n v="73575.000000005297"/>
    <n v="2000"/>
    <n v="300"/>
    <x v="0"/>
    <n v="745308.41"/>
    <x v="1439"/>
    <x v="0"/>
  </r>
  <r>
    <n v="69"/>
    <x v="1"/>
    <x v="4"/>
    <n v="2"/>
    <n v="3"/>
    <x v="0"/>
    <n v="292.59999999986502"/>
    <x v="1"/>
    <n v="260648.000000003"/>
    <n v="2000"/>
    <n v="300"/>
    <x v="0"/>
    <n v="737628.81"/>
    <x v="1440"/>
    <x v="1"/>
  </r>
  <r>
    <n v="28"/>
    <x v="1"/>
    <x v="1"/>
    <n v="2"/>
    <n v="1"/>
    <x v="0"/>
    <n v="541.19999999961999"/>
    <x v="1"/>
    <n v="40185.000000008098"/>
    <n v="1000"/>
    <n v="300"/>
    <x v="0"/>
    <n v="391668.41"/>
    <x v="1441"/>
    <x v="0"/>
  </r>
  <r>
    <n v="29"/>
    <x v="1"/>
    <x v="2"/>
    <n v="2"/>
    <n v="2"/>
    <x v="0"/>
    <n v="547.39999999959798"/>
    <x v="1"/>
    <n v="34695.999999996697"/>
    <n v="1000"/>
    <n v="300"/>
    <x v="0"/>
    <n v="377186.81"/>
    <x v="1442"/>
    <x v="0"/>
  </r>
  <r>
    <n v="30"/>
    <x v="1"/>
    <x v="2"/>
    <n v="2"/>
    <n v="3"/>
    <x v="0"/>
    <n v="598.60000000000502"/>
    <x v="1"/>
    <n v="78614.999999984997"/>
    <n v="1000"/>
    <n v="300"/>
    <x v="0"/>
    <n v="381227.61"/>
    <x v="1443"/>
    <x v="0"/>
  </r>
  <r>
    <n v="31"/>
    <x v="1"/>
    <x v="2"/>
    <n v="2"/>
    <n v="1"/>
    <x v="0"/>
    <n v="351.19999999970702"/>
    <x v="1"/>
    <n v="51963.999999998101"/>
    <n v="1000"/>
    <n v="300"/>
    <x v="0"/>
    <n v="379107.21"/>
    <x v="1444"/>
    <x v="0"/>
  </r>
  <r>
    <n v="32"/>
    <x v="1"/>
    <x v="2"/>
    <n v="2"/>
    <n v="2"/>
    <x v="0"/>
    <n v="356.00000000002302"/>
    <x v="1"/>
    <n v="20672.999999987998"/>
    <n v="1000"/>
    <n v="300"/>
    <x v="0"/>
    <n v="376786.81"/>
    <x v="1445"/>
    <x v="0"/>
  </r>
  <r>
    <n v="33"/>
    <x v="1"/>
    <x v="2"/>
    <n v="2"/>
    <n v="3"/>
    <x v="0"/>
    <n v="485.39999999981399"/>
    <x v="1"/>
    <n v="60222.000000010201"/>
    <n v="1000"/>
    <n v="300"/>
    <x v="0"/>
    <n v="380427.21"/>
    <x v="1446"/>
    <x v="0"/>
  </r>
  <r>
    <n v="34"/>
    <x v="1"/>
    <x v="2"/>
    <n v="2"/>
    <n v="1"/>
    <x v="0"/>
    <n v="307.60000000000798"/>
    <x v="1"/>
    <n v="19947.000000001899"/>
    <n v="1000"/>
    <n v="300"/>
    <x v="0"/>
    <n v="378907.21"/>
    <x v="1447"/>
    <x v="0"/>
  </r>
  <r>
    <n v="35"/>
    <x v="1"/>
    <x v="3"/>
    <n v="2"/>
    <n v="1"/>
    <x v="0"/>
    <n v="378.80000000036802"/>
    <x v="1"/>
    <n v="67833.000000007407"/>
    <n v="1000"/>
    <n v="300"/>
    <x v="0"/>
    <n v="408347.21"/>
    <x v="1448"/>
    <x v="0"/>
  </r>
  <r>
    <n v="36"/>
    <x v="1"/>
    <x v="3"/>
    <n v="2"/>
    <n v="2"/>
    <x v="0"/>
    <n v="225.399999999709"/>
    <x v="1"/>
    <n v="85232.000000019107"/>
    <n v="1000"/>
    <n v="300"/>
    <x v="0"/>
    <n v="393387.61"/>
    <x v="1449"/>
    <x v="1"/>
  </r>
  <r>
    <n v="37"/>
    <x v="1"/>
    <x v="3"/>
    <n v="2"/>
    <n v="3"/>
    <x v="0"/>
    <n v="317.40000000049002"/>
    <x v="1"/>
    <n v="429632.99999999598"/>
    <n v="1000"/>
    <n v="300"/>
    <x v="0"/>
    <n v="405307.21"/>
    <x v="1450"/>
    <x v="1"/>
  </r>
  <r>
    <n v="38"/>
    <x v="1"/>
    <x v="3"/>
    <n v="2"/>
    <n v="1"/>
    <x v="0"/>
    <n v="206.39999999971801"/>
    <x v="1"/>
    <n v="58606.999999995001"/>
    <n v="1000"/>
    <n v="300"/>
    <x v="0"/>
    <n v="408466.81"/>
    <x v="1451"/>
    <x v="0"/>
  </r>
  <r>
    <n v="39"/>
    <x v="1"/>
    <x v="4"/>
    <n v="2"/>
    <n v="1"/>
    <x v="0"/>
    <n v="257.600000000124"/>
    <x v="1"/>
    <n v="172606.00000000201"/>
    <n v="1000"/>
    <n v="300"/>
    <x v="0"/>
    <n v="412827.61"/>
    <x v="1452"/>
    <x v="0"/>
  </r>
  <r>
    <n v="40"/>
    <x v="1"/>
    <x v="4"/>
    <n v="2"/>
    <n v="2"/>
    <x v="0"/>
    <n v="242.59999999962599"/>
    <x v="1"/>
    <n v="100393.999999994"/>
    <n v="1000"/>
    <n v="300"/>
    <x v="0"/>
    <n v="396068.01"/>
    <x v="1453"/>
    <x v="1"/>
  </r>
  <r>
    <n v="41"/>
    <x v="1"/>
    <x v="4"/>
    <n v="2"/>
    <n v="3"/>
    <x v="0"/>
    <n v="354.20000000030399"/>
    <x v="1"/>
    <n v="409392.00000002497"/>
    <n v="1000"/>
    <n v="300"/>
    <x v="0"/>
    <n v="405388.81"/>
    <x v="1454"/>
    <x v="1"/>
  </r>
  <r>
    <n v="42"/>
    <x v="1"/>
    <x v="1"/>
    <n v="2"/>
    <n v="1"/>
    <x v="0"/>
    <n v="129.800000000202"/>
    <x v="1"/>
    <n v="11878.999999993301"/>
    <n v="1000"/>
    <n v="300"/>
    <x v="0"/>
    <n v="378067.21"/>
    <x v="1455"/>
    <x v="0"/>
  </r>
  <r>
    <n v="43"/>
    <x v="1"/>
    <x v="2"/>
    <n v="2"/>
    <n v="1"/>
    <x v="0"/>
    <n v="157.00000000009601"/>
    <x v="1"/>
    <n v="17081.999999987798"/>
    <n v="1000"/>
    <n v="300"/>
    <x v="0"/>
    <n v="380427.21"/>
    <x v="1456"/>
    <x v="0"/>
  </r>
  <r>
    <n v="44"/>
    <x v="1"/>
    <x v="2"/>
    <n v="2"/>
    <n v="2"/>
    <x v="0"/>
    <n v="156.599999999685"/>
    <x v="1"/>
    <n v="24732.0000000002"/>
    <n v="1000"/>
    <n v="300"/>
    <x v="0"/>
    <n v="379867.61"/>
    <x v="1457"/>
    <x v="0"/>
  </r>
  <r>
    <n v="45"/>
    <x v="1"/>
    <x v="2"/>
    <n v="2"/>
    <n v="3"/>
    <x v="0"/>
    <n v="211.00000000018301"/>
    <x v="1"/>
    <n v="56737.9999999957"/>
    <n v="1000"/>
    <n v="300"/>
    <x v="0"/>
    <n v="377427.61"/>
    <x v="1458"/>
    <x v="0"/>
  </r>
  <r>
    <n v="46"/>
    <x v="1"/>
    <x v="3"/>
    <n v="2"/>
    <n v="1"/>
    <x v="0"/>
    <n v="189.400000000006"/>
    <x v="1"/>
    <n v="68061.000000000204"/>
    <n v="1000"/>
    <n v="300"/>
    <x v="0"/>
    <n v="379508.81"/>
    <x v="1459"/>
    <x v="0"/>
  </r>
  <r>
    <n v="47"/>
    <x v="1"/>
    <x v="3"/>
    <n v="2"/>
    <n v="2"/>
    <x v="0"/>
    <n v="193.80000000026601"/>
    <x v="1"/>
    <n v="55103.000000002598"/>
    <n v="1000"/>
    <n v="300"/>
    <x v="0"/>
    <n v="380267.21"/>
    <x v="1460"/>
    <x v="0"/>
  </r>
  <r>
    <n v="48"/>
    <x v="1"/>
    <x v="3"/>
    <n v="2"/>
    <n v="3"/>
    <x v="0"/>
    <n v="249.79999999992199"/>
    <x v="1"/>
    <n v="121555.000000001"/>
    <n v="1000"/>
    <n v="300"/>
    <x v="0"/>
    <n v="409507.21"/>
    <x v="1461"/>
    <x v="1"/>
  </r>
  <r>
    <n v="49"/>
    <x v="1"/>
    <x v="3"/>
    <n v="2"/>
    <n v="1"/>
    <x v="0"/>
    <n v="183.19999999931699"/>
    <x v="1"/>
    <n v="41121.000000004002"/>
    <n v="1000"/>
    <n v="300"/>
    <x v="0"/>
    <n v="376068.01"/>
    <x v="1462"/>
    <x v="0"/>
  </r>
  <r>
    <n v="50"/>
    <x v="1"/>
    <x v="3"/>
    <n v="2"/>
    <n v="2"/>
    <x v="0"/>
    <n v="190.800000000024"/>
    <x v="1"/>
    <n v="50727.999999992302"/>
    <n v="1000"/>
    <n v="300"/>
    <x v="0"/>
    <n v="391747.61"/>
    <x v="1463"/>
    <x v="0"/>
  </r>
  <r>
    <n v="51"/>
    <x v="1"/>
    <x v="3"/>
    <n v="2"/>
    <n v="3"/>
    <x v="0"/>
    <n v="252.19999999990301"/>
    <x v="1"/>
    <n v="139174.99999999499"/>
    <n v="1000"/>
    <n v="300"/>
    <x v="0"/>
    <n v="393067.61"/>
    <x v="1464"/>
    <x v="0"/>
  </r>
  <r>
    <n v="52"/>
    <x v="1"/>
    <x v="4"/>
    <n v="2"/>
    <n v="1"/>
    <x v="0"/>
    <n v="219.40000000029201"/>
    <x v="1"/>
    <n v="49910.000000011198"/>
    <n v="1000"/>
    <n v="300"/>
    <x v="0"/>
    <n v="377428.81"/>
    <x v="1465"/>
    <x v="0"/>
  </r>
  <r>
    <n v="53"/>
    <x v="1"/>
    <x v="4"/>
    <n v="2"/>
    <n v="2"/>
    <x v="0"/>
    <n v="218.80000000038501"/>
    <x v="1"/>
    <n v="113836.99999999"/>
    <n v="1000"/>
    <n v="300"/>
    <x v="0"/>
    <n v="394747.21"/>
    <x v="1466"/>
    <x v="0"/>
  </r>
  <r>
    <n v="54"/>
    <x v="1"/>
    <x v="4"/>
    <n v="2"/>
    <n v="3"/>
    <x v="0"/>
    <n v="306.40000000019501"/>
    <x v="1"/>
    <n v="434876.00000000303"/>
    <n v="1000"/>
    <n v="300"/>
    <x v="0"/>
    <n v="413149.61"/>
    <x v="1467"/>
    <x v="1"/>
  </r>
  <r>
    <n v="55"/>
    <x v="1"/>
    <x v="2"/>
    <n v="2"/>
    <n v="1"/>
    <x v="0"/>
    <n v="140.60000000064599"/>
    <x v="1"/>
    <n v="27028.000000001401"/>
    <n v="1000"/>
    <n v="300"/>
    <x v="0"/>
    <n v="378467.61"/>
    <x v="1468"/>
    <x v="0"/>
  </r>
  <r>
    <n v="56"/>
    <x v="1"/>
    <x v="2"/>
    <n v="2"/>
    <n v="2"/>
    <x v="0"/>
    <n v="137.60000000004899"/>
    <x v="1"/>
    <n v="25397.999999995602"/>
    <n v="1000"/>
    <n v="300"/>
    <x v="0"/>
    <n v="379827.61"/>
    <x v="1469"/>
    <x v="0"/>
  </r>
  <r>
    <n v="57"/>
    <x v="1"/>
    <x v="2"/>
    <n v="2"/>
    <n v="3"/>
    <x v="0"/>
    <n v="183.39999999987799"/>
    <x v="1"/>
    <n v="44558.000000023399"/>
    <n v="1000"/>
    <n v="300"/>
    <x v="0"/>
    <n v="376468.41"/>
    <x v="1470"/>
    <x v="0"/>
  </r>
  <r>
    <n v="58"/>
    <x v="1"/>
    <x v="3"/>
    <n v="2"/>
    <n v="1"/>
    <x v="0"/>
    <n v="215.599999999228"/>
    <x v="1"/>
    <n v="56205.000000005602"/>
    <n v="1000"/>
    <n v="300"/>
    <x v="0"/>
    <n v="381030.81"/>
    <x v="1471"/>
    <x v="0"/>
  </r>
  <r>
    <n v="59"/>
    <x v="1"/>
    <x v="3"/>
    <n v="2"/>
    <n v="2"/>
    <x v="0"/>
    <n v="212.39999999984599"/>
    <x v="1"/>
    <n v="45035.000000012798"/>
    <n v="1000"/>
    <n v="300"/>
    <x v="0"/>
    <n v="379387.61"/>
    <x v="1472"/>
    <x v="0"/>
  </r>
  <r>
    <n v="60"/>
    <x v="1"/>
    <x v="3"/>
    <n v="2"/>
    <n v="3"/>
    <x v="0"/>
    <n v="288.40000000016602"/>
    <x v="1"/>
    <n v="150798.00000000899"/>
    <n v="1000"/>
    <n v="300"/>
    <x v="0"/>
    <n v="381189.21"/>
    <x v="1473"/>
    <x v="1"/>
  </r>
  <r>
    <n v="61"/>
    <x v="1"/>
    <x v="4"/>
    <n v="2"/>
    <n v="1"/>
    <x v="0"/>
    <n v="230.60000000043601"/>
    <x v="1"/>
    <n v="105615.99999999801"/>
    <n v="1000"/>
    <n v="300"/>
    <x v="0"/>
    <n v="400828.81"/>
    <x v="1474"/>
    <x v="0"/>
  </r>
  <r>
    <n v="62"/>
    <x v="1"/>
    <x v="4"/>
    <n v="2"/>
    <n v="2"/>
    <x v="0"/>
    <n v="233.80000000017299"/>
    <x v="1"/>
    <n v="102223.999999978"/>
    <n v="1000"/>
    <n v="300"/>
    <x v="0"/>
    <n v="377707.21"/>
    <x v="1475"/>
    <x v="0"/>
  </r>
  <r>
    <n v="63"/>
    <x v="1"/>
    <x v="4"/>
    <n v="2"/>
    <n v="3"/>
    <x v="0"/>
    <n v="359.799999999666"/>
    <x v="1"/>
    <n v="241534.99999999901"/>
    <n v="1000"/>
    <n v="300"/>
    <x v="0"/>
    <n v="383428.01"/>
    <x v="1476"/>
    <x v="1"/>
  </r>
  <r>
    <n v="64"/>
    <x v="1"/>
    <x v="5"/>
    <n v="2"/>
    <n v="1"/>
    <x v="0"/>
    <n v="274.00000000028501"/>
    <x v="1"/>
    <n v="128890.00000001299"/>
    <n v="1000"/>
    <n v="300"/>
    <x v="0"/>
    <n v="384790.01"/>
    <x v="1477"/>
    <x v="1"/>
  </r>
  <r>
    <n v="65"/>
    <x v="1"/>
    <x v="5"/>
    <n v="2"/>
    <n v="2"/>
    <x v="0"/>
    <n v="271.20000000024902"/>
    <x v="1"/>
    <n v="165955.999999994"/>
    <n v="1000"/>
    <n v="300"/>
    <x v="0"/>
    <n v="381147.61"/>
    <x v="1478"/>
    <x v="1"/>
  </r>
  <r>
    <n v="66"/>
    <x v="1"/>
    <x v="5"/>
    <n v="2"/>
    <n v="3"/>
    <x v="0"/>
    <n v="390.99999999976399"/>
    <x v="1"/>
    <n v="603557.99999999197"/>
    <n v="1000"/>
    <n v="300"/>
    <x v="0"/>
    <n v="385828.81"/>
    <x v="1479"/>
    <x v="1"/>
  </r>
  <r>
    <n v="67"/>
    <x v="1"/>
    <x v="4"/>
    <n v="2"/>
    <n v="1"/>
    <x v="0"/>
    <n v="210.20000000007099"/>
    <x v="1"/>
    <n v="119817.999999981"/>
    <n v="1000"/>
    <n v="300"/>
    <x v="0"/>
    <n v="396267.61"/>
    <x v="1480"/>
    <x v="0"/>
  </r>
  <r>
    <n v="68"/>
    <x v="1"/>
    <x v="4"/>
    <n v="2"/>
    <n v="2"/>
    <x v="0"/>
    <n v="210.00000000022101"/>
    <x v="1"/>
    <n v="73575.000000005297"/>
    <n v="1000"/>
    <n v="300"/>
    <x v="0"/>
    <n v="382268.01"/>
    <x v="1481"/>
    <x v="0"/>
  </r>
  <r>
    <n v="69"/>
    <x v="1"/>
    <x v="4"/>
    <n v="2"/>
    <n v="3"/>
    <x v="0"/>
    <n v="292.59999999986502"/>
    <x v="1"/>
    <n v="260648.000000003"/>
    <n v="1000"/>
    <n v="300"/>
    <x v="0"/>
    <n v="378428.41"/>
    <x v="1482"/>
    <x v="1"/>
  </r>
  <r>
    <n v="28"/>
    <x v="1"/>
    <x v="1"/>
    <n v="2"/>
    <n v="1"/>
    <x v="0"/>
    <n v="541.19999999961999"/>
    <x v="1"/>
    <n v="40185.000000008098"/>
    <n v="1000"/>
    <n v="100"/>
    <x v="0"/>
    <n v="191668.41"/>
    <x v="1483"/>
    <x v="0"/>
  </r>
  <r>
    <n v="29"/>
    <x v="1"/>
    <x v="2"/>
    <n v="2"/>
    <n v="2"/>
    <x v="0"/>
    <n v="547.39999999959798"/>
    <x v="1"/>
    <n v="34695.999999996697"/>
    <n v="1000"/>
    <n v="100"/>
    <x v="0"/>
    <n v="177186.81"/>
    <x v="1484"/>
    <x v="0"/>
  </r>
  <r>
    <n v="30"/>
    <x v="1"/>
    <x v="2"/>
    <n v="2"/>
    <n v="3"/>
    <x v="0"/>
    <n v="598.60000000000502"/>
    <x v="1"/>
    <n v="78614.999999984997"/>
    <n v="1000"/>
    <n v="100"/>
    <x v="0"/>
    <n v="181227.61"/>
    <x v="1485"/>
    <x v="0"/>
  </r>
  <r>
    <n v="31"/>
    <x v="1"/>
    <x v="2"/>
    <n v="2"/>
    <n v="1"/>
    <x v="0"/>
    <n v="351.19999999970702"/>
    <x v="1"/>
    <n v="51963.999999998101"/>
    <n v="1000"/>
    <n v="100"/>
    <x v="0"/>
    <n v="179107.21"/>
    <x v="1486"/>
    <x v="0"/>
  </r>
  <r>
    <n v="32"/>
    <x v="1"/>
    <x v="2"/>
    <n v="2"/>
    <n v="2"/>
    <x v="0"/>
    <n v="356.00000000002302"/>
    <x v="1"/>
    <n v="20672.999999987998"/>
    <n v="1000"/>
    <n v="100"/>
    <x v="0"/>
    <n v="176786.81"/>
    <x v="1487"/>
    <x v="0"/>
  </r>
  <r>
    <n v="33"/>
    <x v="1"/>
    <x v="2"/>
    <n v="2"/>
    <n v="3"/>
    <x v="0"/>
    <n v="485.39999999981399"/>
    <x v="1"/>
    <n v="60222.000000010201"/>
    <n v="1000"/>
    <n v="100"/>
    <x v="0"/>
    <n v="180427.21"/>
    <x v="1488"/>
    <x v="1"/>
  </r>
  <r>
    <n v="34"/>
    <x v="1"/>
    <x v="2"/>
    <n v="2"/>
    <n v="1"/>
    <x v="0"/>
    <n v="307.60000000000798"/>
    <x v="1"/>
    <n v="19947.000000001899"/>
    <n v="1000"/>
    <n v="100"/>
    <x v="0"/>
    <n v="178907.21"/>
    <x v="1489"/>
    <x v="0"/>
  </r>
  <r>
    <n v="35"/>
    <x v="1"/>
    <x v="3"/>
    <n v="2"/>
    <n v="1"/>
    <x v="0"/>
    <n v="378.80000000036802"/>
    <x v="1"/>
    <n v="67833.000000007407"/>
    <n v="1000"/>
    <n v="100"/>
    <x v="0"/>
    <n v="208347.21"/>
    <x v="1490"/>
    <x v="0"/>
  </r>
  <r>
    <n v="36"/>
    <x v="1"/>
    <x v="3"/>
    <n v="2"/>
    <n v="2"/>
    <x v="0"/>
    <n v="225.399999999709"/>
    <x v="1"/>
    <n v="85232.000000019107"/>
    <n v="1000"/>
    <n v="100"/>
    <x v="0"/>
    <n v="193387.61"/>
    <x v="1491"/>
    <x v="0"/>
  </r>
  <r>
    <n v="37"/>
    <x v="1"/>
    <x v="3"/>
    <n v="2"/>
    <n v="3"/>
    <x v="0"/>
    <n v="317.40000000049002"/>
    <x v="1"/>
    <n v="429632.99999999598"/>
    <n v="1000"/>
    <n v="100"/>
    <x v="0"/>
    <n v="205307.21"/>
    <x v="1492"/>
    <x v="1"/>
  </r>
  <r>
    <n v="38"/>
    <x v="1"/>
    <x v="3"/>
    <n v="2"/>
    <n v="1"/>
    <x v="0"/>
    <n v="206.39999999971801"/>
    <x v="1"/>
    <n v="58606.999999995001"/>
    <n v="1000"/>
    <n v="100"/>
    <x v="0"/>
    <n v="208466.81"/>
    <x v="1493"/>
    <x v="0"/>
  </r>
  <r>
    <n v="39"/>
    <x v="1"/>
    <x v="4"/>
    <n v="2"/>
    <n v="1"/>
    <x v="0"/>
    <n v="257.600000000124"/>
    <x v="1"/>
    <n v="172606.00000000201"/>
    <n v="1000"/>
    <n v="100"/>
    <x v="0"/>
    <n v="212827.61"/>
    <x v="1494"/>
    <x v="0"/>
  </r>
  <r>
    <n v="40"/>
    <x v="1"/>
    <x v="4"/>
    <n v="2"/>
    <n v="2"/>
    <x v="0"/>
    <n v="242.59999999962599"/>
    <x v="1"/>
    <n v="100393.999999994"/>
    <n v="1000"/>
    <n v="100"/>
    <x v="0"/>
    <n v="196068.01"/>
    <x v="1495"/>
    <x v="1"/>
  </r>
  <r>
    <n v="41"/>
    <x v="1"/>
    <x v="4"/>
    <n v="2"/>
    <n v="3"/>
    <x v="0"/>
    <n v="354.20000000030399"/>
    <x v="1"/>
    <n v="409392.00000002497"/>
    <n v="1000"/>
    <n v="100"/>
    <x v="0"/>
    <n v="205388.81"/>
    <x v="1496"/>
    <x v="1"/>
  </r>
  <r>
    <n v="42"/>
    <x v="1"/>
    <x v="1"/>
    <n v="2"/>
    <n v="1"/>
    <x v="0"/>
    <n v="129.800000000202"/>
    <x v="1"/>
    <n v="11878.999999993301"/>
    <n v="1000"/>
    <n v="100"/>
    <x v="0"/>
    <n v="178067.21"/>
    <x v="1497"/>
    <x v="0"/>
  </r>
  <r>
    <n v="43"/>
    <x v="1"/>
    <x v="2"/>
    <n v="2"/>
    <n v="1"/>
    <x v="0"/>
    <n v="157.00000000009601"/>
    <x v="1"/>
    <n v="17081.999999987798"/>
    <n v="1000"/>
    <n v="100"/>
    <x v="0"/>
    <n v="180427.21"/>
    <x v="1498"/>
    <x v="0"/>
  </r>
  <r>
    <n v="44"/>
    <x v="1"/>
    <x v="2"/>
    <n v="2"/>
    <n v="2"/>
    <x v="0"/>
    <n v="156.599999999685"/>
    <x v="1"/>
    <n v="24732.0000000002"/>
    <n v="1000"/>
    <n v="100"/>
    <x v="0"/>
    <n v="179867.61"/>
    <x v="1499"/>
    <x v="0"/>
  </r>
  <r>
    <n v="45"/>
    <x v="1"/>
    <x v="2"/>
    <n v="2"/>
    <n v="3"/>
    <x v="0"/>
    <n v="211.00000000018301"/>
    <x v="1"/>
    <n v="56737.9999999957"/>
    <n v="1000"/>
    <n v="100"/>
    <x v="0"/>
    <n v="177427.61"/>
    <x v="1500"/>
    <x v="1"/>
  </r>
  <r>
    <n v="46"/>
    <x v="1"/>
    <x v="3"/>
    <n v="2"/>
    <n v="1"/>
    <x v="0"/>
    <n v="189.400000000006"/>
    <x v="1"/>
    <n v="68061.000000000204"/>
    <n v="1000"/>
    <n v="100"/>
    <x v="0"/>
    <n v="179508.81"/>
    <x v="1501"/>
    <x v="0"/>
  </r>
  <r>
    <n v="47"/>
    <x v="1"/>
    <x v="3"/>
    <n v="2"/>
    <n v="2"/>
    <x v="0"/>
    <n v="193.80000000026601"/>
    <x v="1"/>
    <n v="55103.000000002598"/>
    <n v="1000"/>
    <n v="100"/>
    <x v="0"/>
    <n v="180267.21"/>
    <x v="1502"/>
    <x v="0"/>
  </r>
  <r>
    <n v="48"/>
    <x v="1"/>
    <x v="3"/>
    <n v="2"/>
    <n v="3"/>
    <x v="0"/>
    <n v="249.79999999992199"/>
    <x v="1"/>
    <n v="121555.000000001"/>
    <n v="1000"/>
    <n v="100"/>
    <x v="0"/>
    <n v="209507.21"/>
    <x v="1503"/>
    <x v="1"/>
  </r>
  <r>
    <n v="49"/>
    <x v="1"/>
    <x v="3"/>
    <n v="2"/>
    <n v="1"/>
    <x v="0"/>
    <n v="183.19999999931699"/>
    <x v="1"/>
    <n v="41121.000000004002"/>
    <n v="1000"/>
    <n v="100"/>
    <x v="0"/>
    <n v="176068.41"/>
    <x v="1504"/>
    <x v="0"/>
  </r>
  <r>
    <n v="50"/>
    <x v="1"/>
    <x v="3"/>
    <n v="2"/>
    <n v="2"/>
    <x v="0"/>
    <n v="190.800000000024"/>
    <x v="1"/>
    <n v="50727.999999992302"/>
    <n v="1000"/>
    <n v="100"/>
    <x v="0"/>
    <n v="191747.61"/>
    <x v="1505"/>
    <x v="0"/>
  </r>
  <r>
    <n v="51"/>
    <x v="1"/>
    <x v="3"/>
    <n v="2"/>
    <n v="3"/>
    <x v="0"/>
    <n v="252.19999999990301"/>
    <x v="1"/>
    <n v="139174.99999999499"/>
    <n v="1000"/>
    <n v="100"/>
    <x v="0"/>
    <n v="193067.61"/>
    <x v="1506"/>
    <x v="1"/>
  </r>
  <r>
    <n v="52"/>
    <x v="1"/>
    <x v="4"/>
    <n v="2"/>
    <n v="1"/>
    <x v="0"/>
    <n v="219.40000000029201"/>
    <x v="1"/>
    <n v="49910.000000011198"/>
    <n v="1000"/>
    <n v="100"/>
    <x v="0"/>
    <n v="177428.81"/>
    <x v="1507"/>
    <x v="0"/>
  </r>
  <r>
    <n v="53"/>
    <x v="1"/>
    <x v="4"/>
    <n v="2"/>
    <n v="2"/>
    <x v="0"/>
    <n v="218.80000000038501"/>
    <x v="1"/>
    <n v="113836.99999999"/>
    <n v="1000"/>
    <n v="100"/>
    <x v="0"/>
    <n v="194747.21"/>
    <x v="1508"/>
    <x v="1"/>
  </r>
  <r>
    <n v="54"/>
    <x v="1"/>
    <x v="4"/>
    <n v="2"/>
    <n v="3"/>
    <x v="0"/>
    <n v="306.40000000019501"/>
    <x v="1"/>
    <n v="434876.00000000303"/>
    <n v="1000"/>
    <n v="100"/>
    <x v="0"/>
    <n v="213149.61"/>
    <x v="1509"/>
    <x v="0"/>
  </r>
  <r>
    <n v="55"/>
    <x v="1"/>
    <x v="2"/>
    <n v="2"/>
    <n v="1"/>
    <x v="0"/>
    <n v="140.60000000064599"/>
    <x v="1"/>
    <n v="27028.000000001401"/>
    <n v="1000"/>
    <n v="100"/>
    <x v="0"/>
    <n v="178467.61"/>
    <x v="1510"/>
    <x v="0"/>
  </r>
  <r>
    <n v="56"/>
    <x v="1"/>
    <x v="2"/>
    <n v="2"/>
    <n v="2"/>
    <x v="0"/>
    <n v="137.60000000004899"/>
    <x v="1"/>
    <n v="25397.999999995602"/>
    <n v="1000"/>
    <n v="100"/>
    <x v="0"/>
    <n v="179827.61"/>
    <x v="1511"/>
    <x v="0"/>
  </r>
  <r>
    <n v="57"/>
    <x v="1"/>
    <x v="2"/>
    <n v="2"/>
    <n v="3"/>
    <x v="0"/>
    <n v="183.39999999987799"/>
    <x v="1"/>
    <n v="44558.000000023399"/>
    <n v="1000"/>
    <n v="100"/>
    <x v="0"/>
    <n v="176468.41"/>
    <x v="1512"/>
    <x v="0"/>
  </r>
  <r>
    <n v="58"/>
    <x v="1"/>
    <x v="3"/>
    <n v="2"/>
    <n v="1"/>
    <x v="0"/>
    <n v="215.599999999228"/>
    <x v="1"/>
    <n v="56205.000000005602"/>
    <n v="1000"/>
    <n v="100"/>
    <x v="0"/>
    <n v="181030.81"/>
    <x v="1513"/>
    <x v="0"/>
  </r>
  <r>
    <n v="59"/>
    <x v="1"/>
    <x v="3"/>
    <n v="2"/>
    <n v="2"/>
    <x v="0"/>
    <n v="212.39999999984599"/>
    <x v="1"/>
    <n v="45035.000000012798"/>
    <n v="1000"/>
    <n v="100"/>
    <x v="0"/>
    <n v="179387.61"/>
    <x v="1514"/>
    <x v="0"/>
  </r>
  <r>
    <n v="60"/>
    <x v="1"/>
    <x v="3"/>
    <n v="2"/>
    <n v="3"/>
    <x v="0"/>
    <n v="288.40000000016602"/>
    <x v="1"/>
    <n v="150798.00000000899"/>
    <n v="1000"/>
    <n v="100"/>
    <x v="0"/>
    <n v="181189.21"/>
    <x v="1515"/>
    <x v="1"/>
  </r>
  <r>
    <n v="61"/>
    <x v="1"/>
    <x v="4"/>
    <n v="2"/>
    <n v="1"/>
    <x v="0"/>
    <n v="230.60000000043601"/>
    <x v="1"/>
    <n v="105615.99999999801"/>
    <n v="1000"/>
    <n v="100"/>
    <x v="0"/>
    <n v="200828.81"/>
    <x v="1516"/>
    <x v="0"/>
  </r>
  <r>
    <n v="62"/>
    <x v="1"/>
    <x v="4"/>
    <n v="2"/>
    <n v="2"/>
    <x v="0"/>
    <n v="233.80000000017299"/>
    <x v="1"/>
    <n v="102223.999999978"/>
    <n v="1000"/>
    <n v="100"/>
    <x v="0"/>
    <n v="177707.21"/>
    <x v="1517"/>
    <x v="0"/>
  </r>
  <r>
    <n v="63"/>
    <x v="1"/>
    <x v="4"/>
    <n v="2"/>
    <n v="3"/>
    <x v="0"/>
    <n v="359.799999999666"/>
    <x v="1"/>
    <n v="241534.99999999901"/>
    <n v="1000"/>
    <n v="100"/>
    <x v="0"/>
    <n v="183428.01"/>
    <x v="1518"/>
    <x v="1"/>
  </r>
  <r>
    <n v="64"/>
    <x v="1"/>
    <x v="5"/>
    <n v="2"/>
    <n v="1"/>
    <x v="0"/>
    <n v="274.00000000028501"/>
    <x v="1"/>
    <n v="128890.00000001299"/>
    <n v="1000"/>
    <n v="100"/>
    <x v="0"/>
    <n v="184790.01"/>
    <x v="1519"/>
    <x v="1"/>
  </r>
  <r>
    <n v="65"/>
    <x v="1"/>
    <x v="5"/>
    <n v="2"/>
    <n v="2"/>
    <x v="0"/>
    <n v="271.20000000024902"/>
    <x v="1"/>
    <n v="165955.999999994"/>
    <n v="1000"/>
    <n v="100"/>
    <x v="0"/>
    <n v="181147.61"/>
    <x v="1520"/>
    <x v="1"/>
  </r>
  <r>
    <n v="66"/>
    <x v="1"/>
    <x v="5"/>
    <n v="2"/>
    <n v="3"/>
    <x v="0"/>
    <n v="390.99999999976399"/>
    <x v="1"/>
    <n v="603557.99999999197"/>
    <n v="1000"/>
    <n v="100"/>
    <x v="0"/>
    <n v="185828.81"/>
    <x v="1521"/>
    <x v="1"/>
  </r>
  <r>
    <n v="67"/>
    <x v="1"/>
    <x v="4"/>
    <n v="2"/>
    <n v="1"/>
    <x v="0"/>
    <n v="210.20000000007099"/>
    <x v="1"/>
    <n v="119817.999999981"/>
    <n v="1000"/>
    <n v="100"/>
    <x v="0"/>
    <n v="196267.61"/>
    <x v="1522"/>
    <x v="0"/>
  </r>
  <r>
    <n v="68"/>
    <x v="1"/>
    <x v="4"/>
    <n v="2"/>
    <n v="2"/>
    <x v="0"/>
    <n v="210.00000000022101"/>
    <x v="1"/>
    <n v="73575.000000005297"/>
    <n v="1000"/>
    <n v="100"/>
    <x v="0"/>
    <n v="182268.01"/>
    <x v="1523"/>
    <x v="0"/>
  </r>
  <r>
    <n v="69"/>
    <x v="1"/>
    <x v="4"/>
    <n v="2"/>
    <n v="3"/>
    <x v="0"/>
    <n v="292.59999999986502"/>
    <x v="1"/>
    <n v="260648.000000003"/>
    <n v="1000"/>
    <n v="100"/>
    <x v="0"/>
    <n v="178428.41"/>
    <x v="1524"/>
    <x v="1"/>
  </r>
  <r>
    <n v="28"/>
    <x v="1"/>
    <x v="1"/>
    <n v="2"/>
    <n v="1"/>
    <x v="0"/>
    <n v="541.19999999961999"/>
    <x v="1"/>
    <n v="40185.000000008098"/>
    <n v="1000"/>
    <n v="500"/>
    <x v="0"/>
    <n v="591668.81000000006"/>
    <x v="1525"/>
    <x v="0"/>
  </r>
  <r>
    <n v="29"/>
    <x v="1"/>
    <x v="2"/>
    <n v="2"/>
    <n v="2"/>
    <x v="0"/>
    <n v="547.39999999959798"/>
    <x v="1"/>
    <n v="34695.999999996697"/>
    <n v="1000"/>
    <n v="500"/>
    <x v="0"/>
    <n v="577187.21"/>
    <x v="1526"/>
    <x v="0"/>
  </r>
  <r>
    <n v="30"/>
    <x v="1"/>
    <x v="2"/>
    <n v="2"/>
    <n v="3"/>
    <x v="0"/>
    <n v="598.60000000000502"/>
    <x v="1"/>
    <n v="78614.999999984997"/>
    <n v="1000"/>
    <n v="500"/>
    <x v="0"/>
    <n v="581228.01"/>
    <x v="1527"/>
    <x v="0"/>
  </r>
  <r>
    <n v="31"/>
    <x v="1"/>
    <x v="2"/>
    <n v="2"/>
    <n v="1"/>
    <x v="0"/>
    <n v="351.19999999970702"/>
    <x v="1"/>
    <n v="51963.999999998101"/>
    <n v="1000"/>
    <n v="500"/>
    <x v="0"/>
    <n v="579107.61"/>
    <x v="1528"/>
    <x v="0"/>
  </r>
  <r>
    <n v="32"/>
    <x v="1"/>
    <x v="2"/>
    <n v="2"/>
    <n v="2"/>
    <x v="0"/>
    <n v="356.00000000002302"/>
    <x v="1"/>
    <n v="20672.999999987998"/>
    <n v="1000"/>
    <n v="500"/>
    <x v="0"/>
    <n v="576787.21"/>
    <x v="1529"/>
    <x v="0"/>
  </r>
  <r>
    <n v="33"/>
    <x v="1"/>
    <x v="2"/>
    <n v="2"/>
    <n v="3"/>
    <x v="0"/>
    <n v="485.39999999981399"/>
    <x v="1"/>
    <n v="60222.000000010201"/>
    <n v="1000"/>
    <n v="500"/>
    <x v="0"/>
    <n v="580428.01"/>
    <x v="1530"/>
    <x v="0"/>
  </r>
  <r>
    <n v="34"/>
    <x v="1"/>
    <x v="2"/>
    <n v="2"/>
    <n v="1"/>
    <x v="0"/>
    <n v="307.60000000000798"/>
    <x v="1"/>
    <n v="19947.000000001899"/>
    <n v="1000"/>
    <n v="500"/>
    <x v="0"/>
    <n v="578907.61"/>
    <x v="1531"/>
    <x v="0"/>
  </r>
  <r>
    <n v="35"/>
    <x v="1"/>
    <x v="3"/>
    <n v="2"/>
    <n v="1"/>
    <x v="0"/>
    <n v="378.80000000036802"/>
    <x v="1"/>
    <n v="67833.000000007407"/>
    <n v="1000"/>
    <n v="500"/>
    <x v="0"/>
    <n v="608347.61"/>
    <x v="1532"/>
    <x v="0"/>
  </r>
  <r>
    <n v="36"/>
    <x v="1"/>
    <x v="3"/>
    <n v="2"/>
    <n v="2"/>
    <x v="0"/>
    <n v="225.399999999709"/>
    <x v="1"/>
    <n v="85232.000000019107"/>
    <n v="1000"/>
    <n v="500"/>
    <x v="0"/>
    <n v="593388.01"/>
    <x v="1533"/>
    <x v="1"/>
  </r>
  <r>
    <n v="37"/>
    <x v="1"/>
    <x v="3"/>
    <n v="2"/>
    <n v="3"/>
    <x v="0"/>
    <n v="317.40000000049002"/>
    <x v="1"/>
    <n v="429632.99999999598"/>
    <n v="1000"/>
    <n v="500"/>
    <x v="0"/>
    <n v="605307.61"/>
    <x v="1534"/>
    <x v="1"/>
  </r>
  <r>
    <n v="38"/>
    <x v="1"/>
    <x v="3"/>
    <n v="2"/>
    <n v="1"/>
    <x v="0"/>
    <n v="206.39999999971801"/>
    <x v="1"/>
    <n v="58606.999999995001"/>
    <n v="1000"/>
    <n v="500"/>
    <x v="0"/>
    <n v="608467.21"/>
    <x v="1535"/>
    <x v="0"/>
  </r>
  <r>
    <n v="39"/>
    <x v="1"/>
    <x v="4"/>
    <n v="2"/>
    <n v="1"/>
    <x v="0"/>
    <n v="257.600000000124"/>
    <x v="1"/>
    <n v="172606.00000000201"/>
    <n v="1000"/>
    <n v="500"/>
    <x v="0"/>
    <n v="612828.01"/>
    <x v="1536"/>
    <x v="0"/>
  </r>
  <r>
    <n v="40"/>
    <x v="1"/>
    <x v="4"/>
    <n v="2"/>
    <n v="2"/>
    <x v="0"/>
    <n v="242.59999999962599"/>
    <x v="1"/>
    <n v="100393.999999994"/>
    <n v="1000"/>
    <n v="500"/>
    <x v="0"/>
    <n v="596068.41"/>
    <x v="1537"/>
    <x v="0"/>
  </r>
  <r>
    <n v="41"/>
    <x v="1"/>
    <x v="4"/>
    <n v="2"/>
    <n v="3"/>
    <x v="0"/>
    <n v="354.20000000030399"/>
    <x v="1"/>
    <n v="409392.00000002497"/>
    <n v="1000"/>
    <n v="500"/>
    <x v="0"/>
    <n v="605389.21"/>
    <x v="1538"/>
    <x v="1"/>
  </r>
  <r>
    <n v="42"/>
    <x v="1"/>
    <x v="1"/>
    <n v="2"/>
    <n v="1"/>
    <x v="0"/>
    <n v="129.800000000202"/>
    <x v="1"/>
    <n v="11878.999999993301"/>
    <n v="1000"/>
    <n v="500"/>
    <x v="0"/>
    <n v="578067.61"/>
    <x v="1539"/>
    <x v="0"/>
  </r>
  <r>
    <n v="43"/>
    <x v="1"/>
    <x v="2"/>
    <n v="2"/>
    <n v="1"/>
    <x v="0"/>
    <n v="157.00000000009601"/>
    <x v="1"/>
    <n v="17081.999999987798"/>
    <n v="1000"/>
    <n v="500"/>
    <x v="0"/>
    <n v="580427.61"/>
    <x v="1540"/>
    <x v="0"/>
  </r>
  <r>
    <n v="44"/>
    <x v="1"/>
    <x v="2"/>
    <n v="2"/>
    <n v="2"/>
    <x v="0"/>
    <n v="156.599999999685"/>
    <x v="1"/>
    <n v="24732.0000000002"/>
    <n v="1000"/>
    <n v="500"/>
    <x v="0"/>
    <n v="579868.01"/>
    <x v="1541"/>
    <x v="0"/>
  </r>
  <r>
    <n v="45"/>
    <x v="1"/>
    <x v="2"/>
    <n v="2"/>
    <n v="3"/>
    <x v="0"/>
    <n v="211.00000000018301"/>
    <x v="1"/>
    <n v="56737.9999999957"/>
    <n v="1000"/>
    <n v="500"/>
    <x v="0"/>
    <n v="577428.01"/>
    <x v="1542"/>
    <x v="0"/>
  </r>
  <r>
    <n v="46"/>
    <x v="1"/>
    <x v="3"/>
    <n v="2"/>
    <n v="1"/>
    <x v="0"/>
    <n v="189.400000000006"/>
    <x v="1"/>
    <n v="68061.000000000204"/>
    <n v="1000"/>
    <n v="500"/>
    <x v="0"/>
    <n v="579509.21"/>
    <x v="1543"/>
    <x v="0"/>
  </r>
  <r>
    <n v="47"/>
    <x v="1"/>
    <x v="3"/>
    <n v="2"/>
    <n v="2"/>
    <x v="0"/>
    <n v="193.80000000026601"/>
    <x v="1"/>
    <n v="55103.000000002598"/>
    <n v="1000"/>
    <n v="500"/>
    <x v="0"/>
    <n v="580267.61"/>
    <x v="1544"/>
    <x v="0"/>
  </r>
  <r>
    <n v="48"/>
    <x v="1"/>
    <x v="3"/>
    <n v="2"/>
    <n v="3"/>
    <x v="0"/>
    <n v="249.79999999992199"/>
    <x v="1"/>
    <n v="121555.000000001"/>
    <n v="1000"/>
    <n v="500"/>
    <x v="0"/>
    <n v="609507.61"/>
    <x v="1545"/>
    <x v="1"/>
  </r>
  <r>
    <n v="49"/>
    <x v="1"/>
    <x v="3"/>
    <n v="2"/>
    <n v="1"/>
    <x v="0"/>
    <n v="183.19999999931699"/>
    <x v="1"/>
    <n v="41121.000000004002"/>
    <n v="1000"/>
    <n v="500"/>
    <x v="0"/>
    <n v="576068.41"/>
    <x v="1546"/>
    <x v="0"/>
  </r>
  <r>
    <n v="50"/>
    <x v="1"/>
    <x v="3"/>
    <n v="2"/>
    <n v="2"/>
    <x v="0"/>
    <n v="190.800000000024"/>
    <x v="1"/>
    <n v="50727.999999992302"/>
    <n v="1000"/>
    <n v="500"/>
    <x v="0"/>
    <n v="591748.01"/>
    <x v="1547"/>
    <x v="0"/>
  </r>
  <r>
    <n v="51"/>
    <x v="1"/>
    <x v="3"/>
    <n v="2"/>
    <n v="3"/>
    <x v="0"/>
    <n v="252.19999999990301"/>
    <x v="1"/>
    <n v="139174.99999999499"/>
    <n v="1000"/>
    <n v="500"/>
    <x v="0"/>
    <n v="593068.01"/>
    <x v="1548"/>
    <x v="1"/>
  </r>
  <r>
    <n v="52"/>
    <x v="1"/>
    <x v="4"/>
    <n v="2"/>
    <n v="1"/>
    <x v="0"/>
    <n v="219.40000000029201"/>
    <x v="1"/>
    <n v="49910.000000011198"/>
    <n v="1000"/>
    <n v="500"/>
    <x v="0"/>
    <n v="577428.81000000006"/>
    <x v="1549"/>
    <x v="0"/>
  </r>
  <r>
    <n v="53"/>
    <x v="1"/>
    <x v="4"/>
    <n v="2"/>
    <n v="2"/>
    <x v="0"/>
    <n v="218.80000000038501"/>
    <x v="1"/>
    <n v="113836.99999999"/>
    <n v="1000"/>
    <n v="500"/>
    <x v="0"/>
    <n v="594747.61"/>
    <x v="1550"/>
    <x v="0"/>
  </r>
  <r>
    <n v="54"/>
    <x v="1"/>
    <x v="4"/>
    <n v="2"/>
    <n v="3"/>
    <x v="0"/>
    <n v="306.40000000019501"/>
    <x v="1"/>
    <n v="434876.00000000303"/>
    <n v="1000"/>
    <n v="500"/>
    <x v="0"/>
    <n v="613150.01"/>
    <x v="1551"/>
    <x v="1"/>
  </r>
  <r>
    <n v="55"/>
    <x v="1"/>
    <x v="2"/>
    <n v="2"/>
    <n v="1"/>
    <x v="0"/>
    <n v="140.60000000064599"/>
    <x v="1"/>
    <n v="27028.000000001401"/>
    <n v="1000"/>
    <n v="500"/>
    <x v="0"/>
    <n v="578468.01"/>
    <x v="1552"/>
    <x v="0"/>
  </r>
  <r>
    <n v="56"/>
    <x v="1"/>
    <x v="2"/>
    <n v="2"/>
    <n v="2"/>
    <x v="0"/>
    <n v="137.60000000004899"/>
    <x v="1"/>
    <n v="25397.999999995602"/>
    <n v="1000"/>
    <n v="500"/>
    <x v="0"/>
    <n v="579828.01"/>
    <x v="1553"/>
    <x v="0"/>
  </r>
  <r>
    <n v="57"/>
    <x v="1"/>
    <x v="2"/>
    <n v="2"/>
    <n v="3"/>
    <x v="0"/>
    <n v="183.39999999987799"/>
    <x v="1"/>
    <n v="44558.000000023399"/>
    <n v="1000"/>
    <n v="500"/>
    <x v="0"/>
    <n v="576468.81000000006"/>
    <x v="1554"/>
    <x v="0"/>
  </r>
  <r>
    <n v="58"/>
    <x v="1"/>
    <x v="3"/>
    <n v="2"/>
    <n v="1"/>
    <x v="0"/>
    <n v="215.599999999228"/>
    <x v="1"/>
    <n v="56205.000000005602"/>
    <n v="1000"/>
    <n v="500"/>
    <x v="0"/>
    <n v="581031.21"/>
    <x v="1555"/>
    <x v="0"/>
  </r>
  <r>
    <n v="59"/>
    <x v="1"/>
    <x v="3"/>
    <n v="2"/>
    <n v="2"/>
    <x v="0"/>
    <n v="212.39999999984599"/>
    <x v="1"/>
    <n v="45035.000000012798"/>
    <n v="1000"/>
    <n v="500"/>
    <x v="0"/>
    <n v="579388.01"/>
    <x v="1556"/>
    <x v="0"/>
  </r>
  <r>
    <n v="60"/>
    <x v="1"/>
    <x v="3"/>
    <n v="2"/>
    <n v="3"/>
    <x v="0"/>
    <n v="288.40000000016602"/>
    <x v="1"/>
    <n v="150798.00000000899"/>
    <n v="1000"/>
    <n v="500"/>
    <x v="0"/>
    <n v="581189.61"/>
    <x v="1557"/>
    <x v="0"/>
  </r>
  <r>
    <n v="61"/>
    <x v="1"/>
    <x v="4"/>
    <n v="2"/>
    <n v="1"/>
    <x v="0"/>
    <n v="230.60000000043601"/>
    <x v="1"/>
    <n v="105615.99999999801"/>
    <n v="1000"/>
    <n v="500"/>
    <x v="0"/>
    <n v="600829.21"/>
    <x v="1558"/>
    <x v="0"/>
  </r>
  <r>
    <n v="62"/>
    <x v="1"/>
    <x v="4"/>
    <n v="2"/>
    <n v="2"/>
    <x v="0"/>
    <n v="233.80000000017299"/>
    <x v="1"/>
    <n v="102223.999999978"/>
    <n v="1000"/>
    <n v="500"/>
    <x v="0"/>
    <n v="577707.61"/>
    <x v="1559"/>
    <x v="0"/>
  </r>
  <r>
    <n v="63"/>
    <x v="1"/>
    <x v="4"/>
    <n v="2"/>
    <n v="3"/>
    <x v="0"/>
    <n v="359.799999999666"/>
    <x v="1"/>
    <n v="241534.99999999901"/>
    <n v="1000"/>
    <n v="500"/>
    <x v="0"/>
    <n v="583428.41"/>
    <x v="1560"/>
    <x v="1"/>
  </r>
  <r>
    <n v="64"/>
    <x v="1"/>
    <x v="5"/>
    <n v="2"/>
    <n v="1"/>
    <x v="0"/>
    <n v="274.00000000028501"/>
    <x v="1"/>
    <n v="128890.00000001299"/>
    <n v="1000"/>
    <n v="500"/>
    <x v="0"/>
    <n v="584790.41"/>
    <x v="1561"/>
    <x v="0"/>
  </r>
  <r>
    <n v="65"/>
    <x v="1"/>
    <x v="5"/>
    <n v="2"/>
    <n v="2"/>
    <x v="0"/>
    <n v="271.20000000024902"/>
    <x v="1"/>
    <n v="165955.999999994"/>
    <n v="1000"/>
    <n v="500"/>
    <x v="0"/>
    <n v="581148.01"/>
    <x v="1562"/>
    <x v="1"/>
  </r>
  <r>
    <n v="66"/>
    <x v="1"/>
    <x v="5"/>
    <n v="2"/>
    <n v="3"/>
    <x v="0"/>
    <n v="390.99999999976399"/>
    <x v="1"/>
    <n v="603557.99999999197"/>
    <n v="1000"/>
    <n v="500"/>
    <x v="0"/>
    <n v="585829.21"/>
    <x v="1563"/>
    <x v="1"/>
  </r>
  <r>
    <n v="67"/>
    <x v="1"/>
    <x v="4"/>
    <n v="2"/>
    <n v="1"/>
    <x v="0"/>
    <n v="210.20000000007099"/>
    <x v="1"/>
    <n v="119817.999999981"/>
    <n v="1000"/>
    <n v="500"/>
    <x v="0"/>
    <n v="596268.01"/>
    <x v="1564"/>
    <x v="0"/>
  </r>
  <r>
    <n v="68"/>
    <x v="1"/>
    <x v="4"/>
    <n v="2"/>
    <n v="2"/>
    <x v="0"/>
    <n v="210.00000000022101"/>
    <x v="1"/>
    <n v="73575.000000005297"/>
    <n v="1000"/>
    <n v="500"/>
    <x v="0"/>
    <n v="582268.41"/>
    <x v="1565"/>
    <x v="0"/>
  </r>
  <r>
    <n v="69"/>
    <x v="1"/>
    <x v="4"/>
    <n v="2"/>
    <n v="3"/>
    <x v="0"/>
    <n v="292.59999999986502"/>
    <x v="1"/>
    <n v="260648.000000003"/>
    <n v="1000"/>
    <n v="500"/>
    <x v="0"/>
    <n v="578428.81000000006"/>
    <x v="1566"/>
    <x v="1"/>
  </r>
  <r>
    <n v="28"/>
    <x v="1"/>
    <x v="1"/>
    <n v="2"/>
    <n v="1"/>
    <x v="0"/>
    <n v="541.19999999961999"/>
    <x v="1"/>
    <n v="40185.000000008098"/>
    <n v="1000"/>
    <n v="700"/>
    <x v="0"/>
    <n v="791668.81"/>
    <x v="1567"/>
    <x v="0"/>
  </r>
  <r>
    <n v="29"/>
    <x v="1"/>
    <x v="2"/>
    <n v="2"/>
    <n v="2"/>
    <x v="0"/>
    <n v="547.39999999959798"/>
    <x v="1"/>
    <n v="34695.999999996697"/>
    <n v="1000"/>
    <n v="700"/>
    <x v="0"/>
    <n v="777187.21"/>
    <x v="1568"/>
    <x v="0"/>
  </r>
  <r>
    <n v="30"/>
    <x v="1"/>
    <x v="2"/>
    <n v="2"/>
    <n v="3"/>
    <x v="0"/>
    <n v="598.60000000000502"/>
    <x v="1"/>
    <n v="78614.999999984997"/>
    <n v="1000"/>
    <n v="700"/>
    <x v="0"/>
    <n v="781228.01"/>
    <x v="1569"/>
    <x v="0"/>
  </r>
  <r>
    <n v="31"/>
    <x v="1"/>
    <x v="2"/>
    <n v="2"/>
    <n v="1"/>
    <x v="0"/>
    <n v="351.19999999970702"/>
    <x v="1"/>
    <n v="51963.999999998101"/>
    <n v="1000"/>
    <n v="700"/>
    <x v="0"/>
    <n v="779107.61"/>
    <x v="1570"/>
    <x v="0"/>
  </r>
  <r>
    <n v="32"/>
    <x v="1"/>
    <x v="2"/>
    <n v="2"/>
    <n v="2"/>
    <x v="0"/>
    <n v="356.00000000002302"/>
    <x v="1"/>
    <n v="20672.999999987998"/>
    <n v="1000"/>
    <n v="700"/>
    <x v="0"/>
    <n v="776787.21"/>
    <x v="1571"/>
    <x v="0"/>
  </r>
  <r>
    <n v="33"/>
    <x v="1"/>
    <x v="2"/>
    <n v="2"/>
    <n v="3"/>
    <x v="0"/>
    <n v="485.39999999981399"/>
    <x v="1"/>
    <n v="60222.000000010201"/>
    <n v="1000"/>
    <n v="700"/>
    <x v="0"/>
    <n v="780428.01"/>
    <x v="1572"/>
    <x v="0"/>
  </r>
  <r>
    <n v="34"/>
    <x v="1"/>
    <x v="2"/>
    <n v="2"/>
    <n v="1"/>
    <x v="0"/>
    <n v="307.60000000000798"/>
    <x v="1"/>
    <n v="19947.000000001899"/>
    <n v="1000"/>
    <n v="700"/>
    <x v="0"/>
    <n v="778907.61"/>
    <x v="1573"/>
    <x v="0"/>
  </r>
  <r>
    <n v="35"/>
    <x v="1"/>
    <x v="3"/>
    <n v="2"/>
    <n v="1"/>
    <x v="0"/>
    <n v="378.80000000036802"/>
    <x v="1"/>
    <n v="67833.000000007407"/>
    <n v="1000"/>
    <n v="700"/>
    <x v="0"/>
    <n v="808347.61"/>
    <x v="1574"/>
    <x v="0"/>
  </r>
  <r>
    <n v="36"/>
    <x v="1"/>
    <x v="3"/>
    <n v="2"/>
    <n v="2"/>
    <x v="0"/>
    <n v="225.399999999709"/>
    <x v="1"/>
    <n v="85232.000000019107"/>
    <n v="1000"/>
    <n v="700"/>
    <x v="0"/>
    <n v="793388.01"/>
    <x v="1575"/>
    <x v="1"/>
  </r>
  <r>
    <n v="37"/>
    <x v="1"/>
    <x v="3"/>
    <n v="2"/>
    <n v="3"/>
    <x v="0"/>
    <n v="317.40000000049002"/>
    <x v="1"/>
    <n v="429632.99999999598"/>
    <n v="1000"/>
    <n v="700"/>
    <x v="0"/>
    <n v="805307.61"/>
    <x v="1576"/>
    <x v="1"/>
  </r>
  <r>
    <n v="38"/>
    <x v="1"/>
    <x v="3"/>
    <n v="2"/>
    <n v="1"/>
    <x v="0"/>
    <n v="206.39999999971801"/>
    <x v="1"/>
    <n v="58606.999999995001"/>
    <n v="1000"/>
    <n v="700"/>
    <x v="0"/>
    <n v="808467.21"/>
    <x v="1577"/>
    <x v="0"/>
  </r>
  <r>
    <n v="39"/>
    <x v="1"/>
    <x v="4"/>
    <n v="2"/>
    <n v="1"/>
    <x v="0"/>
    <n v="257.600000000124"/>
    <x v="1"/>
    <n v="172606.00000000201"/>
    <n v="1000"/>
    <n v="700"/>
    <x v="0"/>
    <n v="812828.01"/>
    <x v="1578"/>
    <x v="0"/>
  </r>
  <r>
    <n v="40"/>
    <x v="1"/>
    <x v="4"/>
    <n v="2"/>
    <n v="2"/>
    <x v="0"/>
    <n v="242.59999999962599"/>
    <x v="1"/>
    <n v="100393.999999994"/>
    <n v="1000"/>
    <n v="700"/>
    <x v="0"/>
    <n v="796068.41"/>
    <x v="1579"/>
    <x v="1"/>
  </r>
  <r>
    <n v="41"/>
    <x v="1"/>
    <x v="4"/>
    <n v="2"/>
    <n v="3"/>
    <x v="0"/>
    <n v="354.20000000030399"/>
    <x v="1"/>
    <n v="409392.00000002497"/>
    <n v="1000"/>
    <n v="700"/>
    <x v="0"/>
    <n v="805389.21"/>
    <x v="1580"/>
    <x v="1"/>
  </r>
  <r>
    <n v="42"/>
    <x v="1"/>
    <x v="1"/>
    <n v="2"/>
    <n v="1"/>
    <x v="0"/>
    <n v="129.800000000202"/>
    <x v="1"/>
    <n v="11878.999999993301"/>
    <n v="1000"/>
    <n v="700"/>
    <x v="0"/>
    <n v="778067.61"/>
    <x v="1581"/>
    <x v="0"/>
  </r>
  <r>
    <n v="43"/>
    <x v="1"/>
    <x v="2"/>
    <n v="2"/>
    <n v="1"/>
    <x v="0"/>
    <n v="157.00000000009601"/>
    <x v="1"/>
    <n v="17081.999999987798"/>
    <n v="1000"/>
    <n v="700"/>
    <x v="0"/>
    <n v="780427.61"/>
    <x v="1582"/>
    <x v="0"/>
  </r>
  <r>
    <n v="44"/>
    <x v="1"/>
    <x v="2"/>
    <n v="2"/>
    <n v="2"/>
    <x v="0"/>
    <n v="156.599999999685"/>
    <x v="1"/>
    <n v="24732.0000000002"/>
    <n v="1000"/>
    <n v="700"/>
    <x v="0"/>
    <n v="779868.01"/>
    <x v="1583"/>
    <x v="0"/>
  </r>
  <r>
    <n v="45"/>
    <x v="1"/>
    <x v="2"/>
    <n v="2"/>
    <n v="3"/>
    <x v="0"/>
    <n v="211.00000000018301"/>
    <x v="1"/>
    <n v="56737.9999999957"/>
    <n v="1000"/>
    <n v="700"/>
    <x v="0"/>
    <n v="777428.01"/>
    <x v="1584"/>
    <x v="0"/>
  </r>
  <r>
    <n v="46"/>
    <x v="1"/>
    <x v="3"/>
    <n v="2"/>
    <n v="1"/>
    <x v="0"/>
    <n v="189.400000000006"/>
    <x v="1"/>
    <n v="68061.000000000204"/>
    <n v="1000"/>
    <n v="700"/>
    <x v="0"/>
    <n v="779509.21"/>
    <x v="1585"/>
    <x v="0"/>
  </r>
  <r>
    <n v="47"/>
    <x v="1"/>
    <x v="3"/>
    <n v="2"/>
    <n v="2"/>
    <x v="0"/>
    <n v="193.80000000026601"/>
    <x v="1"/>
    <n v="55103.000000002598"/>
    <n v="1000"/>
    <n v="700"/>
    <x v="0"/>
    <n v="780267.61"/>
    <x v="1586"/>
    <x v="0"/>
  </r>
  <r>
    <n v="48"/>
    <x v="1"/>
    <x v="3"/>
    <n v="2"/>
    <n v="3"/>
    <x v="0"/>
    <n v="249.79999999992199"/>
    <x v="1"/>
    <n v="121555.000000001"/>
    <n v="1000"/>
    <n v="700"/>
    <x v="0"/>
    <n v="809507.61"/>
    <x v="1587"/>
    <x v="1"/>
  </r>
  <r>
    <n v="49"/>
    <x v="1"/>
    <x v="3"/>
    <n v="2"/>
    <n v="1"/>
    <x v="0"/>
    <n v="183.19999999931699"/>
    <x v="1"/>
    <n v="41121.000000004002"/>
    <n v="1000"/>
    <n v="700"/>
    <x v="0"/>
    <n v="776068.41"/>
    <x v="1588"/>
    <x v="0"/>
  </r>
  <r>
    <n v="50"/>
    <x v="1"/>
    <x v="3"/>
    <n v="2"/>
    <n v="2"/>
    <x v="0"/>
    <n v="190.800000000024"/>
    <x v="1"/>
    <n v="50727.999999992302"/>
    <n v="1000"/>
    <n v="700"/>
    <x v="0"/>
    <n v="791748.01"/>
    <x v="1589"/>
    <x v="0"/>
  </r>
  <r>
    <n v="51"/>
    <x v="1"/>
    <x v="3"/>
    <n v="2"/>
    <n v="3"/>
    <x v="0"/>
    <n v="252.19999999990301"/>
    <x v="1"/>
    <n v="139174.99999999499"/>
    <n v="1000"/>
    <n v="700"/>
    <x v="0"/>
    <n v="793068.01"/>
    <x v="1590"/>
    <x v="0"/>
  </r>
  <r>
    <n v="52"/>
    <x v="1"/>
    <x v="4"/>
    <n v="2"/>
    <n v="1"/>
    <x v="0"/>
    <n v="219.40000000029201"/>
    <x v="1"/>
    <n v="49910.000000011198"/>
    <n v="1000"/>
    <n v="700"/>
    <x v="0"/>
    <n v="777428.81"/>
    <x v="1591"/>
    <x v="0"/>
  </r>
  <r>
    <n v="53"/>
    <x v="1"/>
    <x v="4"/>
    <n v="2"/>
    <n v="2"/>
    <x v="0"/>
    <n v="218.80000000038501"/>
    <x v="1"/>
    <n v="113836.99999999"/>
    <n v="1000"/>
    <n v="700"/>
    <x v="0"/>
    <n v="794747.61"/>
    <x v="1592"/>
    <x v="1"/>
  </r>
  <r>
    <n v="54"/>
    <x v="1"/>
    <x v="4"/>
    <n v="2"/>
    <n v="3"/>
    <x v="0"/>
    <n v="306.40000000019501"/>
    <x v="1"/>
    <n v="434876.00000000303"/>
    <n v="1000"/>
    <n v="700"/>
    <x v="0"/>
    <n v="813150.01"/>
    <x v="1593"/>
    <x v="1"/>
  </r>
  <r>
    <n v="55"/>
    <x v="1"/>
    <x v="2"/>
    <n v="2"/>
    <n v="1"/>
    <x v="0"/>
    <n v="140.60000000064599"/>
    <x v="1"/>
    <n v="27028.000000001401"/>
    <n v="1000"/>
    <n v="700"/>
    <x v="0"/>
    <n v="778468.01"/>
    <x v="1594"/>
    <x v="0"/>
  </r>
  <r>
    <n v="56"/>
    <x v="1"/>
    <x v="2"/>
    <n v="2"/>
    <n v="2"/>
    <x v="0"/>
    <n v="137.60000000004899"/>
    <x v="1"/>
    <n v="25397.999999995602"/>
    <n v="1000"/>
    <n v="700"/>
    <x v="0"/>
    <n v="779828.01"/>
    <x v="1595"/>
    <x v="0"/>
  </r>
  <r>
    <n v="57"/>
    <x v="1"/>
    <x v="2"/>
    <n v="2"/>
    <n v="3"/>
    <x v="0"/>
    <n v="183.39999999987799"/>
    <x v="1"/>
    <n v="44558.000000023399"/>
    <n v="1000"/>
    <n v="700"/>
    <x v="0"/>
    <n v="776468.81"/>
    <x v="1596"/>
    <x v="0"/>
  </r>
  <r>
    <n v="58"/>
    <x v="1"/>
    <x v="3"/>
    <n v="2"/>
    <n v="1"/>
    <x v="0"/>
    <n v="215.599999999228"/>
    <x v="1"/>
    <n v="56205.000000005602"/>
    <n v="1000"/>
    <n v="700"/>
    <x v="0"/>
    <n v="781031.21"/>
    <x v="1597"/>
    <x v="0"/>
  </r>
  <r>
    <n v="59"/>
    <x v="1"/>
    <x v="3"/>
    <n v="2"/>
    <n v="2"/>
    <x v="0"/>
    <n v="212.39999999984599"/>
    <x v="1"/>
    <n v="45035.000000012798"/>
    <n v="1000"/>
    <n v="700"/>
    <x v="0"/>
    <n v="779388.01"/>
    <x v="1598"/>
    <x v="0"/>
  </r>
  <r>
    <n v="60"/>
    <x v="1"/>
    <x v="3"/>
    <n v="2"/>
    <n v="3"/>
    <x v="0"/>
    <n v="288.40000000016602"/>
    <x v="1"/>
    <n v="150798.00000000899"/>
    <n v="1000"/>
    <n v="700"/>
    <x v="0"/>
    <n v="781189.61"/>
    <x v="1599"/>
    <x v="1"/>
  </r>
  <r>
    <n v="61"/>
    <x v="1"/>
    <x v="4"/>
    <n v="2"/>
    <n v="1"/>
    <x v="0"/>
    <n v="230.60000000043601"/>
    <x v="1"/>
    <n v="105615.99999999801"/>
    <n v="1000"/>
    <n v="700"/>
    <x v="0"/>
    <n v="800829.21"/>
    <x v="1600"/>
    <x v="0"/>
  </r>
  <r>
    <n v="62"/>
    <x v="1"/>
    <x v="4"/>
    <n v="2"/>
    <n v="2"/>
    <x v="0"/>
    <n v="233.80000000017299"/>
    <x v="1"/>
    <n v="102223.999999978"/>
    <n v="1000"/>
    <n v="700"/>
    <x v="0"/>
    <n v="777707.61"/>
    <x v="1601"/>
    <x v="0"/>
  </r>
  <r>
    <n v="63"/>
    <x v="1"/>
    <x v="4"/>
    <n v="2"/>
    <n v="3"/>
    <x v="0"/>
    <n v="359.799999999666"/>
    <x v="1"/>
    <n v="241534.99999999901"/>
    <n v="1000"/>
    <n v="700"/>
    <x v="0"/>
    <n v="783428.41"/>
    <x v="1602"/>
    <x v="1"/>
  </r>
  <r>
    <n v="64"/>
    <x v="1"/>
    <x v="5"/>
    <n v="2"/>
    <n v="1"/>
    <x v="0"/>
    <n v="274.00000000028501"/>
    <x v="1"/>
    <n v="128890.00000001299"/>
    <n v="1000"/>
    <n v="700"/>
    <x v="0"/>
    <n v="784790.41"/>
    <x v="1603"/>
    <x v="0"/>
  </r>
  <r>
    <n v="65"/>
    <x v="1"/>
    <x v="5"/>
    <n v="2"/>
    <n v="2"/>
    <x v="0"/>
    <n v="271.20000000024902"/>
    <x v="1"/>
    <n v="165955.999999994"/>
    <n v="1000"/>
    <n v="700"/>
    <x v="0"/>
    <n v="781148.01"/>
    <x v="1604"/>
    <x v="1"/>
  </r>
  <r>
    <n v="66"/>
    <x v="1"/>
    <x v="5"/>
    <n v="2"/>
    <n v="3"/>
    <x v="0"/>
    <n v="390.99999999976399"/>
    <x v="1"/>
    <n v="603557.99999999197"/>
    <n v="1000"/>
    <n v="700"/>
    <x v="0"/>
    <n v="785829.21"/>
    <x v="1605"/>
    <x v="1"/>
  </r>
  <r>
    <n v="67"/>
    <x v="1"/>
    <x v="4"/>
    <n v="2"/>
    <n v="1"/>
    <x v="0"/>
    <n v="210.20000000007099"/>
    <x v="1"/>
    <n v="119817.999999981"/>
    <n v="1000"/>
    <n v="700"/>
    <x v="0"/>
    <n v="796268.01"/>
    <x v="1606"/>
    <x v="0"/>
  </r>
  <r>
    <n v="68"/>
    <x v="1"/>
    <x v="4"/>
    <n v="2"/>
    <n v="2"/>
    <x v="0"/>
    <n v="210.00000000022101"/>
    <x v="1"/>
    <n v="73575.000000005297"/>
    <n v="1000"/>
    <n v="700"/>
    <x v="0"/>
    <n v="782268.41"/>
    <x v="1607"/>
    <x v="0"/>
  </r>
  <r>
    <n v="69"/>
    <x v="1"/>
    <x v="4"/>
    <n v="2"/>
    <n v="3"/>
    <x v="0"/>
    <n v="292.59999999986502"/>
    <x v="1"/>
    <n v="260648.000000003"/>
    <n v="1000"/>
    <n v="700"/>
    <x v="0"/>
    <n v="778428.81"/>
    <x v="1608"/>
    <x v="1"/>
  </r>
  <r>
    <n v="28"/>
    <x v="1"/>
    <x v="1"/>
    <n v="2"/>
    <n v="1"/>
    <x v="0"/>
    <n v="541.19999999961999"/>
    <x v="1"/>
    <n v="40185.000000008098"/>
    <n v="2000"/>
    <n v="200"/>
    <x v="0"/>
    <n v="564108.81000000006"/>
    <x v="1609"/>
    <x v="0"/>
  </r>
  <r>
    <n v="29"/>
    <x v="1"/>
    <x v="2"/>
    <n v="2"/>
    <n v="2"/>
    <x v="0"/>
    <n v="547.39999999959798"/>
    <x v="1"/>
    <n v="34695.999999996697"/>
    <n v="2000"/>
    <n v="200"/>
    <x v="0"/>
    <n v="535147.21"/>
    <x v="1610"/>
    <x v="0"/>
  </r>
  <r>
    <n v="30"/>
    <x v="1"/>
    <x v="2"/>
    <n v="2"/>
    <n v="3"/>
    <x v="0"/>
    <n v="598.60000000000502"/>
    <x v="1"/>
    <n v="78614.999999984997"/>
    <n v="2000"/>
    <n v="200"/>
    <x v="0"/>
    <n v="543228.01"/>
    <x v="1611"/>
    <x v="0"/>
  </r>
  <r>
    <n v="31"/>
    <x v="1"/>
    <x v="2"/>
    <n v="2"/>
    <n v="1"/>
    <x v="0"/>
    <n v="351.19999999970702"/>
    <x v="1"/>
    <n v="51963.999999998101"/>
    <n v="2000"/>
    <n v="200"/>
    <x v="0"/>
    <n v="538987.61"/>
    <x v="1612"/>
    <x v="0"/>
  </r>
  <r>
    <n v="32"/>
    <x v="1"/>
    <x v="2"/>
    <n v="2"/>
    <n v="2"/>
    <x v="0"/>
    <n v="356.00000000002302"/>
    <x v="1"/>
    <n v="20672.999999987998"/>
    <n v="2000"/>
    <n v="200"/>
    <x v="0"/>
    <n v="534347.21"/>
    <x v="1613"/>
    <x v="0"/>
  </r>
  <r>
    <n v="33"/>
    <x v="1"/>
    <x v="2"/>
    <n v="2"/>
    <n v="3"/>
    <x v="0"/>
    <n v="485.39999999981399"/>
    <x v="1"/>
    <n v="60222.000000010201"/>
    <n v="2000"/>
    <n v="200"/>
    <x v="0"/>
    <n v="541627.61"/>
    <x v="1614"/>
    <x v="0"/>
  </r>
  <r>
    <n v="34"/>
    <x v="1"/>
    <x v="2"/>
    <n v="2"/>
    <n v="1"/>
    <x v="0"/>
    <n v="307.60000000000798"/>
    <x v="1"/>
    <n v="19947.000000001899"/>
    <n v="2000"/>
    <n v="200"/>
    <x v="0"/>
    <n v="538587.61"/>
    <x v="1615"/>
    <x v="0"/>
  </r>
  <r>
    <n v="35"/>
    <x v="1"/>
    <x v="3"/>
    <n v="2"/>
    <n v="1"/>
    <x v="0"/>
    <n v="378.80000000036802"/>
    <x v="1"/>
    <n v="67833.000000007407"/>
    <n v="2000"/>
    <n v="200"/>
    <x v="0"/>
    <n v="597467.61"/>
    <x v="1616"/>
    <x v="0"/>
  </r>
  <r>
    <n v="36"/>
    <x v="1"/>
    <x v="3"/>
    <n v="2"/>
    <n v="2"/>
    <x v="0"/>
    <n v="225.399999999709"/>
    <x v="1"/>
    <n v="85232.000000019107"/>
    <n v="2000"/>
    <n v="200"/>
    <x v="0"/>
    <n v="567548.01"/>
    <x v="1617"/>
    <x v="1"/>
  </r>
  <r>
    <n v="37"/>
    <x v="1"/>
    <x v="3"/>
    <n v="2"/>
    <n v="3"/>
    <x v="0"/>
    <n v="317.40000000049002"/>
    <x v="1"/>
    <n v="429632.99999999598"/>
    <n v="2000"/>
    <n v="200"/>
    <x v="0"/>
    <n v="591387.61"/>
    <x v="1618"/>
    <x v="1"/>
  </r>
  <r>
    <n v="38"/>
    <x v="1"/>
    <x v="3"/>
    <n v="2"/>
    <n v="1"/>
    <x v="0"/>
    <n v="206.39999999971801"/>
    <x v="1"/>
    <n v="58606.999999995001"/>
    <n v="2000"/>
    <n v="200"/>
    <x v="0"/>
    <n v="597707.21"/>
    <x v="1619"/>
    <x v="0"/>
  </r>
  <r>
    <n v="39"/>
    <x v="1"/>
    <x v="4"/>
    <n v="2"/>
    <n v="1"/>
    <x v="0"/>
    <n v="257.600000000124"/>
    <x v="1"/>
    <n v="172606.00000000201"/>
    <n v="2000"/>
    <n v="200"/>
    <x v="0"/>
    <n v="606428.01"/>
    <x v="1620"/>
    <x v="0"/>
  </r>
  <r>
    <n v="40"/>
    <x v="1"/>
    <x v="4"/>
    <n v="2"/>
    <n v="2"/>
    <x v="0"/>
    <n v="242.59999999962599"/>
    <x v="1"/>
    <n v="100393.999999994"/>
    <n v="2000"/>
    <n v="200"/>
    <x v="0"/>
    <n v="572908.41"/>
    <x v="1621"/>
    <x v="0"/>
  </r>
  <r>
    <n v="41"/>
    <x v="1"/>
    <x v="4"/>
    <n v="2"/>
    <n v="3"/>
    <x v="0"/>
    <n v="354.20000000030399"/>
    <x v="1"/>
    <n v="409392.00000002497"/>
    <n v="2000"/>
    <n v="200"/>
    <x v="0"/>
    <n v="591549.21"/>
    <x v="1622"/>
    <x v="1"/>
  </r>
  <r>
    <n v="42"/>
    <x v="1"/>
    <x v="1"/>
    <n v="2"/>
    <n v="1"/>
    <x v="0"/>
    <n v="129.800000000202"/>
    <x v="1"/>
    <n v="11878.999999993301"/>
    <n v="2000"/>
    <n v="200"/>
    <x v="0"/>
    <n v="536907.61"/>
    <x v="1623"/>
    <x v="0"/>
  </r>
  <r>
    <n v="43"/>
    <x v="1"/>
    <x v="2"/>
    <n v="2"/>
    <n v="1"/>
    <x v="0"/>
    <n v="157.00000000009601"/>
    <x v="1"/>
    <n v="17081.999999987798"/>
    <n v="2000"/>
    <n v="200"/>
    <x v="0"/>
    <n v="541627.61"/>
    <x v="1624"/>
    <x v="0"/>
  </r>
  <r>
    <n v="44"/>
    <x v="1"/>
    <x v="2"/>
    <n v="2"/>
    <n v="2"/>
    <x v="0"/>
    <n v="156.599999999685"/>
    <x v="1"/>
    <n v="24732.0000000002"/>
    <n v="2000"/>
    <n v="200"/>
    <x v="0"/>
    <n v="540508.01"/>
    <x v="1625"/>
    <x v="0"/>
  </r>
  <r>
    <n v="45"/>
    <x v="1"/>
    <x v="2"/>
    <n v="2"/>
    <n v="3"/>
    <x v="0"/>
    <n v="211.00000000018301"/>
    <x v="1"/>
    <n v="56737.9999999957"/>
    <n v="2000"/>
    <n v="200"/>
    <x v="0"/>
    <n v="535628.01"/>
    <x v="1626"/>
    <x v="0"/>
  </r>
  <r>
    <n v="46"/>
    <x v="1"/>
    <x v="3"/>
    <n v="2"/>
    <n v="1"/>
    <x v="0"/>
    <n v="189.400000000006"/>
    <x v="1"/>
    <n v="68061.000000000204"/>
    <n v="2000"/>
    <n v="200"/>
    <x v="0"/>
    <n v="539789.21"/>
    <x v="1627"/>
    <x v="0"/>
  </r>
  <r>
    <n v="47"/>
    <x v="1"/>
    <x v="3"/>
    <n v="2"/>
    <n v="2"/>
    <x v="0"/>
    <n v="193.80000000026601"/>
    <x v="1"/>
    <n v="55103.000000002598"/>
    <n v="2000"/>
    <n v="200"/>
    <x v="0"/>
    <n v="541307.61"/>
    <x v="1628"/>
    <x v="0"/>
  </r>
  <r>
    <n v="48"/>
    <x v="1"/>
    <x v="3"/>
    <n v="2"/>
    <n v="3"/>
    <x v="0"/>
    <n v="249.79999999992199"/>
    <x v="1"/>
    <n v="121555.000000001"/>
    <n v="2000"/>
    <n v="200"/>
    <x v="0"/>
    <n v="599787.61"/>
    <x v="1629"/>
    <x v="1"/>
  </r>
  <r>
    <n v="49"/>
    <x v="1"/>
    <x v="3"/>
    <n v="2"/>
    <n v="1"/>
    <x v="0"/>
    <n v="183.19999999931699"/>
    <x v="1"/>
    <n v="41121.000000004002"/>
    <n v="2000"/>
    <n v="200"/>
    <x v="0"/>
    <n v="532908.81000000006"/>
    <x v="1630"/>
    <x v="0"/>
  </r>
  <r>
    <n v="50"/>
    <x v="1"/>
    <x v="3"/>
    <n v="2"/>
    <n v="2"/>
    <x v="0"/>
    <n v="190.800000000024"/>
    <x v="1"/>
    <n v="50727.999999992302"/>
    <n v="2000"/>
    <n v="200"/>
    <x v="0"/>
    <n v="564268.01"/>
    <x v="1631"/>
    <x v="0"/>
  </r>
  <r>
    <n v="51"/>
    <x v="1"/>
    <x v="3"/>
    <n v="2"/>
    <n v="3"/>
    <x v="0"/>
    <n v="252.19999999990301"/>
    <x v="1"/>
    <n v="139174.99999999499"/>
    <n v="2000"/>
    <n v="200"/>
    <x v="0"/>
    <n v="566908.01"/>
    <x v="1632"/>
    <x v="1"/>
  </r>
  <r>
    <n v="52"/>
    <x v="1"/>
    <x v="4"/>
    <n v="2"/>
    <n v="1"/>
    <x v="0"/>
    <n v="219.40000000029201"/>
    <x v="1"/>
    <n v="49910.000000011198"/>
    <n v="2000"/>
    <n v="200"/>
    <x v="0"/>
    <n v="535628.81000000006"/>
    <x v="1633"/>
    <x v="0"/>
  </r>
  <r>
    <n v="53"/>
    <x v="1"/>
    <x v="4"/>
    <n v="2"/>
    <n v="2"/>
    <x v="0"/>
    <n v="218.80000000038501"/>
    <x v="1"/>
    <n v="113836.99999999"/>
    <n v="2000"/>
    <n v="200"/>
    <x v="0"/>
    <n v="570267.61"/>
    <x v="1634"/>
    <x v="0"/>
  </r>
  <r>
    <n v="54"/>
    <x v="1"/>
    <x v="4"/>
    <n v="2"/>
    <n v="3"/>
    <x v="0"/>
    <n v="306.40000000019501"/>
    <x v="1"/>
    <n v="434876.00000000303"/>
    <n v="2000"/>
    <n v="200"/>
    <x v="0"/>
    <n v="607070.01"/>
    <x v="1635"/>
    <x v="0"/>
  </r>
  <r>
    <n v="55"/>
    <x v="1"/>
    <x v="2"/>
    <n v="2"/>
    <n v="1"/>
    <x v="0"/>
    <n v="140.60000000064599"/>
    <x v="1"/>
    <n v="27028.000000001401"/>
    <n v="2000"/>
    <n v="200"/>
    <x v="0"/>
    <n v="537708.01"/>
    <x v="1636"/>
    <x v="0"/>
  </r>
  <r>
    <n v="56"/>
    <x v="1"/>
    <x v="2"/>
    <n v="2"/>
    <n v="2"/>
    <x v="0"/>
    <n v="137.60000000004899"/>
    <x v="1"/>
    <n v="25397.999999995602"/>
    <n v="2000"/>
    <n v="200"/>
    <x v="0"/>
    <n v="540428.01"/>
    <x v="1637"/>
    <x v="0"/>
  </r>
  <r>
    <n v="57"/>
    <x v="1"/>
    <x v="2"/>
    <n v="2"/>
    <n v="3"/>
    <x v="0"/>
    <n v="183.39999999987799"/>
    <x v="1"/>
    <n v="44558.000000023399"/>
    <n v="2000"/>
    <n v="200"/>
    <x v="0"/>
    <n v="533708.81000000006"/>
    <x v="1638"/>
    <x v="0"/>
  </r>
  <r>
    <n v="58"/>
    <x v="1"/>
    <x v="3"/>
    <n v="2"/>
    <n v="1"/>
    <x v="0"/>
    <n v="215.599999999228"/>
    <x v="1"/>
    <n v="56205.000000005602"/>
    <n v="2000"/>
    <n v="200"/>
    <x v="0"/>
    <n v="542831.21"/>
    <x v="1639"/>
    <x v="0"/>
  </r>
  <r>
    <n v="59"/>
    <x v="1"/>
    <x v="3"/>
    <n v="2"/>
    <n v="2"/>
    <x v="0"/>
    <n v="212.39999999984599"/>
    <x v="1"/>
    <n v="45035.000000012798"/>
    <n v="2000"/>
    <n v="200"/>
    <x v="0"/>
    <n v="539548.01"/>
    <x v="1640"/>
    <x v="0"/>
  </r>
  <r>
    <n v="60"/>
    <x v="1"/>
    <x v="3"/>
    <n v="2"/>
    <n v="3"/>
    <x v="0"/>
    <n v="288.40000000016602"/>
    <x v="1"/>
    <n v="150798.00000000899"/>
    <n v="2000"/>
    <n v="200"/>
    <x v="0"/>
    <n v="543149.61"/>
    <x v="1641"/>
    <x v="0"/>
  </r>
  <r>
    <n v="61"/>
    <x v="1"/>
    <x v="4"/>
    <n v="2"/>
    <n v="1"/>
    <x v="0"/>
    <n v="230.60000000043601"/>
    <x v="1"/>
    <n v="105615.99999999801"/>
    <n v="2000"/>
    <n v="200"/>
    <x v="0"/>
    <n v="582429.21"/>
    <x v="1642"/>
    <x v="0"/>
  </r>
  <r>
    <n v="62"/>
    <x v="1"/>
    <x v="4"/>
    <n v="2"/>
    <n v="2"/>
    <x v="0"/>
    <n v="233.80000000017299"/>
    <x v="1"/>
    <n v="102223.999999978"/>
    <n v="2000"/>
    <n v="200"/>
    <x v="0"/>
    <n v="536187.61"/>
    <x v="1643"/>
    <x v="0"/>
  </r>
  <r>
    <n v="63"/>
    <x v="1"/>
    <x v="4"/>
    <n v="2"/>
    <n v="3"/>
    <x v="0"/>
    <n v="359.799999999666"/>
    <x v="1"/>
    <n v="241534.99999999901"/>
    <n v="2000"/>
    <n v="200"/>
    <x v="0"/>
    <n v="547628.41"/>
    <x v="1644"/>
    <x v="0"/>
  </r>
  <r>
    <n v="64"/>
    <x v="1"/>
    <x v="5"/>
    <n v="2"/>
    <n v="1"/>
    <x v="0"/>
    <n v="274.00000000028501"/>
    <x v="1"/>
    <n v="128890.00000001299"/>
    <n v="2000"/>
    <n v="200"/>
    <x v="0"/>
    <n v="550350.41"/>
    <x v="1645"/>
    <x v="0"/>
  </r>
  <r>
    <n v="65"/>
    <x v="1"/>
    <x v="5"/>
    <n v="2"/>
    <n v="2"/>
    <x v="0"/>
    <n v="271.20000000024902"/>
    <x v="1"/>
    <n v="165955.999999994"/>
    <n v="2000"/>
    <n v="200"/>
    <x v="0"/>
    <n v="543068.01"/>
    <x v="1646"/>
    <x v="1"/>
  </r>
  <r>
    <n v="66"/>
    <x v="1"/>
    <x v="5"/>
    <n v="2"/>
    <n v="3"/>
    <x v="0"/>
    <n v="390.99999999976399"/>
    <x v="1"/>
    <n v="603557.99999999197"/>
    <n v="2000"/>
    <n v="200"/>
    <x v="0"/>
    <n v="552429.21"/>
    <x v="1647"/>
    <x v="1"/>
  </r>
  <r>
    <n v="67"/>
    <x v="1"/>
    <x v="4"/>
    <n v="2"/>
    <n v="1"/>
    <x v="0"/>
    <n v="210.20000000007099"/>
    <x v="1"/>
    <n v="119817.999999981"/>
    <n v="2000"/>
    <n v="200"/>
    <x v="0"/>
    <n v="573308.01"/>
    <x v="1648"/>
    <x v="0"/>
  </r>
  <r>
    <n v="68"/>
    <x v="1"/>
    <x v="4"/>
    <n v="2"/>
    <n v="2"/>
    <x v="0"/>
    <n v="210.00000000022101"/>
    <x v="1"/>
    <n v="73575.000000005297"/>
    <n v="2000"/>
    <n v="200"/>
    <x v="0"/>
    <n v="545308.41"/>
    <x v="1649"/>
    <x v="0"/>
  </r>
  <r>
    <n v="69"/>
    <x v="1"/>
    <x v="4"/>
    <n v="2"/>
    <n v="3"/>
    <x v="0"/>
    <n v="292.59999999986502"/>
    <x v="1"/>
    <n v="260648.000000003"/>
    <n v="2000"/>
    <n v="200"/>
    <x v="0"/>
    <n v="537628.81000000006"/>
    <x v="1650"/>
    <x v="1"/>
  </r>
  <r>
    <n v="28"/>
    <x v="1"/>
    <x v="1"/>
    <n v="2"/>
    <n v="1"/>
    <x v="0"/>
    <n v="541.19999999961999"/>
    <x v="1"/>
    <n v="40185.000000008098"/>
    <n v="3000"/>
    <n v="100"/>
    <x v="0"/>
    <n v="536548.41"/>
    <x v="1651"/>
    <x v="0"/>
  </r>
  <r>
    <n v="29"/>
    <x v="1"/>
    <x v="2"/>
    <n v="2"/>
    <n v="2"/>
    <x v="0"/>
    <n v="547.39999999959798"/>
    <x v="1"/>
    <n v="34695.999999996697"/>
    <n v="3000"/>
    <n v="100"/>
    <x v="0"/>
    <n v="493106.81"/>
    <x v="1652"/>
    <x v="0"/>
  </r>
  <r>
    <n v="30"/>
    <x v="1"/>
    <x v="2"/>
    <n v="2"/>
    <n v="3"/>
    <x v="0"/>
    <n v="598.60000000000502"/>
    <x v="1"/>
    <n v="78614.999999984997"/>
    <n v="3000"/>
    <n v="100"/>
    <x v="0"/>
    <n v="505227.61"/>
    <x v="1653"/>
    <x v="0"/>
  </r>
  <r>
    <n v="31"/>
    <x v="1"/>
    <x v="2"/>
    <n v="2"/>
    <n v="1"/>
    <x v="0"/>
    <n v="351.19999999970702"/>
    <x v="1"/>
    <n v="51963.999999998101"/>
    <n v="3000"/>
    <n v="100"/>
    <x v="0"/>
    <n v="498867.21"/>
    <x v="1654"/>
    <x v="0"/>
  </r>
  <r>
    <n v="32"/>
    <x v="1"/>
    <x v="2"/>
    <n v="2"/>
    <n v="2"/>
    <x v="0"/>
    <n v="356.00000000002302"/>
    <x v="1"/>
    <n v="20672.999999987998"/>
    <n v="3000"/>
    <n v="100"/>
    <x v="0"/>
    <n v="491906.81"/>
    <x v="1655"/>
    <x v="0"/>
  </r>
  <r>
    <n v="33"/>
    <x v="1"/>
    <x v="2"/>
    <n v="2"/>
    <n v="3"/>
    <x v="0"/>
    <n v="485.39999999981399"/>
    <x v="1"/>
    <n v="60222.000000010201"/>
    <n v="3000"/>
    <n v="100"/>
    <x v="0"/>
    <n v="502827.21"/>
    <x v="1656"/>
    <x v="0"/>
  </r>
  <r>
    <n v="34"/>
    <x v="1"/>
    <x v="2"/>
    <n v="2"/>
    <n v="1"/>
    <x v="0"/>
    <n v="307.60000000000798"/>
    <x v="1"/>
    <n v="19947.000000001899"/>
    <n v="3000"/>
    <n v="100"/>
    <x v="0"/>
    <n v="498267.21"/>
    <x v="1657"/>
    <x v="0"/>
  </r>
  <r>
    <n v="35"/>
    <x v="1"/>
    <x v="3"/>
    <n v="2"/>
    <n v="1"/>
    <x v="0"/>
    <n v="378.80000000036802"/>
    <x v="1"/>
    <n v="67833.000000007407"/>
    <n v="3000"/>
    <n v="100"/>
    <x v="0"/>
    <n v="586587.21"/>
    <x v="1658"/>
    <x v="0"/>
  </r>
  <r>
    <n v="36"/>
    <x v="1"/>
    <x v="3"/>
    <n v="2"/>
    <n v="2"/>
    <x v="0"/>
    <n v="225.399999999709"/>
    <x v="1"/>
    <n v="85232.000000019107"/>
    <n v="3000"/>
    <n v="100"/>
    <x v="0"/>
    <n v="541707.61"/>
    <x v="1659"/>
    <x v="1"/>
  </r>
  <r>
    <n v="37"/>
    <x v="1"/>
    <x v="3"/>
    <n v="2"/>
    <n v="3"/>
    <x v="0"/>
    <n v="317.40000000049002"/>
    <x v="1"/>
    <n v="429632.99999999598"/>
    <n v="3000"/>
    <n v="100"/>
    <x v="0"/>
    <n v="577467.21"/>
    <x v="1660"/>
    <x v="1"/>
  </r>
  <r>
    <n v="38"/>
    <x v="1"/>
    <x v="3"/>
    <n v="2"/>
    <n v="1"/>
    <x v="0"/>
    <n v="206.39999999971801"/>
    <x v="1"/>
    <n v="58606.999999995001"/>
    <n v="3000"/>
    <n v="100"/>
    <x v="0"/>
    <n v="586946.81000000006"/>
    <x v="1661"/>
    <x v="0"/>
  </r>
  <r>
    <n v="39"/>
    <x v="1"/>
    <x v="4"/>
    <n v="2"/>
    <n v="1"/>
    <x v="0"/>
    <n v="257.600000000124"/>
    <x v="1"/>
    <n v="172606.00000000201"/>
    <n v="3000"/>
    <n v="100"/>
    <x v="0"/>
    <n v="600027.61"/>
    <x v="1662"/>
    <x v="0"/>
  </r>
  <r>
    <n v="40"/>
    <x v="1"/>
    <x v="4"/>
    <n v="2"/>
    <n v="2"/>
    <x v="0"/>
    <n v="242.59999999962599"/>
    <x v="1"/>
    <n v="100393.999999994"/>
    <n v="3000"/>
    <n v="100"/>
    <x v="0"/>
    <n v="549748.01"/>
    <x v="1663"/>
    <x v="0"/>
  </r>
  <r>
    <n v="41"/>
    <x v="1"/>
    <x v="4"/>
    <n v="2"/>
    <n v="3"/>
    <x v="0"/>
    <n v="354.20000000030399"/>
    <x v="1"/>
    <n v="409392.00000002497"/>
    <n v="3000"/>
    <n v="100"/>
    <x v="0"/>
    <n v="577708.81000000006"/>
    <x v="1664"/>
    <x v="1"/>
  </r>
  <r>
    <n v="42"/>
    <x v="1"/>
    <x v="1"/>
    <n v="2"/>
    <n v="1"/>
    <x v="0"/>
    <n v="129.800000000202"/>
    <x v="1"/>
    <n v="11878.999999993301"/>
    <n v="3000"/>
    <n v="100"/>
    <x v="0"/>
    <n v="495747.21"/>
    <x v="1665"/>
    <x v="0"/>
  </r>
  <r>
    <n v="43"/>
    <x v="1"/>
    <x v="2"/>
    <n v="2"/>
    <n v="1"/>
    <x v="0"/>
    <n v="157.00000000009601"/>
    <x v="1"/>
    <n v="17081.999999987798"/>
    <n v="3000"/>
    <n v="100"/>
    <x v="0"/>
    <n v="502827.21"/>
    <x v="1666"/>
    <x v="0"/>
  </r>
  <r>
    <n v="44"/>
    <x v="1"/>
    <x v="2"/>
    <n v="2"/>
    <n v="2"/>
    <x v="0"/>
    <n v="156.599999999685"/>
    <x v="1"/>
    <n v="24732.0000000002"/>
    <n v="3000"/>
    <n v="100"/>
    <x v="0"/>
    <n v="501147.61"/>
    <x v="1667"/>
    <x v="0"/>
  </r>
  <r>
    <n v="45"/>
    <x v="1"/>
    <x v="2"/>
    <n v="2"/>
    <n v="3"/>
    <x v="0"/>
    <n v="211.00000000018301"/>
    <x v="1"/>
    <n v="56737.9999999957"/>
    <n v="3000"/>
    <n v="100"/>
    <x v="0"/>
    <n v="493827.61"/>
    <x v="1668"/>
    <x v="0"/>
  </r>
  <r>
    <n v="46"/>
    <x v="1"/>
    <x v="3"/>
    <n v="2"/>
    <n v="1"/>
    <x v="0"/>
    <n v="189.400000000006"/>
    <x v="1"/>
    <n v="68061.000000000204"/>
    <n v="3000"/>
    <n v="100"/>
    <x v="0"/>
    <n v="500068.81"/>
    <x v="1669"/>
    <x v="0"/>
  </r>
  <r>
    <n v="47"/>
    <x v="1"/>
    <x v="3"/>
    <n v="2"/>
    <n v="2"/>
    <x v="0"/>
    <n v="193.80000000026601"/>
    <x v="1"/>
    <n v="55103.000000002598"/>
    <n v="3000"/>
    <n v="100"/>
    <x v="0"/>
    <n v="502347.21"/>
    <x v="1670"/>
    <x v="0"/>
  </r>
  <r>
    <n v="48"/>
    <x v="1"/>
    <x v="3"/>
    <n v="2"/>
    <n v="3"/>
    <x v="0"/>
    <n v="249.79999999992199"/>
    <x v="1"/>
    <n v="121555.000000001"/>
    <n v="3000"/>
    <n v="100"/>
    <x v="0"/>
    <n v="590067.21"/>
    <x v="1671"/>
    <x v="1"/>
  </r>
  <r>
    <n v="49"/>
    <x v="1"/>
    <x v="3"/>
    <n v="2"/>
    <n v="1"/>
    <x v="0"/>
    <n v="183.19999999931699"/>
    <x v="1"/>
    <n v="41121.000000004002"/>
    <n v="3000"/>
    <n v="100"/>
    <x v="0"/>
    <n v="489748.41"/>
    <x v="1672"/>
    <x v="0"/>
  </r>
  <r>
    <n v="50"/>
    <x v="1"/>
    <x v="3"/>
    <n v="2"/>
    <n v="2"/>
    <x v="0"/>
    <n v="190.800000000024"/>
    <x v="1"/>
    <n v="50727.999999992302"/>
    <n v="3000"/>
    <n v="100"/>
    <x v="0"/>
    <n v="536787.61"/>
    <x v="1673"/>
    <x v="0"/>
  </r>
  <r>
    <n v="51"/>
    <x v="1"/>
    <x v="3"/>
    <n v="2"/>
    <n v="3"/>
    <x v="0"/>
    <n v="252.19999999990301"/>
    <x v="1"/>
    <n v="139174.99999999499"/>
    <n v="3000"/>
    <n v="100"/>
    <x v="0"/>
    <n v="540747.61"/>
    <x v="1674"/>
    <x v="1"/>
  </r>
  <r>
    <n v="52"/>
    <x v="1"/>
    <x v="4"/>
    <n v="2"/>
    <n v="1"/>
    <x v="0"/>
    <n v="219.40000000029201"/>
    <x v="1"/>
    <n v="49910.000000011198"/>
    <n v="3000"/>
    <n v="100"/>
    <x v="0"/>
    <n v="493828.81"/>
    <x v="1675"/>
    <x v="0"/>
  </r>
  <r>
    <n v="53"/>
    <x v="1"/>
    <x v="4"/>
    <n v="2"/>
    <n v="2"/>
    <x v="0"/>
    <n v="218.80000000038501"/>
    <x v="1"/>
    <n v="113836.99999999"/>
    <n v="3000"/>
    <n v="100"/>
    <x v="0"/>
    <n v="545787.21"/>
    <x v="1676"/>
    <x v="1"/>
  </r>
  <r>
    <n v="54"/>
    <x v="1"/>
    <x v="4"/>
    <n v="2"/>
    <n v="3"/>
    <x v="0"/>
    <n v="306.40000000019501"/>
    <x v="1"/>
    <n v="434876.00000000303"/>
    <n v="3000"/>
    <n v="100"/>
    <x v="0"/>
    <n v="600989.61"/>
    <x v="1677"/>
    <x v="0"/>
  </r>
  <r>
    <n v="55"/>
    <x v="1"/>
    <x v="2"/>
    <n v="2"/>
    <n v="1"/>
    <x v="0"/>
    <n v="140.60000000064599"/>
    <x v="1"/>
    <n v="27028.000000001401"/>
    <n v="3000"/>
    <n v="100"/>
    <x v="0"/>
    <n v="496947.61"/>
    <x v="1678"/>
    <x v="0"/>
  </r>
  <r>
    <n v="56"/>
    <x v="1"/>
    <x v="2"/>
    <n v="2"/>
    <n v="2"/>
    <x v="0"/>
    <n v="137.60000000004899"/>
    <x v="1"/>
    <n v="25397.999999995602"/>
    <n v="3000"/>
    <n v="100"/>
    <x v="0"/>
    <n v="501027.61"/>
    <x v="1679"/>
    <x v="0"/>
  </r>
  <r>
    <n v="57"/>
    <x v="1"/>
    <x v="2"/>
    <n v="2"/>
    <n v="3"/>
    <x v="0"/>
    <n v="183.39999999987799"/>
    <x v="1"/>
    <n v="44558.000000023399"/>
    <n v="3000"/>
    <n v="100"/>
    <x v="0"/>
    <n v="490948.41"/>
    <x v="1680"/>
    <x v="0"/>
  </r>
  <r>
    <n v="58"/>
    <x v="1"/>
    <x v="3"/>
    <n v="2"/>
    <n v="1"/>
    <x v="0"/>
    <n v="215.599999999228"/>
    <x v="1"/>
    <n v="56205.000000005602"/>
    <n v="3000"/>
    <n v="100"/>
    <x v="0"/>
    <n v="504630.81"/>
    <x v="1681"/>
    <x v="0"/>
  </r>
  <r>
    <n v="59"/>
    <x v="1"/>
    <x v="3"/>
    <n v="2"/>
    <n v="2"/>
    <x v="0"/>
    <n v="212.39999999984599"/>
    <x v="1"/>
    <n v="45035.000000012798"/>
    <n v="3000"/>
    <n v="100"/>
    <x v="0"/>
    <n v="499707.61"/>
    <x v="1682"/>
    <x v="0"/>
  </r>
  <r>
    <n v="60"/>
    <x v="1"/>
    <x v="3"/>
    <n v="2"/>
    <n v="3"/>
    <x v="0"/>
    <n v="288.40000000016602"/>
    <x v="1"/>
    <n v="150798.00000000899"/>
    <n v="3000"/>
    <n v="100"/>
    <x v="0"/>
    <n v="505109.21"/>
    <x v="1683"/>
    <x v="0"/>
  </r>
  <r>
    <n v="61"/>
    <x v="1"/>
    <x v="4"/>
    <n v="2"/>
    <n v="1"/>
    <x v="0"/>
    <n v="230.60000000043601"/>
    <x v="1"/>
    <n v="105615.99999999801"/>
    <n v="3000"/>
    <n v="100"/>
    <x v="0"/>
    <n v="564028.81000000006"/>
    <x v="1684"/>
    <x v="0"/>
  </r>
  <r>
    <n v="62"/>
    <x v="1"/>
    <x v="4"/>
    <n v="2"/>
    <n v="2"/>
    <x v="0"/>
    <n v="233.80000000017299"/>
    <x v="1"/>
    <n v="102223.999999978"/>
    <n v="3000"/>
    <n v="100"/>
    <x v="0"/>
    <n v="494667.21"/>
    <x v="1685"/>
    <x v="0"/>
  </r>
  <r>
    <n v="63"/>
    <x v="1"/>
    <x v="4"/>
    <n v="2"/>
    <n v="3"/>
    <x v="0"/>
    <n v="359.799999999666"/>
    <x v="1"/>
    <n v="241534.99999999901"/>
    <n v="3000"/>
    <n v="100"/>
    <x v="0"/>
    <n v="511828.01"/>
    <x v="1686"/>
    <x v="1"/>
  </r>
  <r>
    <n v="64"/>
    <x v="1"/>
    <x v="5"/>
    <n v="2"/>
    <n v="1"/>
    <x v="0"/>
    <n v="274.00000000028501"/>
    <x v="1"/>
    <n v="128890.00000001299"/>
    <n v="3000"/>
    <n v="100"/>
    <x v="0"/>
    <n v="515910.01"/>
    <x v="1687"/>
    <x v="0"/>
  </r>
  <r>
    <n v="65"/>
    <x v="1"/>
    <x v="5"/>
    <n v="2"/>
    <n v="2"/>
    <x v="0"/>
    <n v="271.20000000024902"/>
    <x v="1"/>
    <n v="165955.999999994"/>
    <n v="3000"/>
    <n v="100"/>
    <x v="0"/>
    <n v="504987.61"/>
    <x v="1688"/>
    <x v="1"/>
  </r>
  <r>
    <n v="66"/>
    <x v="1"/>
    <x v="5"/>
    <n v="2"/>
    <n v="3"/>
    <x v="0"/>
    <n v="390.99999999976399"/>
    <x v="1"/>
    <n v="603557.99999999197"/>
    <n v="3000"/>
    <n v="100"/>
    <x v="0"/>
    <n v="519028.81"/>
    <x v="1689"/>
    <x v="1"/>
  </r>
  <r>
    <n v="67"/>
    <x v="1"/>
    <x v="4"/>
    <n v="2"/>
    <n v="1"/>
    <x v="0"/>
    <n v="210.20000000007099"/>
    <x v="1"/>
    <n v="119817.999999981"/>
    <n v="3000"/>
    <n v="100"/>
    <x v="0"/>
    <n v="550347.61"/>
    <x v="1690"/>
    <x v="0"/>
  </r>
  <r>
    <n v="68"/>
    <x v="1"/>
    <x v="4"/>
    <n v="2"/>
    <n v="2"/>
    <x v="0"/>
    <n v="210.00000000022101"/>
    <x v="1"/>
    <n v="73575.000000005297"/>
    <n v="3000"/>
    <n v="100"/>
    <x v="0"/>
    <n v="508348.01"/>
    <x v="1691"/>
    <x v="0"/>
  </r>
  <r>
    <n v="69"/>
    <x v="1"/>
    <x v="4"/>
    <n v="2"/>
    <n v="3"/>
    <x v="0"/>
    <n v="292.59999999986502"/>
    <x v="1"/>
    <n v="260648.000000003"/>
    <n v="3000"/>
    <n v="100"/>
    <x v="0"/>
    <n v="496828.41"/>
    <x v="1692"/>
    <x v="1"/>
  </r>
  <r>
    <n v="28"/>
    <x v="1"/>
    <x v="1"/>
    <n v="2"/>
    <n v="1"/>
    <x v="0"/>
    <n v="541.19999999961999"/>
    <x v="1"/>
    <n v="40185.000000008098"/>
    <n v="3000"/>
    <n v="200"/>
    <x v="0"/>
    <n v="836548.41"/>
    <x v="1693"/>
    <x v="0"/>
  </r>
  <r>
    <n v="29"/>
    <x v="1"/>
    <x v="2"/>
    <n v="2"/>
    <n v="2"/>
    <x v="0"/>
    <n v="547.39999999959798"/>
    <x v="1"/>
    <n v="34695.999999996697"/>
    <n v="3000"/>
    <n v="200"/>
    <x v="0"/>
    <n v="793106.81"/>
    <x v="1694"/>
    <x v="0"/>
  </r>
  <r>
    <n v="30"/>
    <x v="1"/>
    <x v="2"/>
    <n v="2"/>
    <n v="3"/>
    <x v="0"/>
    <n v="598.60000000000502"/>
    <x v="1"/>
    <n v="78614.999999984997"/>
    <n v="3000"/>
    <n v="200"/>
    <x v="0"/>
    <n v="805227.61"/>
    <x v="1695"/>
    <x v="0"/>
  </r>
  <r>
    <n v="31"/>
    <x v="1"/>
    <x v="2"/>
    <n v="2"/>
    <n v="1"/>
    <x v="0"/>
    <n v="351.19999999970702"/>
    <x v="1"/>
    <n v="51963.999999998101"/>
    <n v="3000"/>
    <n v="200"/>
    <x v="0"/>
    <n v="798867.21"/>
    <x v="1696"/>
    <x v="0"/>
  </r>
  <r>
    <n v="32"/>
    <x v="1"/>
    <x v="2"/>
    <n v="2"/>
    <n v="2"/>
    <x v="0"/>
    <n v="356.00000000002302"/>
    <x v="1"/>
    <n v="20672.999999987998"/>
    <n v="3000"/>
    <n v="200"/>
    <x v="0"/>
    <n v="791906.81"/>
    <x v="1697"/>
    <x v="0"/>
  </r>
  <r>
    <n v="33"/>
    <x v="1"/>
    <x v="2"/>
    <n v="2"/>
    <n v="3"/>
    <x v="0"/>
    <n v="485.39999999981399"/>
    <x v="1"/>
    <n v="60222.000000010201"/>
    <n v="3000"/>
    <n v="200"/>
    <x v="0"/>
    <n v="802827.21"/>
    <x v="1698"/>
    <x v="0"/>
  </r>
  <r>
    <n v="34"/>
    <x v="1"/>
    <x v="2"/>
    <n v="2"/>
    <n v="1"/>
    <x v="0"/>
    <n v="307.60000000000798"/>
    <x v="1"/>
    <n v="19947.000000001899"/>
    <n v="3000"/>
    <n v="200"/>
    <x v="0"/>
    <n v="798267.21"/>
    <x v="1699"/>
    <x v="0"/>
  </r>
  <r>
    <n v="35"/>
    <x v="1"/>
    <x v="3"/>
    <n v="2"/>
    <n v="1"/>
    <x v="0"/>
    <n v="378.80000000036802"/>
    <x v="1"/>
    <n v="67833.000000007407"/>
    <n v="3000"/>
    <n v="200"/>
    <x v="0"/>
    <n v="886587.21"/>
    <x v="1700"/>
    <x v="0"/>
  </r>
  <r>
    <n v="36"/>
    <x v="1"/>
    <x v="3"/>
    <n v="2"/>
    <n v="2"/>
    <x v="0"/>
    <n v="225.399999999709"/>
    <x v="1"/>
    <n v="85232.000000019107"/>
    <n v="3000"/>
    <n v="200"/>
    <x v="0"/>
    <n v="841707.61"/>
    <x v="1701"/>
    <x v="1"/>
  </r>
  <r>
    <n v="37"/>
    <x v="1"/>
    <x v="3"/>
    <n v="2"/>
    <n v="3"/>
    <x v="0"/>
    <n v="317.40000000049002"/>
    <x v="1"/>
    <n v="429632.99999999598"/>
    <n v="3000"/>
    <n v="200"/>
    <x v="0"/>
    <n v="877467.21"/>
    <x v="1702"/>
    <x v="1"/>
  </r>
  <r>
    <n v="38"/>
    <x v="1"/>
    <x v="3"/>
    <n v="2"/>
    <n v="1"/>
    <x v="0"/>
    <n v="206.39999999971801"/>
    <x v="1"/>
    <n v="58606.999999995001"/>
    <n v="3000"/>
    <n v="200"/>
    <x v="0"/>
    <n v="886946.81"/>
    <x v="1703"/>
    <x v="0"/>
  </r>
  <r>
    <n v="39"/>
    <x v="1"/>
    <x v="4"/>
    <n v="2"/>
    <n v="1"/>
    <x v="0"/>
    <n v="257.600000000124"/>
    <x v="1"/>
    <n v="172606.00000000201"/>
    <n v="3000"/>
    <n v="200"/>
    <x v="0"/>
    <n v="900027.61"/>
    <x v="1704"/>
    <x v="0"/>
  </r>
  <r>
    <n v="40"/>
    <x v="1"/>
    <x v="4"/>
    <n v="2"/>
    <n v="2"/>
    <x v="0"/>
    <n v="242.59999999962599"/>
    <x v="1"/>
    <n v="100393.999999994"/>
    <n v="3000"/>
    <n v="200"/>
    <x v="0"/>
    <n v="849748.01"/>
    <x v="1705"/>
    <x v="1"/>
  </r>
  <r>
    <n v="41"/>
    <x v="1"/>
    <x v="4"/>
    <n v="2"/>
    <n v="3"/>
    <x v="0"/>
    <n v="354.20000000030399"/>
    <x v="1"/>
    <n v="409392.00000002497"/>
    <n v="3000"/>
    <n v="200"/>
    <x v="0"/>
    <n v="877708.81"/>
    <x v="1706"/>
    <x v="1"/>
  </r>
  <r>
    <n v="42"/>
    <x v="1"/>
    <x v="1"/>
    <n v="2"/>
    <n v="1"/>
    <x v="0"/>
    <n v="129.800000000202"/>
    <x v="1"/>
    <n v="11878.999999993301"/>
    <n v="3000"/>
    <n v="200"/>
    <x v="0"/>
    <n v="795747.21"/>
    <x v="1707"/>
    <x v="0"/>
  </r>
  <r>
    <n v="43"/>
    <x v="1"/>
    <x v="2"/>
    <n v="2"/>
    <n v="1"/>
    <x v="0"/>
    <n v="157.00000000009601"/>
    <x v="1"/>
    <n v="17081.999999987798"/>
    <n v="3000"/>
    <n v="200"/>
    <x v="0"/>
    <n v="802827.21"/>
    <x v="1708"/>
    <x v="0"/>
  </r>
  <r>
    <n v="44"/>
    <x v="1"/>
    <x v="2"/>
    <n v="2"/>
    <n v="2"/>
    <x v="0"/>
    <n v="156.599999999685"/>
    <x v="1"/>
    <n v="24732.0000000002"/>
    <n v="3000"/>
    <n v="200"/>
    <x v="0"/>
    <n v="801147.61"/>
    <x v="1709"/>
    <x v="0"/>
  </r>
  <r>
    <n v="45"/>
    <x v="1"/>
    <x v="2"/>
    <n v="2"/>
    <n v="3"/>
    <x v="0"/>
    <n v="211.00000000018301"/>
    <x v="1"/>
    <n v="56737.9999999957"/>
    <n v="3000"/>
    <n v="200"/>
    <x v="0"/>
    <n v="793827.61"/>
    <x v="1710"/>
    <x v="0"/>
  </r>
  <r>
    <n v="46"/>
    <x v="1"/>
    <x v="3"/>
    <n v="2"/>
    <n v="1"/>
    <x v="0"/>
    <n v="189.400000000006"/>
    <x v="1"/>
    <n v="68061.000000000204"/>
    <n v="3000"/>
    <n v="200"/>
    <x v="0"/>
    <n v="800068.81"/>
    <x v="1711"/>
    <x v="0"/>
  </r>
  <r>
    <n v="47"/>
    <x v="1"/>
    <x v="3"/>
    <n v="2"/>
    <n v="2"/>
    <x v="0"/>
    <n v="193.80000000026601"/>
    <x v="1"/>
    <n v="55103.000000002598"/>
    <n v="3000"/>
    <n v="200"/>
    <x v="0"/>
    <n v="802347.21"/>
    <x v="1712"/>
    <x v="0"/>
  </r>
  <r>
    <n v="48"/>
    <x v="1"/>
    <x v="3"/>
    <n v="2"/>
    <n v="3"/>
    <x v="0"/>
    <n v="249.79999999992199"/>
    <x v="1"/>
    <n v="121555.000000001"/>
    <n v="3000"/>
    <n v="200"/>
    <x v="0"/>
    <n v="890067.21"/>
    <x v="1713"/>
    <x v="1"/>
  </r>
  <r>
    <n v="49"/>
    <x v="1"/>
    <x v="3"/>
    <n v="2"/>
    <n v="1"/>
    <x v="0"/>
    <n v="183.19999999931699"/>
    <x v="1"/>
    <n v="41121.000000004002"/>
    <n v="3000"/>
    <n v="200"/>
    <x v="0"/>
    <n v="789748.01"/>
    <x v="1714"/>
    <x v="0"/>
  </r>
  <r>
    <n v="50"/>
    <x v="1"/>
    <x v="3"/>
    <n v="2"/>
    <n v="2"/>
    <x v="0"/>
    <n v="190.800000000024"/>
    <x v="1"/>
    <n v="50727.999999992302"/>
    <n v="3000"/>
    <n v="200"/>
    <x v="0"/>
    <n v="836787.61"/>
    <x v="1715"/>
    <x v="0"/>
  </r>
  <r>
    <n v="51"/>
    <x v="1"/>
    <x v="3"/>
    <n v="2"/>
    <n v="3"/>
    <x v="0"/>
    <n v="252.19999999990301"/>
    <x v="1"/>
    <n v="139174.99999999499"/>
    <n v="3000"/>
    <n v="200"/>
    <x v="0"/>
    <n v="840747.61"/>
    <x v="1716"/>
    <x v="1"/>
  </r>
  <r>
    <n v="52"/>
    <x v="1"/>
    <x v="4"/>
    <n v="2"/>
    <n v="1"/>
    <x v="0"/>
    <n v="219.40000000029201"/>
    <x v="1"/>
    <n v="49910.000000011198"/>
    <n v="3000"/>
    <n v="200"/>
    <x v="0"/>
    <n v="793828.81"/>
    <x v="1717"/>
    <x v="0"/>
  </r>
  <r>
    <n v="53"/>
    <x v="1"/>
    <x v="4"/>
    <n v="2"/>
    <n v="2"/>
    <x v="0"/>
    <n v="218.80000000038501"/>
    <x v="1"/>
    <n v="113836.99999999"/>
    <n v="3000"/>
    <n v="200"/>
    <x v="0"/>
    <n v="845787.21"/>
    <x v="1718"/>
    <x v="1"/>
  </r>
  <r>
    <n v="54"/>
    <x v="1"/>
    <x v="4"/>
    <n v="2"/>
    <n v="3"/>
    <x v="0"/>
    <n v="306.40000000019501"/>
    <x v="1"/>
    <n v="434876.00000000303"/>
    <n v="3000"/>
    <n v="200"/>
    <x v="0"/>
    <n v="900989.61"/>
    <x v="1719"/>
    <x v="1"/>
  </r>
  <r>
    <n v="55"/>
    <x v="1"/>
    <x v="2"/>
    <n v="2"/>
    <n v="1"/>
    <x v="0"/>
    <n v="140.60000000064599"/>
    <x v="1"/>
    <n v="27028.000000001401"/>
    <n v="3000"/>
    <n v="200"/>
    <x v="0"/>
    <n v="796947.61"/>
    <x v="1720"/>
    <x v="0"/>
  </r>
  <r>
    <n v="56"/>
    <x v="1"/>
    <x v="2"/>
    <n v="2"/>
    <n v="2"/>
    <x v="0"/>
    <n v="137.60000000004899"/>
    <x v="1"/>
    <n v="25397.999999995602"/>
    <n v="3000"/>
    <n v="200"/>
    <x v="0"/>
    <n v="801027.61"/>
    <x v="1721"/>
    <x v="0"/>
  </r>
  <r>
    <n v="57"/>
    <x v="1"/>
    <x v="2"/>
    <n v="2"/>
    <n v="3"/>
    <x v="0"/>
    <n v="183.39999999987799"/>
    <x v="1"/>
    <n v="44558.000000023399"/>
    <n v="3000"/>
    <n v="200"/>
    <x v="0"/>
    <n v="790948.41"/>
    <x v="1722"/>
    <x v="0"/>
  </r>
  <r>
    <n v="58"/>
    <x v="1"/>
    <x v="3"/>
    <n v="2"/>
    <n v="1"/>
    <x v="0"/>
    <n v="215.599999999228"/>
    <x v="1"/>
    <n v="56205.000000005602"/>
    <n v="3000"/>
    <n v="200"/>
    <x v="0"/>
    <n v="804630.81"/>
    <x v="1723"/>
    <x v="0"/>
  </r>
  <r>
    <n v="59"/>
    <x v="1"/>
    <x v="3"/>
    <n v="2"/>
    <n v="2"/>
    <x v="0"/>
    <n v="212.39999999984599"/>
    <x v="1"/>
    <n v="45035.000000012798"/>
    <n v="3000"/>
    <n v="200"/>
    <x v="0"/>
    <n v="799707.61"/>
    <x v="1724"/>
    <x v="0"/>
  </r>
  <r>
    <n v="60"/>
    <x v="1"/>
    <x v="3"/>
    <n v="2"/>
    <n v="3"/>
    <x v="0"/>
    <n v="288.40000000016602"/>
    <x v="1"/>
    <n v="150798.00000000899"/>
    <n v="3000"/>
    <n v="200"/>
    <x v="0"/>
    <n v="805109.21"/>
    <x v="1725"/>
    <x v="0"/>
  </r>
  <r>
    <n v="61"/>
    <x v="1"/>
    <x v="4"/>
    <n v="2"/>
    <n v="1"/>
    <x v="0"/>
    <n v="230.60000000043601"/>
    <x v="1"/>
    <n v="105615.99999999801"/>
    <n v="3000"/>
    <n v="200"/>
    <x v="0"/>
    <n v="864028.81"/>
    <x v="1726"/>
    <x v="0"/>
  </r>
  <r>
    <n v="62"/>
    <x v="1"/>
    <x v="4"/>
    <n v="2"/>
    <n v="2"/>
    <x v="0"/>
    <n v="233.80000000017299"/>
    <x v="1"/>
    <n v="102223.999999978"/>
    <n v="3000"/>
    <n v="200"/>
    <x v="0"/>
    <n v="794667.21"/>
    <x v="1727"/>
    <x v="0"/>
  </r>
  <r>
    <n v="63"/>
    <x v="1"/>
    <x v="4"/>
    <n v="2"/>
    <n v="3"/>
    <x v="0"/>
    <n v="359.799999999666"/>
    <x v="1"/>
    <n v="241534.99999999901"/>
    <n v="3000"/>
    <n v="200"/>
    <x v="0"/>
    <n v="811828.01"/>
    <x v="1728"/>
    <x v="1"/>
  </r>
  <r>
    <n v="64"/>
    <x v="1"/>
    <x v="5"/>
    <n v="2"/>
    <n v="1"/>
    <x v="0"/>
    <n v="274.00000000028501"/>
    <x v="1"/>
    <n v="128890.00000001299"/>
    <n v="3000"/>
    <n v="200"/>
    <x v="0"/>
    <n v="815910.01"/>
    <x v="1729"/>
    <x v="0"/>
  </r>
  <r>
    <n v="65"/>
    <x v="1"/>
    <x v="5"/>
    <n v="2"/>
    <n v="2"/>
    <x v="0"/>
    <n v="271.20000000024902"/>
    <x v="1"/>
    <n v="165955.999999994"/>
    <n v="3000"/>
    <n v="200"/>
    <x v="0"/>
    <n v="804987.61"/>
    <x v="1730"/>
    <x v="1"/>
  </r>
  <r>
    <n v="66"/>
    <x v="1"/>
    <x v="5"/>
    <n v="2"/>
    <n v="3"/>
    <x v="0"/>
    <n v="390.99999999976399"/>
    <x v="1"/>
    <n v="603557.99999999197"/>
    <n v="3000"/>
    <n v="200"/>
    <x v="0"/>
    <n v="819028.81"/>
    <x v="1731"/>
    <x v="1"/>
  </r>
  <r>
    <n v="67"/>
    <x v="1"/>
    <x v="4"/>
    <n v="2"/>
    <n v="1"/>
    <x v="0"/>
    <n v="210.20000000007099"/>
    <x v="1"/>
    <n v="119817.999999981"/>
    <n v="3000"/>
    <n v="200"/>
    <x v="0"/>
    <n v="850347.61"/>
    <x v="1732"/>
    <x v="0"/>
  </r>
  <r>
    <n v="68"/>
    <x v="1"/>
    <x v="4"/>
    <n v="2"/>
    <n v="2"/>
    <x v="0"/>
    <n v="210.00000000022101"/>
    <x v="1"/>
    <n v="73575.000000005297"/>
    <n v="3000"/>
    <n v="200"/>
    <x v="0"/>
    <n v="808348.01"/>
    <x v="1733"/>
    <x v="0"/>
  </r>
  <r>
    <n v="69"/>
    <x v="1"/>
    <x v="4"/>
    <n v="2"/>
    <n v="3"/>
    <x v="0"/>
    <n v="292.59999999986502"/>
    <x v="1"/>
    <n v="260648.000000003"/>
    <n v="3000"/>
    <n v="200"/>
    <x v="0"/>
    <n v="796828.41"/>
    <x v="1734"/>
    <x v="1"/>
  </r>
  <r>
    <n v="28"/>
    <x v="1"/>
    <x v="1"/>
    <n v="2"/>
    <n v="1"/>
    <x v="0"/>
    <n v="541.19999999961999"/>
    <x v="1"/>
    <n v="40185.000000008098"/>
    <n v="2000"/>
    <n v="100"/>
    <x v="0"/>
    <n v="364108.81"/>
    <x v="1735"/>
    <x v="0"/>
  </r>
  <r>
    <n v="29"/>
    <x v="1"/>
    <x v="2"/>
    <n v="2"/>
    <n v="2"/>
    <x v="0"/>
    <n v="547.39999999959798"/>
    <x v="1"/>
    <n v="34695.999999996697"/>
    <n v="2000"/>
    <n v="100"/>
    <x v="0"/>
    <n v="335147.21000000002"/>
    <x v="1736"/>
    <x v="0"/>
  </r>
  <r>
    <n v="30"/>
    <x v="1"/>
    <x v="2"/>
    <n v="2"/>
    <n v="3"/>
    <x v="0"/>
    <n v="598.60000000000502"/>
    <x v="1"/>
    <n v="78614.999999984997"/>
    <n v="2000"/>
    <n v="100"/>
    <x v="0"/>
    <n v="343228.01"/>
    <x v="1737"/>
    <x v="0"/>
  </r>
  <r>
    <n v="31"/>
    <x v="1"/>
    <x v="2"/>
    <n v="2"/>
    <n v="1"/>
    <x v="0"/>
    <n v="351.19999999970702"/>
    <x v="1"/>
    <n v="51963.999999998101"/>
    <n v="2000"/>
    <n v="100"/>
    <x v="0"/>
    <n v="338987.61"/>
    <x v="1738"/>
    <x v="0"/>
  </r>
  <r>
    <n v="32"/>
    <x v="1"/>
    <x v="2"/>
    <n v="2"/>
    <n v="2"/>
    <x v="0"/>
    <n v="356.00000000002302"/>
    <x v="1"/>
    <n v="20672.999999987998"/>
    <n v="2000"/>
    <n v="100"/>
    <x v="0"/>
    <n v="334347.21000000002"/>
    <x v="1739"/>
    <x v="0"/>
  </r>
  <r>
    <n v="33"/>
    <x v="1"/>
    <x v="2"/>
    <n v="2"/>
    <n v="3"/>
    <x v="0"/>
    <n v="485.39999999981399"/>
    <x v="1"/>
    <n v="60222.000000010201"/>
    <n v="2000"/>
    <n v="100"/>
    <x v="0"/>
    <n v="341627.61"/>
    <x v="1740"/>
    <x v="0"/>
  </r>
  <r>
    <n v="34"/>
    <x v="1"/>
    <x v="2"/>
    <n v="2"/>
    <n v="1"/>
    <x v="0"/>
    <n v="307.60000000000798"/>
    <x v="1"/>
    <n v="19947.000000001899"/>
    <n v="2000"/>
    <n v="100"/>
    <x v="0"/>
    <n v="338587.61"/>
    <x v="1741"/>
    <x v="0"/>
  </r>
  <r>
    <n v="35"/>
    <x v="1"/>
    <x v="3"/>
    <n v="2"/>
    <n v="1"/>
    <x v="0"/>
    <n v="378.80000000036802"/>
    <x v="1"/>
    <n v="67833.000000007407"/>
    <n v="2000"/>
    <n v="100"/>
    <x v="0"/>
    <n v="397467.61"/>
    <x v="1742"/>
    <x v="0"/>
  </r>
  <r>
    <n v="36"/>
    <x v="1"/>
    <x v="3"/>
    <n v="2"/>
    <n v="2"/>
    <x v="0"/>
    <n v="225.399999999709"/>
    <x v="1"/>
    <n v="85232.000000019107"/>
    <n v="2000"/>
    <n v="100"/>
    <x v="0"/>
    <n v="367548.01"/>
    <x v="1743"/>
    <x v="1"/>
  </r>
  <r>
    <n v="37"/>
    <x v="1"/>
    <x v="3"/>
    <n v="2"/>
    <n v="3"/>
    <x v="0"/>
    <n v="317.40000000049002"/>
    <x v="1"/>
    <n v="429632.99999999598"/>
    <n v="2000"/>
    <n v="100"/>
    <x v="0"/>
    <n v="391387.61"/>
    <x v="1744"/>
    <x v="1"/>
  </r>
  <r>
    <n v="38"/>
    <x v="1"/>
    <x v="3"/>
    <n v="2"/>
    <n v="1"/>
    <x v="0"/>
    <n v="206.39999999971801"/>
    <x v="1"/>
    <n v="58606.999999995001"/>
    <n v="2000"/>
    <n v="100"/>
    <x v="0"/>
    <n v="397707.21"/>
    <x v="1745"/>
    <x v="0"/>
  </r>
  <r>
    <n v="39"/>
    <x v="1"/>
    <x v="4"/>
    <n v="2"/>
    <n v="1"/>
    <x v="0"/>
    <n v="257.600000000124"/>
    <x v="1"/>
    <n v="172606.00000000201"/>
    <n v="2000"/>
    <n v="100"/>
    <x v="0"/>
    <n v="406428.01"/>
    <x v="1746"/>
    <x v="0"/>
  </r>
  <r>
    <n v="40"/>
    <x v="1"/>
    <x v="4"/>
    <n v="2"/>
    <n v="2"/>
    <x v="0"/>
    <n v="242.59999999962599"/>
    <x v="1"/>
    <n v="100393.999999994"/>
    <n v="2000"/>
    <n v="100"/>
    <x v="0"/>
    <n v="372908.41"/>
    <x v="1747"/>
    <x v="1"/>
  </r>
  <r>
    <n v="41"/>
    <x v="1"/>
    <x v="4"/>
    <n v="2"/>
    <n v="3"/>
    <x v="0"/>
    <n v="354.20000000030399"/>
    <x v="1"/>
    <n v="409392.00000002497"/>
    <n v="2000"/>
    <n v="100"/>
    <x v="0"/>
    <n v="391549.21"/>
    <x v="1748"/>
    <x v="1"/>
  </r>
  <r>
    <n v="42"/>
    <x v="1"/>
    <x v="1"/>
    <n v="2"/>
    <n v="1"/>
    <x v="0"/>
    <n v="129.800000000202"/>
    <x v="1"/>
    <n v="11878.999999993301"/>
    <n v="2000"/>
    <n v="100"/>
    <x v="0"/>
    <n v="336907.61"/>
    <x v="1749"/>
    <x v="0"/>
  </r>
  <r>
    <n v="43"/>
    <x v="1"/>
    <x v="2"/>
    <n v="2"/>
    <n v="1"/>
    <x v="0"/>
    <n v="157.00000000009601"/>
    <x v="1"/>
    <n v="17081.999999987798"/>
    <n v="2000"/>
    <n v="100"/>
    <x v="0"/>
    <n v="341627.61"/>
    <x v="1750"/>
    <x v="0"/>
  </r>
  <r>
    <n v="44"/>
    <x v="1"/>
    <x v="2"/>
    <n v="2"/>
    <n v="2"/>
    <x v="0"/>
    <n v="156.599999999685"/>
    <x v="1"/>
    <n v="24732.0000000002"/>
    <n v="2000"/>
    <n v="100"/>
    <x v="0"/>
    <n v="340508.01"/>
    <x v="1751"/>
    <x v="0"/>
  </r>
  <r>
    <n v="45"/>
    <x v="1"/>
    <x v="2"/>
    <n v="2"/>
    <n v="3"/>
    <x v="0"/>
    <n v="211.00000000018301"/>
    <x v="1"/>
    <n v="56737.9999999957"/>
    <n v="2000"/>
    <n v="100"/>
    <x v="0"/>
    <n v="335628.01"/>
    <x v="1752"/>
    <x v="0"/>
  </r>
  <r>
    <n v="46"/>
    <x v="1"/>
    <x v="3"/>
    <n v="2"/>
    <n v="1"/>
    <x v="0"/>
    <n v="189.400000000006"/>
    <x v="1"/>
    <n v="68061.000000000204"/>
    <n v="2000"/>
    <n v="100"/>
    <x v="0"/>
    <n v="339789.21"/>
    <x v="1753"/>
    <x v="0"/>
  </r>
  <r>
    <n v="47"/>
    <x v="1"/>
    <x v="3"/>
    <n v="2"/>
    <n v="2"/>
    <x v="0"/>
    <n v="193.80000000026601"/>
    <x v="1"/>
    <n v="55103.000000002598"/>
    <n v="2000"/>
    <n v="100"/>
    <x v="0"/>
    <n v="341307.61"/>
    <x v="1754"/>
    <x v="0"/>
  </r>
  <r>
    <n v="48"/>
    <x v="1"/>
    <x v="3"/>
    <n v="2"/>
    <n v="3"/>
    <x v="0"/>
    <n v="249.79999999992199"/>
    <x v="1"/>
    <n v="121555.000000001"/>
    <n v="2000"/>
    <n v="100"/>
    <x v="0"/>
    <n v="399787.61"/>
    <x v="1755"/>
    <x v="1"/>
  </r>
  <r>
    <n v="49"/>
    <x v="1"/>
    <x v="3"/>
    <n v="2"/>
    <n v="1"/>
    <x v="0"/>
    <n v="183.19999999931699"/>
    <x v="1"/>
    <n v="41121.000000004002"/>
    <n v="2000"/>
    <n v="100"/>
    <x v="0"/>
    <n v="332908.81"/>
    <x v="1756"/>
    <x v="0"/>
  </r>
  <r>
    <n v="50"/>
    <x v="1"/>
    <x v="3"/>
    <n v="2"/>
    <n v="2"/>
    <x v="0"/>
    <n v="190.800000000024"/>
    <x v="1"/>
    <n v="50727.999999992302"/>
    <n v="2000"/>
    <n v="100"/>
    <x v="0"/>
    <n v="364268.01"/>
    <x v="1757"/>
    <x v="0"/>
  </r>
  <r>
    <n v="51"/>
    <x v="1"/>
    <x v="3"/>
    <n v="2"/>
    <n v="3"/>
    <x v="0"/>
    <n v="252.19999999990301"/>
    <x v="1"/>
    <n v="139174.99999999499"/>
    <n v="2000"/>
    <n v="100"/>
    <x v="0"/>
    <n v="366908.01"/>
    <x v="1758"/>
    <x v="0"/>
  </r>
  <r>
    <n v="52"/>
    <x v="1"/>
    <x v="4"/>
    <n v="2"/>
    <n v="1"/>
    <x v="0"/>
    <n v="219.40000000029201"/>
    <x v="1"/>
    <n v="49910.000000011198"/>
    <n v="2000"/>
    <n v="100"/>
    <x v="0"/>
    <n v="335628.81"/>
    <x v="1759"/>
    <x v="0"/>
  </r>
  <r>
    <n v="53"/>
    <x v="1"/>
    <x v="4"/>
    <n v="2"/>
    <n v="2"/>
    <x v="0"/>
    <n v="218.80000000038501"/>
    <x v="1"/>
    <n v="113836.99999999"/>
    <n v="2000"/>
    <n v="100"/>
    <x v="0"/>
    <n v="370267.61"/>
    <x v="1760"/>
    <x v="0"/>
  </r>
  <r>
    <n v="54"/>
    <x v="1"/>
    <x v="4"/>
    <n v="2"/>
    <n v="3"/>
    <x v="0"/>
    <n v="306.40000000019501"/>
    <x v="1"/>
    <n v="434876.00000000303"/>
    <n v="2000"/>
    <n v="100"/>
    <x v="0"/>
    <n v="407070.01"/>
    <x v="1761"/>
    <x v="1"/>
  </r>
  <r>
    <n v="55"/>
    <x v="1"/>
    <x v="2"/>
    <n v="2"/>
    <n v="1"/>
    <x v="0"/>
    <n v="140.60000000064599"/>
    <x v="1"/>
    <n v="27028.000000001401"/>
    <n v="2000"/>
    <n v="100"/>
    <x v="0"/>
    <n v="337708.01"/>
    <x v="1762"/>
    <x v="0"/>
  </r>
  <r>
    <n v="56"/>
    <x v="1"/>
    <x v="2"/>
    <n v="2"/>
    <n v="2"/>
    <x v="0"/>
    <n v="137.60000000004899"/>
    <x v="1"/>
    <n v="25397.999999995602"/>
    <n v="2000"/>
    <n v="100"/>
    <x v="0"/>
    <n v="340428.01"/>
    <x v="1763"/>
    <x v="0"/>
  </r>
  <r>
    <n v="57"/>
    <x v="1"/>
    <x v="2"/>
    <n v="2"/>
    <n v="3"/>
    <x v="0"/>
    <n v="183.39999999987799"/>
    <x v="1"/>
    <n v="44558.000000023399"/>
    <n v="2000"/>
    <n v="100"/>
    <x v="0"/>
    <n v="333708.81"/>
    <x v="1764"/>
    <x v="0"/>
  </r>
  <r>
    <n v="58"/>
    <x v="1"/>
    <x v="3"/>
    <n v="2"/>
    <n v="1"/>
    <x v="0"/>
    <n v="215.599999999228"/>
    <x v="1"/>
    <n v="56205.000000005602"/>
    <n v="2000"/>
    <n v="100"/>
    <x v="0"/>
    <n v="342831.21"/>
    <x v="1765"/>
    <x v="0"/>
  </r>
  <r>
    <n v="59"/>
    <x v="1"/>
    <x v="3"/>
    <n v="2"/>
    <n v="2"/>
    <x v="0"/>
    <n v="212.39999999984599"/>
    <x v="1"/>
    <n v="45035.000000012798"/>
    <n v="2000"/>
    <n v="100"/>
    <x v="0"/>
    <n v="339548.01"/>
    <x v="1766"/>
    <x v="0"/>
  </r>
  <r>
    <n v="60"/>
    <x v="1"/>
    <x v="3"/>
    <n v="2"/>
    <n v="3"/>
    <x v="0"/>
    <n v="288.40000000016602"/>
    <x v="1"/>
    <n v="150798.00000000899"/>
    <n v="2000"/>
    <n v="100"/>
    <x v="0"/>
    <n v="343149.61"/>
    <x v="1767"/>
    <x v="1"/>
  </r>
  <r>
    <n v="61"/>
    <x v="1"/>
    <x v="4"/>
    <n v="2"/>
    <n v="1"/>
    <x v="0"/>
    <n v="230.60000000043601"/>
    <x v="1"/>
    <n v="105615.99999999801"/>
    <n v="2000"/>
    <n v="100"/>
    <x v="0"/>
    <n v="382429.21"/>
    <x v="1768"/>
    <x v="0"/>
  </r>
  <r>
    <n v="62"/>
    <x v="1"/>
    <x v="4"/>
    <n v="2"/>
    <n v="2"/>
    <x v="0"/>
    <n v="233.80000000017299"/>
    <x v="1"/>
    <n v="102223.999999978"/>
    <n v="2000"/>
    <n v="100"/>
    <x v="0"/>
    <n v="336187.61"/>
    <x v="1769"/>
    <x v="0"/>
  </r>
  <r>
    <n v="63"/>
    <x v="1"/>
    <x v="4"/>
    <n v="2"/>
    <n v="3"/>
    <x v="0"/>
    <n v="359.799999999666"/>
    <x v="1"/>
    <n v="241534.99999999901"/>
    <n v="2000"/>
    <n v="100"/>
    <x v="0"/>
    <n v="347628.41"/>
    <x v="1770"/>
    <x v="1"/>
  </r>
  <r>
    <n v="64"/>
    <x v="1"/>
    <x v="5"/>
    <n v="2"/>
    <n v="1"/>
    <x v="0"/>
    <n v="274.00000000028501"/>
    <x v="1"/>
    <n v="128890.00000001299"/>
    <n v="2000"/>
    <n v="100"/>
    <x v="0"/>
    <n v="350350.41"/>
    <x v="1771"/>
    <x v="1"/>
  </r>
  <r>
    <n v="65"/>
    <x v="1"/>
    <x v="5"/>
    <n v="2"/>
    <n v="2"/>
    <x v="0"/>
    <n v="271.20000000024902"/>
    <x v="1"/>
    <n v="165955.999999994"/>
    <n v="2000"/>
    <n v="100"/>
    <x v="0"/>
    <n v="343068.01"/>
    <x v="1772"/>
    <x v="1"/>
  </r>
  <r>
    <n v="66"/>
    <x v="1"/>
    <x v="5"/>
    <n v="2"/>
    <n v="3"/>
    <x v="0"/>
    <n v="390.99999999976399"/>
    <x v="1"/>
    <n v="603557.99999999197"/>
    <n v="2000"/>
    <n v="100"/>
    <x v="0"/>
    <n v="352429.21"/>
    <x v="1773"/>
    <x v="1"/>
  </r>
  <r>
    <n v="67"/>
    <x v="1"/>
    <x v="4"/>
    <n v="2"/>
    <n v="1"/>
    <x v="0"/>
    <n v="210.20000000007099"/>
    <x v="1"/>
    <n v="119817.999999981"/>
    <n v="2000"/>
    <n v="100"/>
    <x v="0"/>
    <n v="373308.01"/>
    <x v="1774"/>
    <x v="0"/>
  </r>
  <r>
    <n v="68"/>
    <x v="1"/>
    <x v="4"/>
    <n v="2"/>
    <n v="2"/>
    <x v="0"/>
    <n v="210.00000000022101"/>
    <x v="1"/>
    <n v="73575.000000005297"/>
    <n v="2000"/>
    <n v="100"/>
    <x v="0"/>
    <n v="345308.41"/>
    <x v="1775"/>
    <x v="0"/>
  </r>
  <r>
    <n v="69"/>
    <x v="1"/>
    <x v="4"/>
    <n v="2"/>
    <n v="3"/>
    <x v="0"/>
    <n v="292.59999999986502"/>
    <x v="1"/>
    <n v="260648.000000003"/>
    <n v="2000"/>
    <n v="100"/>
    <x v="0"/>
    <n v="337628.81"/>
    <x v="1776"/>
    <x v="1"/>
  </r>
  <r>
    <n v="28"/>
    <x v="1"/>
    <x v="1"/>
    <n v="2"/>
    <n v="1"/>
    <x v="0"/>
    <n v="541.19999999961999"/>
    <x v="2"/>
    <n v="0"/>
    <n v="0"/>
    <n v="0"/>
    <x v="1"/>
    <n v="84848"/>
    <x v="1777"/>
    <x v="0"/>
  </r>
  <r>
    <n v="29"/>
    <x v="1"/>
    <x v="2"/>
    <n v="2"/>
    <n v="2"/>
    <x v="0"/>
    <n v="547.39999999959798"/>
    <x v="2"/>
    <n v="0"/>
    <n v="0"/>
    <n v="0"/>
    <x v="1"/>
    <n v="104843"/>
    <x v="1778"/>
    <x v="0"/>
  </r>
  <r>
    <n v="30"/>
    <x v="1"/>
    <x v="2"/>
    <n v="2"/>
    <n v="3"/>
    <x v="0"/>
    <n v="598.60000000000502"/>
    <x v="2"/>
    <n v="0"/>
    <n v="0"/>
    <n v="0"/>
    <x v="1"/>
    <n v="91295"/>
    <x v="1779"/>
    <x v="0"/>
  </r>
  <r>
    <n v="31"/>
    <x v="1"/>
    <x v="2"/>
    <n v="2"/>
    <n v="1"/>
    <x v="0"/>
    <n v="351.19999999970702"/>
    <x v="2"/>
    <n v="0"/>
    <n v="0"/>
    <n v="0"/>
    <x v="1"/>
    <n v="84814"/>
    <x v="1780"/>
    <x v="0"/>
  </r>
  <r>
    <n v="32"/>
    <x v="1"/>
    <x v="2"/>
    <n v="2"/>
    <n v="2"/>
    <x v="0"/>
    <n v="356.00000000002302"/>
    <x v="2"/>
    <n v="0"/>
    <n v="0"/>
    <n v="0"/>
    <x v="1"/>
    <n v="87500"/>
    <x v="1781"/>
    <x v="0"/>
  </r>
  <r>
    <n v="33"/>
    <x v="1"/>
    <x v="2"/>
    <n v="2"/>
    <n v="3"/>
    <x v="0"/>
    <n v="485.39999999981399"/>
    <x v="2"/>
    <n v="0"/>
    <n v="0"/>
    <n v="0"/>
    <x v="1"/>
    <n v="18250"/>
    <x v="1782"/>
    <x v="0"/>
  </r>
  <r>
    <n v="34"/>
    <x v="1"/>
    <x v="2"/>
    <n v="2"/>
    <n v="1"/>
    <x v="0"/>
    <n v="307.60000000000798"/>
    <x v="2"/>
    <n v="0"/>
    <n v="0"/>
    <n v="0"/>
    <x v="1"/>
    <n v="68178"/>
    <x v="1783"/>
    <x v="0"/>
  </r>
  <r>
    <n v="35"/>
    <x v="1"/>
    <x v="3"/>
    <n v="2"/>
    <n v="1"/>
    <x v="0"/>
    <n v="378.80000000036802"/>
    <x v="2"/>
    <n v="0"/>
    <n v="0"/>
    <n v="0"/>
    <x v="1"/>
    <n v="89285"/>
    <x v="1784"/>
    <x v="0"/>
  </r>
  <r>
    <n v="36"/>
    <x v="1"/>
    <x v="3"/>
    <n v="2"/>
    <n v="2"/>
    <x v="0"/>
    <n v="225.399999999709"/>
    <x v="2"/>
    <n v="0"/>
    <n v="0"/>
    <n v="0"/>
    <x v="1"/>
    <n v="89601"/>
    <x v="1785"/>
    <x v="0"/>
  </r>
  <r>
    <n v="37"/>
    <x v="1"/>
    <x v="3"/>
    <n v="2"/>
    <n v="3"/>
    <x v="0"/>
    <n v="317.40000000049002"/>
    <x v="2"/>
    <n v="0"/>
    <n v="0"/>
    <n v="0"/>
    <x v="1"/>
    <n v="112563"/>
    <x v="1786"/>
    <x v="0"/>
  </r>
  <r>
    <n v="38"/>
    <x v="1"/>
    <x v="3"/>
    <n v="2"/>
    <n v="1"/>
    <x v="0"/>
    <n v="206.39999999971801"/>
    <x v="2"/>
    <n v="0"/>
    <n v="0"/>
    <n v="0"/>
    <x v="1"/>
    <n v="53956"/>
    <x v="78"/>
    <x v="0"/>
  </r>
  <r>
    <n v="39"/>
    <x v="1"/>
    <x v="4"/>
    <n v="2"/>
    <n v="1"/>
    <x v="0"/>
    <n v="257.600000000124"/>
    <x v="2"/>
    <n v="0"/>
    <n v="0"/>
    <n v="0"/>
    <x v="1"/>
    <n v="109103"/>
    <x v="1787"/>
    <x v="0"/>
  </r>
  <r>
    <n v="40"/>
    <x v="1"/>
    <x v="4"/>
    <n v="2"/>
    <n v="2"/>
    <x v="0"/>
    <n v="242.59999999962599"/>
    <x v="2"/>
    <n v="0"/>
    <n v="0"/>
    <n v="0"/>
    <x v="1"/>
    <n v="109954"/>
    <x v="1788"/>
    <x v="0"/>
  </r>
  <r>
    <n v="41"/>
    <x v="1"/>
    <x v="4"/>
    <n v="2"/>
    <n v="3"/>
    <x v="0"/>
    <n v="354.20000000030399"/>
    <x v="2"/>
    <n v="0"/>
    <n v="0"/>
    <n v="0"/>
    <x v="1"/>
    <n v="97158"/>
    <x v="1789"/>
    <x v="0"/>
  </r>
  <r>
    <n v="42"/>
    <x v="1"/>
    <x v="1"/>
    <n v="2"/>
    <n v="1"/>
    <x v="0"/>
    <n v="129.800000000202"/>
    <x v="2"/>
    <n v="0"/>
    <n v="0"/>
    <n v="0"/>
    <x v="1"/>
    <n v="99787"/>
    <x v="1790"/>
    <x v="0"/>
  </r>
  <r>
    <n v="43"/>
    <x v="1"/>
    <x v="2"/>
    <n v="2"/>
    <n v="1"/>
    <x v="0"/>
    <n v="157.00000000009601"/>
    <x v="2"/>
    <n v="0"/>
    <n v="0"/>
    <n v="0"/>
    <x v="1"/>
    <n v="169118"/>
    <x v="1791"/>
    <x v="0"/>
  </r>
  <r>
    <n v="44"/>
    <x v="1"/>
    <x v="2"/>
    <n v="2"/>
    <n v="2"/>
    <x v="0"/>
    <n v="156.599999999685"/>
    <x v="2"/>
    <n v="0"/>
    <n v="0"/>
    <n v="0"/>
    <x v="1"/>
    <n v="86059"/>
    <x v="1792"/>
    <x v="0"/>
  </r>
  <r>
    <n v="45"/>
    <x v="1"/>
    <x v="2"/>
    <n v="2"/>
    <n v="3"/>
    <x v="0"/>
    <n v="211.00000000018301"/>
    <x v="2"/>
    <n v="0"/>
    <n v="0"/>
    <n v="0"/>
    <x v="1"/>
    <n v="90437"/>
    <x v="1793"/>
    <x v="0"/>
  </r>
  <r>
    <n v="46"/>
    <x v="1"/>
    <x v="3"/>
    <n v="2"/>
    <n v="1"/>
    <x v="0"/>
    <n v="189.400000000006"/>
    <x v="2"/>
    <n v="0"/>
    <n v="0"/>
    <n v="0"/>
    <x v="1"/>
    <n v="105496"/>
    <x v="1794"/>
    <x v="0"/>
  </r>
  <r>
    <n v="47"/>
    <x v="1"/>
    <x v="3"/>
    <n v="2"/>
    <n v="2"/>
    <x v="0"/>
    <n v="193.80000000026601"/>
    <x v="2"/>
    <n v="0"/>
    <n v="0"/>
    <n v="0"/>
    <x v="1"/>
    <n v="107682"/>
    <x v="1795"/>
    <x v="0"/>
  </r>
  <r>
    <n v="48"/>
    <x v="1"/>
    <x v="3"/>
    <n v="2"/>
    <n v="3"/>
    <x v="0"/>
    <n v="249.79999999992199"/>
    <x v="2"/>
    <n v="0"/>
    <n v="0"/>
    <n v="0"/>
    <x v="1"/>
    <n v="56319"/>
    <x v="1796"/>
    <x v="0"/>
  </r>
  <r>
    <n v="49"/>
    <x v="1"/>
    <x v="3"/>
    <n v="2"/>
    <n v="1"/>
    <x v="0"/>
    <n v="183.19999999931699"/>
    <x v="2"/>
    <n v="0"/>
    <n v="0"/>
    <n v="0"/>
    <x v="1"/>
    <n v="71623"/>
    <x v="1797"/>
    <x v="0"/>
  </r>
  <r>
    <n v="50"/>
    <x v="1"/>
    <x v="3"/>
    <n v="2"/>
    <n v="2"/>
    <x v="0"/>
    <n v="190.800000000024"/>
    <x v="2"/>
    <n v="0"/>
    <n v="0"/>
    <n v="0"/>
    <x v="1"/>
    <n v="53994"/>
    <x v="1798"/>
    <x v="0"/>
  </r>
  <r>
    <n v="51"/>
    <x v="1"/>
    <x v="3"/>
    <n v="2"/>
    <n v="3"/>
    <x v="0"/>
    <n v="252.19999999990301"/>
    <x v="2"/>
    <n v="0"/>
    <n v="0"/>
    <n v="0"/>
    <x v="1"/>
    <n v="75156"/>
    <x v="1799"/>
    <x v="0"/>
  </r>
  <r>
    <n v="52"/>
    <x v="1"/>
    <x v="4"/>
    <n v="2"/>
    <n v="1"/>
    <x v="0"/>
    <n v="219.40000000029201"/>
    <x v="2"/>
    <n v="0"/>
    <n v="0"/>
    <n v="0"/>
    <x v="1"/>
    <n v="72732"/>
    <x v="1800"/>
    <x v="0"/>
  </r>
  <r>
    <n v="53"/>
    <x v="1"/>
    <x v="4"/>
    <n v="2"/>
    <n v="2"/>
    <x v="0"/>
    <n v="218.80000000038501"/>
    <x v="2"/>
    <n v="0"/>
    <n v="0"/>
    <n v="0"/>
    <x v="1"/>
    <n v="18374"/>
    <x v="1801"/>
    <x v="0"/>
  </r>
  <r>
    <n v="54"/>
    <x v="1"/>
    <x v="4"/>
    <n v="2"/>
    <n v="3"/>
    <x v="0"/>
    <n v="306.40000000019501"/>
    <x v="2"/>
    <n v="0"/>
    <n v="0"/>
    <n v="0"/>
    <x v="1"/>
    <n v="19278"/>
    <x v="1802"/>
    <x v="0"/>
  </r>
  <r>
    <n v="55"/>
    <x v="1"/>
    <x v="2"/>
    <n v="2"/>
    <n v="1"/>
    <x v="0"/>
    <n v="140.60000000064599"/>
    <x v="2"/>
    <n v="0"/>
    <n v="0"/>
    <n v="0"/>
    <x v="1"/>
    <n v="16745"/>
    <x v="1803"/>
    <x v="0"/>
  </r>
  <r>
    <n v="56"/>
    <x v="1"/>
    <x v="2"/>
    <n v="2"/>
    <n v="2"/>
    <x v="0"/>
    <n v="137.60000000004899"/>
    <x v="2"/>
    <n v="0"/>
    <n v="0"/>
    <n v="0"/>
    <x v="1"/>
    <n v="17321"/>
    <x v="1804"/>
    <x v="0"/>
  </r>
  <r>
    <n v="57"/>
    <x v="1"/>
    <x v="2"/>
    <n v="2"/>
    <n v="3"/>
    <x v="0"/>
    <n v="183.39999999987799"/>
    <x v="2"/>
    <n v="0"/>
    <n v="0"/>
    <n v="0"/>
    <x v="1"/>
    <n v="18250"/>
    <x v="1805"/>
    <x v="0"/>
  </r>
  <r>
    <n v="58"/>
    <x v="1"/>
    <x v="3"/>
    <n v="2"/>
    <n v="1"/>
    <x v="0"/>
    <n v="215.599999999228"/>
    <x v="2"/>
    <n v="0"/>
    <n v="0"/>
    <n v="0"/>
    <x v="1"/>
    <n v="0"/>
    <x v="1806"/>
    <x v="0"/>
  </r>
  <r>
    <n v="59"/>
    <x v="1"/>
    <x v="3"/>
    <n v="2"/>
    <n v="2"/>
    <x v="0"/>
    <n v="212.39999999984599"/>
    <x v="2"/>
    <n v="0"/>
    <n v="0"/>
    <n v="0"/>
    <x v="1"/>
    <n v="17985"/>
    <x v="1807"/>
    <x v="0"/>
  </r>
  <r>
    <n v="60"/>
    <x v="1"/>
    <x v="3"/>
    <n v="2"/>
    <n v="3"/>
    <x v="0"/>
    <n v="288.40000000016602"/>
    <x v="2"/>
    <n v="0"/>
    <n v="0"/>
    <n v="0"/>
    <x v="1"/>
    <n v="0"/>
    <x v="1808"/>
    <x v="0"/>
  </r>
  <r>
    <n v="61"/>
    <x v="1"/>
    <x v="4"/>
    <n v="2"/>
    <n v="1"/>
    <x v="0"/>
    <n v="230.60000000043601"/>
    <x v="2"/>
    <n v="0"/>
    <n v="0"/>
    <n v="0"/>
    <x v="1"/>
    <n v="0"/>
    <x v="1809"/>
    <x v="0"/>
  </r>
  <r>
    <n v="62"/>
    <x v="1"/>
    <x v="4"/>
    <n v="2"/>
    <n v="2"/>
    <x v="0"/>
    <n v="233.80000000017299"/>
    <x v="2"/>
    <n v="0"/>
    <n v="0"/>
    <n v="0"/>
    <x v="1"/>
    <n v="55158"/>
    <x v="1810"/>
    <x v="0"/>
  </r>
  <r>
    <n v="63"/>
    <x v="1"/>
    <x v="4"/>
    <n v="2"/>
    <n v="3"/>
    <x v="0"/>
    <n v="359.799999999666"/>
    <x v="2"/>
    <n v="0"/>
    <n v="0"/>
    <n v="0"/>
    <x v="1"/>
    <n v="78528"/>
    <x v="1811"/>
    <x v="0"/>
  </r>
  <r>
    <n v="64"/>
    <x v="1"/>
    <x v="5"/>
    <n v="2"/>
    <n v="1"/>
    <x v="0"/>
    <n v="274.00000000028501"/>
    <x v="2"/>
    <n v="0"/>
    <n v="0"/>
    <n v="0"/>
    <x v="1"/>
    <n v="17832"/>
    <x v="1812"/>
    <x v="0"/>
  </r>
  <r>
    <n v="65"/>
    <x v="1"/>
    <x v="5"/>
    <n v="2"/>
    <n v="2"/>
    <x v="0"/>
    <n v="271.20000000024902"/>
    <x v="2"/>
    <n v="0"/>
    <n v="0"/>
    <n v="0"/>
    <x v="1"/>
    <n v="37508"/>
    <x v="1813"/>
    <x v="0"/>
  </r>
  <r>
    <n v="66"/>
    <x v="1"/>
    <x v="5"/>
    <n v="2"/>
    <n v="3"/>
    <x v="0"/>
    <n v="390.99999999976399"/>
    <x v="2"/>
    <n v="0"/>
    <n v="0"/>
    <n v="0"/>
    <x v="1"/>
    <n v="87576"/>
    <x v="1814"/>
    <x v="0"/>
  </r>
  <r>
    <n v="67"/>
    <x v="1"/>
    <x v="4"/>
    <n v="2"/>
    <n v="1"/>
    <x v="0"/>
    <n v="210.20000000007099"/>
    <x v="2"/>
    <n v="0"/>
    <n v="0"/>
    <n v="0"/>
    <x v="1"/>
    <n v="180601"/>
    <x v="1815"/>
    <x v="0"/>
  </r>
  <r>
    <n v="68"/>
    <x v="1"/>
    <x v="4"/>
    <n v="2"/>
    <n v="2"/>
    <x v="0"/>
    <n v="210.00000000022101"/>
    <x v="2"/>
    <n v="0"/>
    <n v="0"/>
    <n v="0"/>
    <x v="1"/>
    <n v="110279"/>
    <x v="1816"/>
    <x v="0"/>
  </r>
  <r>
    <n v="69"/>
    <x v="1"/>
    <x v="4"/>
    <n v="2"/>
    <n v="3"/>
    <x v="0"/>
    <n v="292.59999999986502"/>
    <x v="2"/>
    <n v="0"/>
    <n v="0"/>
    <n v="0"/>
    <x v="1"/>
    <n v="137709"/>
    <x v="1817"/>
    <x v="0"/>
  </r>
  <r>
    <n v="28"/>
    <x v="1"/>
    <x v="1"/>
    <n v="2"/>
    <n v="1"/>
    <x v="1"/>
    <n v="901.80000000010796"/>
    <x v="0"/>
    <n v="460677"/>
    <n v="3000"/>
    <n v="20"/>
    <x v="0"/>
    <n v="438689.97"/>
    <x v="1818"/>
    <x v="1"/>
  </r>
  <r>
    <n v="29"/>
    <x v="1"/>
    <x v="2"/>
    <n v="2"/>
    <n v="2"/>
    <x v="1"/>
    <n v="926.20000000032098"/>
    <x v="0"/>
    <n v="770229.00000000105"/>
    <n v="3000"/>
    <n v="20"/>
    <x v="0"/>
    <n v="452249.17"/>
    <x v="1819"/>
    <x v="1"/>
  </r>
  <r>
    <n v="30"/>
    <x v="1"/>
    <x v="2"/>
    <n v="2"/>
    <n v="3"/>
    <x v="1"/>
    <n v="922.99999999951899"/>
    <x v="0"/>
    <n v="1785648"/>
    <n v="3000"/>
    <n v="20"/>
    <x v="0"/>
    <n v="366087.57"/>
    <x v="1820"/>
    <x v="1"/>
  </r>
  <r>
    <n v="31"/>
    <x v="1"/>
    <x v="2"/>
    <n v="2"/>
    <n v="1"/>
    <x v="1"/>
    <n v="780.99999999920999"/>
    <x v="0"/>
    <n v="634705.99999999802"/>
    <n v="3000"/>
    <n v="20"/>
    <x v="0"/>
    <n v="309447.57"/>
    <x v="1821"/>
    <x v="1"/>
  </r>
  <r>
    <n v="32"/>
    <x v="1"/>
    <x v="2"/>
    <n v="2"/>
    <n v="2"/>
    <x v="1"/>
    <n v="720.199999999949"/>
    <x v="0"/>
    <n v="1699059"/>
    <n v="3000"/>
    <n v="20"/>
    <x v="0"/>
    <n v="350128.77"/>
    <x v="1822"/>
    <x v="1"/>
  </r>
  <r>
    <n v="33"/>
    <x v="1"/>
    <x v="2"/>
    <n v="2"/>
    <n v="3"/>
    <x v="1"/>
    <n v="762.79999999968595"/>
    <x v="0"/>
    <n v="1760464"/>
    <n v="3000"/>
    <n v="20"/>
    <x v="0"/>
    <n v="414449.17"/>
    <x v="1823"/>
    <x v="1"/>
  </r>
  <r>
    <n v="34"/>
    <x v="1"/>
    <x v="2"/>
    <n v="2"/>
    <n v="1"/>
    <x v="1"/>
    <n v="563.600000000264"/>
    <x v="0"/>
    <n v="567174.00000000105"/>
    <n v="3000"/>
    <n v="20"/>
    <x v="0"/>
    <n v="450807.97"/>
    <x v="1824"/>
    <x v="1"/>
  </r>
  <r>
    <n v="35"/>
    <x v="1"/>
    <x v="3"/>
    <n v="2"/>
    <n v="1"/>
    <x v="1"/>
    <n v="467.000000000439"/>
    <x v="0"/>
    <n v="1291090"/>
    <n v="3000"/>
    <n v="20"/>
    <x v="0"/>
    <n v="312989.17"/>
    <x v="1825"/>
    <x v="1"/>
  </r>
  <r>
    <n v="36"/>
    <x v="1"/>
    <x v="3"/>
    <n v="2"/>
    <n v="2"/>
    <x v="1"/>
    <n v="432.59999999953902"/>
    <x v="0"/>
    <n v="884944.99999999499"/>
    <n v="3000"/>
    <n v="20"/>
    <x v="0"/>
    <n v="478589.57"/>
    <x v="1826"/>
    <x v="1"/>
  </r>
  <r>
    <n v="37"/>
    <x v="1"/>
    <x v="3"/>
    <n v="2"/>
    <n v="3"/>
    <x v="1"/>
    <n v="535.40000000005296"/>
    <x v="0"/>
    <n v="1563006"/>
    <n v="3000"/>
    <n v="20"/>
    <x v="0"/>
    <n v="369329.57"/>
    <x v="1827"/>
    <x v="1"/>
  </r>
  <r>
    <n v="38"/>
    <x v="1"/>
    <x v="3"/>
    <n v="2"/>
    <n v="1"/>
    <x v="1"/>
    <n v="394.79999999976201"/>
    <x v="0"/>
    <n v="686184.00000000396"/>
    <n v="3000"/>
    <n v="20"/>
    <x v="0"/>
    <n v="359968.77"/>
    <x v="1828"/>
    <x v="1"/>
  </r>
  <r>
    <n v="39"/>
    <x v="1"/>
    <x v="4"/>
    <n v="2"/>
    <n v="1"/>
    <x v="1"/>
    <n v="470.600000000232"/>
    <x v="0"/>
    <n v="1346969"/>
    <n v="3000"/>
    <n v="20"/>
    <x v="0"/>
    <n v="377068.77"/>
    <x v="1829"/>
    <x v="1"/>
  </r>
  <r>
    <n v="40"/>
    <x v="1"/>
    <x v="4"/>
    <n v="2"/>
    <n v="2"/>
    <x v="1"/>
    <n v="455.20000000074401"/>
    <x v="0"/>
    <n v="2734535"/>
    <n v="3000"/>
    <n v="20"/>
    <x v="0"/>
    <n v="474867.17"/>
    <x v="1830"/>
    <x v="1"/>
  </r>
  <r>
    <n v="41"/>
    <x v="1"/>
    <x v="4"/>
    <n v="2"/>
    <n v="3"/>
    <x v="1"/>
    <n v="556.20000000047298"/>
    <x v="0"/>
    <n v="2185385"/>
    <n v="3000"/>
    <n v="20"/>
    <x v="0"/>
    <n v="384750.37"/>
    <x v="1831"/>
    <x v="1"/>
  </r>
  <r>
    <n v="42"/>
    <x v="1"/>
    <x v="1"/>
    <n v="2"/>
    <n v="1"/>
    <x v="1"/>
    <n v="288.80000000022198"/>
    <x v="0"/>
    <n v="329124"/>
    <n v="3000"/>
    <n v="20"/>
    <x v="0"/>
    <n v="315927.57"/>
    <x v="1832"/>
    <x v="1"/>
  </r>
  <r>
    <n v="43"/>
    <x v="1"/>
    <x v="2"/>
    <n v="2"/>
    <n v="1"/>
    <x v="1"/>
    <n v="340.19999999976801"/>
    <x v="0"/>
    <n v="626666"/>
    <n v="3000"/>
    <n v="20"/>
    <x v="0"/>
    <n v="317248.37"/>
    <x v="1833"/>
    <x v="1"/>
  </r>
  <r>
    <n v="44"/>
    <x v="1"/>
    <x v="2"/>
    <n v="2"/>
    <n v="2"/>
    <x v="1"/>
    <n v="325.80000000024302"/>
    <x v="0"/>
    <n v="625314.00000000303"/>
    <n v="3000"/>
    <n v="20"/>
    <x v="0"/>
    <n v="332011.57"/>
    <x v="1834"/>
    <x v="1"/>
  </r>
  <r>
    <n v="45"/>
    <x v="1"/>
    <x v="2"/>
    <n v="2"/>
    <n v="3"/>
    <x v="1"/>
    <n v="420.79999999948802"/>
    <x v="0"/>
    <n v="1579966"/>
    <n v="3000"/>
    <n v="20"/>
    <x v="0"/>
    <n v="453627.97"/>
    <x v="1835"/>
    <x v="1"/>
  </r>
  <r>
    <n v="46"/>
    <x v="1"/>
    <x v="3"/>
    <n v="2"/>
    <n v="1"/>
    <x v="1"/>
    <n v="431.79999999978202"/>
    <x v="0"/>
    <n v="908150.99999999697"/>
    <n v="3000"/>
    <n v="20"/>
    <x v="0"/>
    <n v="283767.96999999997"/>
    <x v="1836"/>
    <x v="1"/>
  </r>
  <r>
    <n v="47"/>
    <x v="1"/>
    <x v="3"/>
    <n v="2"/>
    <n v="2"/>
    <x v="1"/>
    <n v="392.80000000019299"/>
    <x v="0"/>
    <n v="835637.99999999604"/>
    <n v="3000"/>
    <n v="20"/>
    <x v="0"/>
    <n v="448709.57"/>
    <x v="1837"/>
    <x v="1"/>
  </r>
  <r>
    <n v="48"/>
    <x v="1"/>
    <x v="3"/>
    <n v="2"/>
    <n v="3"/>
    <x v="1"/>
    <n v="479.99999999994702"/>
    <x v="0"/>
    <n v="1313722.00000001"/>
    <n v="3000"/>
    <n v="20"/>
    <x v="0"/>
    <n v="494069.57"/>
    <x v="1838"/>
    <x v="1"/>
  </r>
  <r>
    <n v="49"/>
    <x v="1"/>
    <x v="3"/>
    <n v="2"/>
    <n v="1"/>
    <x v="1"/>
    <n v="379.40000000027402"/>
    <x v="0"/>
    <n v="1132380"/>
    <n v="3000"/>
    <n v="20"/>
    <x v="0"/>
    <n v="307529.17"/>
    <x v="1839"/>
    <x v="1"/>
  </r>
  <r>
    <n v="50"/>
    <x v="1"/>
    <x v="3"/>
    <n v="2"/>
    <n v="2"/>
    <x v="1"/>
    <n v="387.60000000017698"/>
    <x v="0"/>
    <n v="809797.00000000303"/>
    <n v="3000"/>
    <n v="20"/>
    <x v="0"/>
    <n v="343769.97"/>
    <x v="1840"/>
    <x v="1"/>
  </r>
  <r>
    <n v="51"/>
    <x v="1"/>
    <x v="3"/>
    <n v="2"/>
    <n v="3"/>
    <x v="1"/>
    <n v="476.39999999944399"/>
    <x v="0"/>
    <n v="1191722"/>
    <n v="3000"/>
    <n v="20"/>
    <x v="0"/>
    <n v="348446.77"/>
    <x v="1841"/>
    <x v="1"/>
  </r>
  <r>
    <n v="52"/>
    <x v="1"/>
    <x v="4"/>
    <n v="2"/>
    <n v="1"/>
    <x v="1"/>
    <n v="407.79999999998"/>
    <x v="0"/>
    <n v="1069360"/>
    <n v="3000"/>
    <n v="20"/>
    <x v="0"/>
    <n v="370831.57"/>
    <x v="1842"/>
    <x v="1"/>
  </r>
  <r>
    <n v="53"/>
    <x v="1"/>
    <x v="4"/>
    <n v="2"/>
    <n v="2"/>
    <x v="1"/>
    <n v="396.99999999953701"/>
    <x v="0"/>
    <n v="2505793"/>
    <n v="3000"/>
    <n v="20"/>
    <x v="0"/>
    <n v="344970.37"/>
    <x v="1843"/>
    <x v="1"/>
  </r>
  <r>
    <n v="54"/>
    <x v="1"/>
    <x v="4"/>
    <n v="2"/>
    <n v="3"/>
    <x v="1"/>
    <n v="497.99999999997601"/>
    <x v="0"/>
    <n v="3244514"/>
    <n v="3000"/>
    <n v="20"/>
    <x v="0"/>
    <n v="310649.17"/>
    <x v="1844"/>
    <x v="1"/>
  </r>
  <r>
    <n v="55"/>
    <x v="1"/>
    <x v="2"/>
    <n v="2"/>
    <n v="1"/>
    <x v="1"/>
    <n v="289.40000000012799"/>
    <x v="0"/>
    <n v="783248"/>
    <n v="3000"/>
    <n v="20"/>
    <x v="0"/>
    <n v="302369.17"/>
    <x v="1845"/>
    <x v="1"/>
  </r>
  <r>
    <n v="56"/>
    <x v="1"/>
    <x v="2"/>
    <n v="2"/>
    <n v="2"/>
    <x v="1"/>
    <n v="287.00000000014802"/>
    <x v="0"/>
    <n v="544256.00000000396"/>
    <n v="3000"/>
    <n v="20"/>
    <x v="0"/>
    <n v="331469.17"/>
    <x v="1846"/>
    <x v="1"/>
  </r>
  <r>
    <n v="57"/>
    <x v="1"/>
    <x v="2"/>
    <n v="2"/>
    <n v="3"/>
    <x v="1"/>
    <n v="362.39999999949703"/>
    <x v="0"/>
    <n v="801326.00000000303"/>
    <n v="3000"/>
    <n v="20"/>
    <x v="0"/>
    <n v="470009.17"/>
    <x v="1847"/>
    <x v="1"/>
  </r>
  <r>
    <n v="58"/>
    <x v="1"/>
    <x v="3"/>
    <n v="2"/>
    <n v="1"/>
    <x v="1"/>
    <n v="340.79999999967498"/>
    <x v="0"/>
    <n v="868777.00000000198"/>
    <n v="3000"/>
    <n v="20"/>
    <x v="0"/>
    <n v="459929.17"/>
    <x v="1848"/>
    <x v="1"/>
  </r>
  <r>
    <n v="59"/>
    <x v="1"/>
    <x v="3"/>
    <n v="2"/>
    <n v="2"/>
    <x v="1"/>
    <n v="334.19999999999601"/>
    <x v="0"/>
    <n v="583774.00000000501"/>
    <n v="3000"/>
    <n v="20"/>
    <x v="0"/>
    <n v="364108.37"/>
    <x v="1849"/>
    <x v="1"/>
  </r>
  <r>
    <n v="60"/>
    <x v="1"/>
    <x v="3"/>
    <n v="2"/>
    <n v="3"/>
    <x v="1"/>
    <n v="401.39999999979602"/>
    <x v="0"/>
    <n v="2144212.9999999902"/>
    <n v="3000"/>
    <n v="20"/>
    <x v="0"/>
    <n v="475469.17"/>
    <x v="1850"/>
    <x v="1"/>
  </r>
  <r>
    <n v="61"/>
    <x v="1"/>
    <x v="4"/>
    <n v="2"/>
    <n v="1"/>
    <x v="1"/>
    <n v="364.79999999983198"/>
    <x v="0"/>
    <n v="2195942"/>
    <n v="3000"/>
    <n v="20"/>
    <x v="0"/>
    <n v="468687.57"/>
    <x v="1851"/>
    <x v="1"/>
  </r>
  <r>
    <n v="62"/>
    <x v="1"/>
    <x v="4"/>
    <n v="2"/>
    <n v="2"/>
    <x v="1"/>
    <n v="382.79999999950599"/>
    <x v="0"/>
    <n v="1972765"/>
    <n v="3000"/>
    <n v="20"/>
    <x v="0"/>
    <n v="352590.37"/>
    <x v="1852"/>
    <x v="1"/>
  </r>
  <r>
    <n v="63"/>
    <x v="1"/>
    <x v="4"/>
    <n v="2"/>
    <n v="3"/>
    <x v="1"/>
    <n v="469.999999999615"/>
    <x v="0"/>
    <n v="2183012.0000000098"/>
    <n v="3000"/>
    <n v="20"/>
    <x v="0"/>
    <n v="387327.97"/>
    <x v="1853"/>
    <x v="1"/>
  </r>
  <r>
    <n v="64"/>
    <x v="1"/>
    <x v="5"/>
    <n v="2"/>
    <n v="1"/>
    <x v="1"/>
    <n v="408.600000000092"/>
    <x v="0"/>
    <n v="1707695"/>
    <n v="3000"/>
    <n v="20"/>
    <x v="0"/>
    <n v="295587.57"/>
    <x v="1854"/>
    <x v="1"/>
  </r>
  <r>
    <n v="65"/>
    <x v="1"/>
    <x v="5"/>
    <n v="2"/>
    <n v="2"/>
    <x v="1"/>
    <n v="427.200000000383"/>
    <x v="0"/>
    <n v="1389962.99999999"/>
    <n v="3000"/>
    <n v="20"/>
    <x v="0"/>
    <n v="372149.57"/>
    <x v="1855"/>
    <x v="1"/>
  </r>
  <r>
    <n v="66"/>
    <x v="1"/>
    <x v="5"/>
    <n v="2"/>
    <n v="3"/>
    <x v="1"/>
    <n v="553.79999999942697"/>
    <x v="0"/>
    <n v="1964170.00000001"/>
    <n v="3000"/>
    <n v="20"/>
    <x v="0"/>
    <n v="397467.57"/>
    <x v="1856"/>
    <x v="1"/>
  </r>
  <r>
    <n v="67"/>
    <x v="1"/>
    <x v="4"/>
    <n v="2"/>
    <n v="1"/>
    <x v="1"/>
    <n v="358.99999999990899"/>
    <x v="0"/>
    <n v="937139.00000000198"/>
    <n v="3000"/>
    <n v="20"/>
    <x v="0"/>
    <n v="286348.77"/>
    <x v="1857"/>
    <x v="1"/>
  </r>
  <r>
    <n v="68"/>
    <x v="1"/>
    <x v="4"/>
    <n v="2"/>
    <n v="2"/>
    <x v="1"/>
    <n v="373.80000000055702"/>
    <x v="0"/>
    <n v="1556484"/>
    <n v="3000"/>
    <n v="20"/>
    <x v="0"/>
    <n v="356008.77"/>
    <x v="1858"/>
    <x v="1"/>
  </r>
  <r>
    <n v="69"/>
    <x v="1"/>
    <x v="4"/>
    <n v="2"/>
    <n v="3"/>
    <x v="1"/>
    <n v="458.79999999947103"/>
    <x v="0"/>
    <n v="1994440.99999999"/>
    <n v="3000"/>
    <n v="20"/>
    <x v="0"/>
    <n v="374548.37"/>
    <x v="1859"/>
    <x v="1"/>
  </r>
  <r>
    <n v="28"/>
    <x v="1"/>
    <x v="1"/>
    <n v="2"/>
    <n v="1"/>
    <x v="1"/>
    <n v="901.80000000010796"/>
    <x v="0"/>
    <n v="460677"/>
    <n v="5000"/>
    <n v="20"/>
    <x v="0"/>
    <n v="720529.97"/>
    <x v="1860"/>
    <x v="1"/>
  </r>
  <r>
    <n v="29"/>
    <x v="1"/>
    <x v="2"/>
    <n v="2"/>
    <n v="2"/>
    <x v="1"/>
    <n v="926.20000000032098"/>
    <x v="0"/>
    <n v="770229.00000000105"/>
    <n v="5000"/>
    <n v="20"/>
    <x v="0"/>
    <n v="743128.77"/>
    <x v="1861"/>
    <x v="1"/>
  </r>
  <r>
    <n v="30"/>
    <x v="1"/>
    <x v="2"/>
    <n v="2"/>
    <n v="3"/>
    <x v="1"/>
    <n v="922.99999999951899"/>
    <x v="0"/>
    <n v="1785648"/>
    <n v="5000"/>
    <n v="20"/>
    <x v="0"/>
    <n v="599527.56999999995"/>
    <x v="1862"/>
    <x v="1"/>
  </r>
  <r>
    <n v="31"/>
    <x v="1"/>
    <x v="2"/>
    <n v="2"/>
    <n v="1"/>
    <x v="1"/>
    <n v="780.99999999920999"/>
    <x v="0"/>
    <n v="634705.99999999802"/>
    <n v="5000"/>
    <n v="20"/>
    <x v="0"/>
    <n v="505127.17"/>
    <x v="1863"/>
    <x v="1"/>
  </r>
  <r>
    <n v="32"/>
    <x v="1"/>
    <x v="2"/>
    <n v="2"/>
    <n v="2"/>
    <x v="1"/>
    <n v="720.199999999949"/>
    <x v="0"/>
    <n v="1699059"/>
    <n v="5000"/>
    <n v="20"/>
    <x v="0"/>
    <n v="572927.56999999995"/>
    <x v="1864"/>
    <x v="1"/>
  </r>
  <r>
    <n v="33"/>
    <x v="1"/>
    <x v="2"/>
    <n v="2"/>
    <n v="3"/>
    <x v="1"/>
    <n v="762.79999999968595"/>
    <x v="0"/>
    <n v="1760464"/>
    <n v="5000"/>
    <n v="20"/>
    <x v="0"/>
    <n v="680127.97"/>
    <x v="1865"/>
    <x v="1"/>
  </r>
  <r>
    <n v="34"/>
    <x v="1"/>
    <x v="2"/>
    <n v="2"/>
    <n v="1"/>
    <x v="1"/>
    <n v="563.600000000264"/>
    <x v="0"/>
    <n v="567174.00000000105"/>
    <n v="5000"/>
    <n v="20"/>
    <x v="0"/>
    <n v="740728.37"/>
    <x v="1866"/>
    <x v="1"/>
  </r>
  <r>
    <n v="35"/>
    <x v="1"/>
    <x v="3"/>
    <n v="2"/>
    <n v="1"/>
    <x v="1"/>
    <n v="467.000000000439"/>
    <x v="0"/>
    <n v="1291090"/>
    <n v="5000"/>
    <n v="20"/>
    <x v="0"/>
    <n v="511027.57"/>
    <x v="1867"/>
    <x v="1"/>
  </r>
  <r>
    <n v="36"/>
    <x v="1"/>
    <x v="3"/>
    <n v="2"/>
    <n v="2"/>
    <x v="1"/>
    <n v="432.59999999953902"/>
    <x v="0"/>
    <n v="884944.99999999499"/>
    <n v="5000"/>
    <n v="20"/>
    <x v="0"/>
    <n v="787028.37"/>
    <x v="1868"/>
    <x v="1"/>
  </r>
  <r>
    <n v="37"/>
    <x v="1"/>
    <x v="3"/>
    <n v="2"/>
    <n v="3"/>
    <x v="1"/>
    <n v="535.40000000005296"/>
    <x v="0"/>
    <n v="1563006"/>
    <n v="5000"/>
    <n v="20"/>
    <x v="0"/>
    <n v="604927.97"/>
    <x v="1869"/>
    <x v="1"/>
  </r>
  <r>
    <n v="38"/>
    <x v="1"/>
    <x v="3"/>
    <n v="2"/>
    <n v="1"/>
    <x v="1"/>
    <n v="394.79999999976201"/>
    <x v="0"/>
    <n v="686184.00000000396"/>
    <n v="5000"/>
    <n v="20"/>
    <x v="0"/>
    <n v="589327.97"/>
    <x v="1870"/>
    <x v="1"/>
  </r>
  <r>
    <n v="39"/>
    <x v="1"/>
    <x v="4"/>
    <n v="2"/>
    <n v="1"/>
    <x v="1"/>
    <n v="470.600000000232"/>
    <x v="0"/>
    <n v="1346969"/>
    <n v="5000"/>
    <n v="20"/>
    <x v="0"/>
    <n v="617827.17000000004"/>
    <x v="1871"/>
    <x v="1"/>
  </r>
  <r>
    <n v="40"/>
    <x v="1"/>
    <x v="4"/>
    <n v="2"/>
    <n v="2"/>
    <x v="1"/>
    <n v="455.20000000074401"/>
    <x v="0"/>
    <n v="2734535"/>
    <n v="5000"/>
    <n v="20"/>
    <x v="0"/>
    <n v="780827.57"/>
    <x v="1872"/>
    <x v="1"/>
  </r>
  <r>
    <n v="41"/>
    <x v="1"/>
    <x v="4"/>
    <n v="2"/>
    <n v="3"/>
    <x v="1"/>
    <n v="556.20000000047298"/>
    <x v="0"/>
    <n v="2185385"/>
    <n v="5000"/>
    <n v="20"/>
    <x v="0"/>
    <n v="630628.37"/>
    <x v="1873"/>
    <x v="1"/>
  </r>
  <r>
    <n v="42"/>
    <x v="1"/>
    <x v="1"/>
    <n v="2"/>
    <n v="1"/>
    <x v="1"/>
    <n v="288.80000000022198"/>
    <x v="0"/>
    <n v="329124"/>
    <n v="5000"/>
    <n v="20"/>
    <x v="0"/>
    <n v="515926.77"/>
    <x v="1874"/>
    <x v="1"/>
  </r>
  <r>
    <n v="43"/>
    <x v="1"/>
    <x v="2"/>
    <n v="2"/>
    <n v="1"/>
    <x v="1"/>
    <n v="340.19999999976801"/>
    <x v="0"/>
    <n v="626666"/>
    <n v="5000"/>
    <n v="20"/>
    <x v="0"/>
    <n v="518127.17"/>
    <x v="1875"/>
    <x v="1"/>
  </r>
  <r>
    <n v="44"/>
    <x v="1"/>
    <x v="2"/>
    <n v="2"/>
    <n v="2"/>
    <x v="1"/>
    <n v="325.80000000024302"/>
    <x v="0"/>
    <n v="625314.00000000303"/>
    <n v="5000"/>
    <n v="20"/>
    <x v="0"/>
    <n v="542729.97"/>
    <x v="1876"/>
    <x v="1"/>
  </r>
  <r>
    <n v="45"/>
    <x v="1"/>
    <x v="2"/>
    <n v="2"/>
    <n v="3"/>
    <x v="1"/>
    <n v="420.79999999948802"/>
    <x v="0"/>
    <n v="1579966"/>
    <n v="5000"/>
    <n v="20"/>
    <x v="0"/>
    <n v="745427.17"/>
    <x v="1877"/>
    <x v="1"/>
  </r>
  <r>
    <n v="46"/>
    <x v="1"/>
    <x v="3"/>
    <n v="2"/>
    <n v="1"/>
    <x v="1"/>
    <n v="431.79999999978202"/>
    <x v="0"/>
    <n v="908150.99999999697"/>
    <n v="5000"/>
    <n v="20"/>
    <x v="0"/>
    <n v="462326.77"/>
    <x v="1878"/>
    <x v="1"/>
  </r>
  <r>
    <n v="47"/>
    <x v="1"/>
    <x v="3"/>
    <n v="2"/>
    <n v="2"/>
    <x v="1"/>
    <n v="392.80000000019299"/>
    <x v="0"/>
    <n v="835637.99999999604"/>
    <n v="5000"/>
    <n v="20"/>
    <x v="0"/>
    <n v="737229.97"/>
    <x v="1879"/>
    <x v="1"/>
  </r>
  <r>
    <n v="48"/>
    <x v="1"/>
    <x v="3"/>
    <n v="2"/>
    <n v="3"/>
    <x v="1"/>
    <n v="479.99999999994702"/>
    <x v="0"/>
    <n v="1313722.00000001"/>
    <n v="5000"/>
    <n v="20"/>
    <x v="0"/>
    <n v="812828.77"/>
    <x v="1880"/>
    <x v="1"/>
  </r>
  <r>
    <n v="49"/>
    <x v="1"/>
    <x v="3"/>
    <n v="2"/>
    <n v="1"/>
    <x v="1"/>
    <n v="379.40000000027402"/>
    <x v="0"/>
    <n v="1132380"/>
    <n v="5000"/>
    <n v="20"/>
    <x v="0"/>
    <n v="501927.97"/>
    <x v="1881"/>
    <x v="1"/>
  </r>
  <r>
    <n v="50"/>
    <x v="1"/>
    <x v="3"/>
    <n v="2"/>
    <n v="2"/>
    <x v="1"/>
    <n v="387.60000000017698"/>
    <x v="0"/>
    <n v="809797.00000000303"/>
    <n v="5000"/>
    <n v="20"/>
    <x v="0"/>
    <n v="562328.37"/>
    <x v="1882"/>
    <x v="1"/>
  </r>
  <r>
    <n v="51"/>
    <x v="1"/>
    <x v="3"/>
    <n v="2"/>
    <n v="3"/>
    <x v="1"/>
    <n v="476.39999999944399"/>
    <x v="0"/>
    <n v="1191722"/>
    <n v="5000"/>
    <n v="20"/>
    <x v="0"/>
    <n v="570125.17000000004"/>
    <x v="1883"/>
    <x v="1"/>
  </r>
  <r>
    <n v="52"/>
    <x v="1"/>
    <x v="4"/>
    <n v="2"/>
    <n v="1"/>
    <x v="1"/>
    <n v="407.79999999998"/>
    <x v="0"/>
    <n v="1069360"/>
    <n v="5000"/>
    <n v="20"/>
    <x v="0"/>
    <n v="607430.77"/>
    <x v="1884"/>
    <x v="1"/>
  </r>
  <r>
    <n v="53"/>
    <x v="1"/>
    <x v="4"/>
    <n v="2"/>
    <n v="2"/>
    <x v="1"/>
    <n v="396.99999999953701"/>
    <x v="0"/>
    <n v="2505793"/>
    <n v="5000"/>
    <n v="20"/>
    <x v="0"/>
    <n v="564328.77"/>
    <x v="1885"/>
    <x v="1"/>
  </r>
  <r>
    <n v="54"/>
    <x v="1"/>
    <x v="4"/>
    <n v="2"/>
    <n v="3"/>
    <x v="1"/>
    <n v="497.99999999997601"/>
    <x v="0"/>
    <n v="3244514"/>
    <n v="5000"/>
    <n v="20"/>
    <x v="0"/>
    <n v="507127.17"/>
    <x v="1886"/>
    <x v="1"/>
  </r>
  <r>
    <n v="55"/>
    <x v="1"/>
    <x v="2"/>
    <n v="2"/>
    <n v="1"/>
    <x v="1"/>
    <n v="289.40000000012799"/>
    <x v="0"/>
    <n v="783248"/>
    <n v="5000"/>
    <n v="20"/>
    <x v="0"/>
    <n v="493328.37"/>
    <x v="1887"/>
    <x v="1"/>
  </r>
  <r>
    <n v="56"/>
    <x v="1"/>
    <x v="2"/>
    <n v="2"/>
    <n v="2"/>
    <x v="1"/>
    <n v="287.00000000014802"/>
    <x v="0"/>
    <n v="544256.00000000396"/>
    <n v="5000"/>
    <n v="20"/>
    <x v="0"/>
    <n v="541827.97"/>
    <x v="1888"/>
    <x v="1"/>
  </r>
  <r>
    <n v="57"/>
    <x v="1"/>
    <x v="2"/>
    <n v="2"/>
    <n v="3"/>
    <x v="1"/>
    <n v="362.39999999949703"/>
    <x v="0"/>
    <n v="801326.00000000303"/>
    <n v="5000"/>
    <n v="20"/>
    <x v="0"/>
    <n v="772729.17"/>
    <x v="1889"/>
    <x v="1"/>
  </r>
  <r>
    <n v="58"/>
    <x v="1"/>
    <x v="3"/>
    <n v="2"/>
    <n v="1"/>
    <x v="1"/>
    <n v="340.79999999967498"/>
    <x v="0"/>
    <n v="868777.00000000198"/>
    <n v="5000"/>
    <n v="20"/>
    <x v="0"/>
    <n v="755929.17"/>
    <x v="1890"/>
    <x v="1"/>
  </r>
  <r>
    <n v="59"/>
    <x v="1"/>
    <x v="3"/>
    <n v="2"/>
    <n v="2"/>
    <x v="1"/>
    <n v="334.19999999999601"/>
    <x v="0"/>
    <n v="583774.00000000501"/>
    <n v="5000"/>
    <n v="20"/>
    <x v="0"/>
    <n v="596227.97"/>
    <x v="1891"/>
    <x v="1"/>
  </r>
  <r>
    <n v="60"/>
    <x v="1"/>
    <x v="3"/>
    <n v="2"/>
    <n v="3"/>
    <x v="1"/>
    <n v="401.39999999979602"/>
    <x v="0"/>
    <n v="2144212.9999999902"/>
    <n v="5000"/>
    <n v="20"/>
    <x v="0"/>
    <n v="781827.97"/>
    <x v="1892"/>
    <x v="1"/>
  </r>
  <r>
    <n v="61"/>
    <x v="1"/>
    <x v="4"/>
    <n v="2"/>
    <n v="1"/>
    <x v="1"/>
    <n v="364.79999999983198"/>
    <x v="0"/>
    <n v="2195942"/>
    <n v="5000"/>
    <n v="20"/>
    <x v="0"/>
    <n v="770527.57"/>
    <x v="1893"/>
    <x v="1"/>
  </r>
  <r>
    <n v="62"/>
    <x v="1"/>
    <x v="4"/>
    <n v="2"/>
    <n v="2"/>
    <x v="1"/>
    <n v="382.79999999950599"/>
    <x v="0"/>
    <n v="1972765"/>
    <n v="5000"/>
    <n v="20"/>
    <x v="0"/>
    <n v="577028.77"/>
    <x v="1894"/>
    <x v="1"/>
  </r>
  <r>
    <n v="63"/>
    <x v="1"/>
    <x v="4"/>
    <n v="2"/>
    <n v="3"/>
    <x v="1"/>
    <n v="469.999999999615"/>
    <x v="0"/>
    <n v="2183012.0000000098"/>
    <n v="5000"/>
    <n v="20"/>
    <x v="0"/>
    <n v="634926.37"/>
    <x v="1895"/>
    <x v="1"/>
  </r>
  <r>
    <n v="64"/>
    <x v="1"/>
    <x v="5"/>
    <n v="2"/>
    <n v="1"/>
    <x v="1"/>
    <n v="408.600000000092"/>
    <x v="0"/>
    <n v="1707695"/>
    <n v="5000"/>
    <n v="20"/>
    <x v="0"/>
    <n v="482026.77"/>
    <x v="1896"/>
    <x v="1"/>
  </r>
  <r>
    <n v="65"/>
    <x v="1"/>
    <x v="5"/>
    <n v="2"/>
    <n v="2"/>
    <x v="1"/>
    <n v="427.200000000383"/>
    <x v="0"/>
    <n v="1389962.99999999"/>
    <n v="5000"/>
    <n v="20"/>
    <x v="0"/>
    <n v="609626.77"/>
    <x v="1897"/>
    <x v="1"/>
  </r>
  <r>
    <n v="66"/>
    <x v="1"/>
    <x v="5"/>
    <n v="2"/>
    <n v="3"/>
    <x v="1"/>
    <n v="553.79999999942697"/>
    <x v="0"/>
    <n v="1964170.00000001"/>
    <n v="5000"/>
    <n v="20"/>
    <x v="0"/>
    <n v="651827.17000000004"/>
    <x v="1898"/>
    <x v="1"/>
  </r>
  <r>
    <n v="67"/>
    <x v="1"/>
    <x v="4"/>
    <n v="2"/>
    <n v="1"/>
    <x v="1"/>
    <n v="358.99999999990899"/>
    <x v="0"/>
    <n v="937139.00000000198"/>
    <n v="5000"/>
    <n v="20"/>
    <x v="0"/>
    <n v="466628.37"/>
    <x v="1899"/>
    <x v="1"/>
  </r>
  <r>
    <n v="68"/>
    <x v="1"/>
    <x v="4"/>
    <n v="2"/>
    <n v="2"/>
    <x v="1"/>
    <n v="373.80000000055702"/>
    <x v="0"/>
    <n v="1556484"/>
    <n v="5000"/>
    <n v="20"/>
    <x v="0"/>
    <n v="582728.37"/>
    <x v="1900"/>
    <x v="1"/>
  </r>
  <r>
    <n v="69"/>
    <x v="1"/>
    <x v="4"/>
    <n v="2"/>
    <n v="3"/>
    <x v="1"/>
    <n v="458.79999999947103"/>
    <x v="0"/>
    <n v="1994440.99999999"/>
    <n v="5000"/>
    <n v="20"/>
    <x v="0"/>
    <n v="613627.56999999995"/>
    <x v="1901"/>
    <x v="1"/>
  </r>
  <r>
    <n v="28"/>
    <x v="1"/>
    <x v="1"/>
    <n v="2"/>
    <n v="1"/>
    <x v="1"/>
    <n v="901.80000000010796"/>
    <x v="0"/>
    <n v="460677"/>
    <n v="1000"/>
    <n v="500"/>
    <x v="0"/>
    <n v="636847.97"/>
    <x v="1902"/>
    <x v="1"/>
  </r>
  <r>
    <n v="29"/>
    <x v="1"/>
    <x v="2"/>
    <n v="2"/>
    <n v="2"/>
    <x v="1"/>
    <n v="926.20000000032098"/>
    <x v="0"/>
    <n v="770229.00000000105"/>
    <n v="1000"/>
    <n v="500"/>
    <x v="0"/>
    <n v="641367.56999999995"/>
    <x v="1903"/>
    <x v="1"/>
  </r>
  <r>
    <n v="30"/>
    <x v="1"/>
    <x v="2"/>
    <n v="2"/>
    <n v="3"/>
    <x v="1"/>
    <n v="922.99999999951899"/>
    <x v="0"/>
    <n v="1785648"/>
    <n v="1000"/>
    <n v="500"/>
    <x v="0"/>
    <n v="612645.56999999995"/>
    <x v="1904"/>
    <x v="1"/>
  </r>
  <r>
    <n v="31"/>
    <x v="1"/>
    <x v="2"/>
    <n v="2"/>
    <n v="1"/>
    <x v="1"/>
    <n v="780.99999999920999"/>
    <x v="0"/>
    <n v="634705.99999999802"/>
    <n v="1000"/>
    <n v="500"/>
    <x v="0"/>
    <n v="593766.37"/>
    <x v="1905"/>
    <x v="1"/>
  </r>
  <r>
    <n v="32"/>
    <x v="1"/>
    <x v="2"/>
    <n v="2"/>
    <n v="2"/>
    <x v="1"/>
    <n v="720.199999999949"/>
    <x v="0"/>
    <n v="1699059"/>
    <n v="1000"/>
    <n v="500"/>
    <x v="0"/>
    <n v="607326.77"/>
    <x v="1906"/>
    <x v="1"/>
  </r>
  <r>
    <n v="33"/>
    <x v="1"/>
    <x v="2"/>
    <n v="2"/>
    <n v="3"/>
    <x v="1"/>
    <n v="762.79999999968595"/>
    <x v="0"/>
    <n v="1760464"/>
    <n v="1000"/>
    <n v="500"/>
    <x v="0"/>
    <n v="628766.77"/>
    <x v="1907"/>
    <x v="1"/>
  </r>
  <r>
    <n v="34"/>
    <x v="1"/>
    <x v="2"/>
    <n v="2"/>
    <n v="1"/>
    <x v="1"/>
    <n v="563.600000000264"/>
    <x v="0"/>
    <n v="567174.00000000105"/>
    <n v="1000"/>
    <n v="500"/>
    <x v="0"/>
    <n v="640886.77"/>
    <x v="1908"/>
    <x v="1"/>
  </r>
  <r>
    <n v="35"/>
    <x v="1"/>
    <x v="3"/>
    <n v="2"/>
    <n v="1"/>
    <x v="1"/>
    <n v="467.000000000439"/>
    <x v="0"/>
    <n v="1291090"/>
    <n v="1000"/>
    <n v="500"/>
    <x v="0"/>
    <n v="594945.97"/>
    <x v="1909"/>
    <x v="1"/>
  </r>
  <r>
    <n v="36"/>
    <x v="1"/>
    <x v="3"/>
    <n v="2"/>
    <n v="2"/>
    <x v="1"/>
    <n v="432.59999999953902"/>
    <x v="0"/>
    <n v="884944.99999999499"/>
    <n v="1000"/>
    <n v="500"/>
    <x v="0"/>
    <n v="650145.97"/>
    <x v="1910"/>
    <x v="1"/>
  </r>
  <r>
    <n v="37"/>
    <x v="1"/>
    <x v="3"/>
    <n v="2"/>
    <n v="3"/>
    <x v="1"/>
    <n v="535.40000000005296"/>
    <x v="0"/>
    <n v="1563006"/>
    <n v="1000"/>
    <n v="500"/>
    <x v="0"/>
    <n v="613727.97"/>
    <x v="1911"/>
    <x v="1"/>
  </r>
  <r>
    <n v="38"/>
    <x v="1"/>
    <x v="3"/>
    <n v="2"/>
    <n v="1"/>
    <x v="1"/>
    <n v="394.79999999976201"/>
    <x v="0"/>
    <n v="686184.00000000396"/>
    <n v="1000"/>
    <n v="500"/>
    <x v="0"/>
    <n v="610607.17000000004"/>
    <x v="1912"/>
    <x v="1"/>
  </r>
  <r>
    <n v="39"/>
    <x v="1"/>
    <x v="4"/>
    <n v="2"/>
    <n v="1"/>
    <x v="1"/>
    <n v="470.600000000232"/>
    <x v="0"/>
    <n v="1346969"/>
    <n v="1000"/>
    <n v="500"/>
    <x v="0"/>
    <n v="616307.17000000004"/>
    <x v="1913"/>
    <x v="1"/>
  </r>
  <r>
    <n v="40"/>
    <x v="1"/>
    <x v="4"/>
    <n v="2"/>
    <n v="2"/>
    <x v="1"/>
    <n v="455.20000000074401"/>
    <x v="0"/>
    <n v="2734535"/>
    <n v="1000"/>
    <n v="500"/>
    <x v="0"/>
    <n v="648905.56999999995"/>
    <x v="1914"/>
    <x v="1"/>
  </r>
  <r>
    <n v="41"/>
    <x v="1"/>
    <x v="4"/>
    <n v="2"/>
    <n v="3"/>
    <x v="1"/>
    <n v="556.20000000047298"/>
    <x v="0"/>
    <n v="2185385"/>
    <n v="1000"/>
    <n v="500"/>
    <x v="0"/>
    <n v="618867.56999999995"/>
    <x v="1915"/>
    <x v="1"/>
  </r>
  <r>
    <n v="42"/>
    <x v="1"/>
    <x v="1"/>
    <n v="2"/>
    <n v="1"/>
    <x v="1"/>
    <n v="288.80000000022198"/>
    <x v="0"/>
    <n v="329124"/>
    <n v="1000"/>
    <n v="500"/>
    <x v="0"/>
    <n v="595924.77"/>
    <x v="1916"/>
    <x v="1"/>
  </r>
  <r>
    <n v="43"/>
    <x v="1"/>
    <x v="2"/>
    <n v="2"/>
    <n v="1"/>
    <x v="1"/>
    <n v="340.19999999976801"/>
    <x v="0"/>
    <n v="626666"/>
    <n v="1000"/>
    <n v="500"/>
    <x v="0"/>
    <n v="596365.56999999995"/>
    <x v="1917"/>
    <x v="1"/>
  </r>
  <r>
    <n v="44"/>
    <x v="1"/>
    <x v="2"/>
    <n v="2"/>
    <n v="2"/>
    <x v="1"/>
    <n v="325.80000000024302"/>
    <x v="0"/>
    <n v="625314.00000000303"/>
    <n v="1000"/>
    <n v="500"/>
    <x v="0"/>
    <n v="601288.77"/>
    <x v="1918"/>
    <x v="1"/>
  </r>
  <r>
    <n v="45"/>
    <x v="1"/>
    <x v="2"/>
    <n v="2"/>
    <n v="3"/>
    <x v="1"/>
    <n v="420.79999999948802"/>
    <x v="0"/>
    <n v="1579966"/>
    <n v="1000"/>
    <n v="500"/>
    <x v="0"/>
    <n v="641824.77"/>
    <x v="1919"/>
    <x v="1"/>
  </r>
  <r>
    <n v="46"/>
    <x v="1"/>
    <x v="3"/>
    <n v="2"/>
    <n v="1"/>
    <x v="1"/>
    <n v="431.79999999978202"/>
    <x v="0"/>
    <n v="908150.99999999697"/>
    <n v="1000"/>
    <n v="500"/>
    <x v="0"/>
    <n v="585206.37"/>
    <x v="1920"/>
    <x v="1"/>
  </r>
  <r>
    <n v="47"/>
    <x v="1"/>
    <x v="3"/>
    <n v="2"/>
    <n v="2"/>
    <x v="1"/>
    <n v="392.80000000019299"/>
    <x v="0"/>
    <n v="835637.99999999604"/>
    <n v="1000"/>
    <n v="500"/>
    <x v="0"/>
    <n v="640187.56999999995"/>
    <x v="1921"/>
    <x v="1"/>
  </r>
  <r>
    <n v="48"/>
    <x v="1"/>
    <x v="3"/>
    <n v="2"/>
    <n v="3"/>
    <x v="1"/>
    <n v="479.99999999994702"/>
    <x v="0"/>
    <n v="1313722.00000001"/>
    <n v="1000"/>
    <n v="500"/>
    <x v="0"/>
    <n v="655307.56999999995"/>
    <x v="1922"/>
    <x v="1"/>
  </r>
  <r>
    <n v="49"/>
    <x v="1"/>
    <x v="3"/>
    <n v="2"/>
    <n v="1"/>
    <x v="1"/>
    <n v="379.40000000027402"/>
    <x v="0"/>
    <n v="1132380"/>
    <n v="1000"/>
    <n v="500"/>
    <x v="0"/>
    <n v="593125.17000000004"/>
    <x v="1923"/>
    <x v="1"/>
  </r>
  <r>
    <n v="50"/>
    <x v="1"/>
    <x v="3"/>
    <n v="2"/>
    <n v="2"/>
    <x v="1"/>
    <n v="387.60000000017698"/>
    <x v="0"/>
    <n v="809797.00000000303"/>
    <n v="1000"/>
    <n v="500"/>
    <x v="0"/>
    <n v="605207.17000000004"/>
    <x v="1924"/>
    <x v="1"/>
  </r>
  <r>
    <n v="51"/>
    <x v="1"/>
    <x v="3"/>
    <n v="2"/>
    <n v="3"/>
    <x v="1"/>
    <n v="476.39999999944399"/>
    <x v="0"/>
    <n v="1191722"/>
    <n v="1000"/>
    <n v="500"/>
    <x v="0"/>
    <n v="606765.56999999995"/>
    <x v="1925"/>
    <x v="1"/>
  </r>
  <r>
    <n v="52"/>
    <x v="1"/>
    <x v="4"/>
    <n v="2"/>
    <n v="1"/>
    <x v="1"/>
    <n v="407.79999999998"/>
    <x v="0"/>
    <n v="1069360"/>
    <n v="1000"/>
    <n v="500"/>
    <x v="0"/>
    <n v="614228.77"/>
    <x v="1926"/>
    <x v="1"/>
  </r>
  <r>
    <n v="53"/>
    <x v="1"/>
    <x v="4"/>
    <n v="2"/>
    <n v="2"/>
    <x v="1"/>
    <n v="396.99999999953701"/>
    <x v="0"/>
    <n v="2505793"/>
    <n v="1000"/>
    <n v="500"/>
    <x v="0"/>
    <n v="605607.56999999995"/>
    <x v="1927"/>
    <x v="1"/>
  </r>
  <r>
    <n v="54"/>
    <x v="1"/>
    <x v="4"/>
    <n v="2"/>
    <n v="3"/>
    <x v="1"/>
    <n v="497.99999999997601"/>
    <x v="0"/>
    <n v="3244514"/>
    <n v="1000"/>
    <n v="500"/>
    <x v="0"/>
    <n v="594165.17000000004"/>
    <x v="1928"/>
    <x v="1"/>
  </r>
  <r>
    <n v="55"/>
    <x v="1"/>
    <x v="2"/>
    <n v="2"/>
    <n v="1"/>
    <x v="1"/>
    <n v="289.40000000012799"/>
    <x v="0"/>
    <n v="783248"/>
    <n v="1000"/>
    <n v="500"/>
    <x v="0"/>
    <n v="591406.77"/>
    <x v="1929"/>
    <x v="1"/>
  </r>
  <r>
    <n v="56"/>
    <x v="1"/>
    <x v="2"/>
    <n v="2"/>
    <n v="2"/>
    <x v="1"/>
    <n v="287.00000000014802"/>
    <x v="0"/>
    <n v="544256.00000000396"/>
    <n v="1000"/>
    <n v="500"/>
    <x v="0"/>
    <n v="601106.77"/>
    <x v="1930"/>
    <x v="1"/>
  </r>
  <r>
    <n v="57"/>
    <x v="1"/>
    <x v="2"/>
    <n v="2"/>
    <n v="3"/>
    <x v="1"/>
    <n v="362.39999999949703"/>
    <x v="0"/>
    <n v="801326.00000000303"/>
    <n v="1000"/>
    <n v="500"/>
    <x v="0"/>
    <n v="647287.56999999995"/>
    <x v="1931"/>
    <x v="1"/>
  </r>
  <r>
    <n v="58"/>
    <x v="1"/>
    <x v="3"/>
    <n v="2"/>
    <n v="1"/>
    <x v="1"/>
    <n v="340.79999999967498"/>
    <x v="0"/>
    <n v="868777.00000000198"/>
    <n v="1000"/>
    <n v="500"/>
    <x v="0"/>
    <n v="643928.37"/>
    <x v="1932"/>
    <x v="1"/>
  </r>
  <r>
    <n v="59"/>
    <x v="1"/>
    <x v="3"/>
    <n v="2"/>
    <n v="2"/>
    <x v="1"/>
    <n v="334.19999999999601"/>
    <x v="0"/>
    <n v="583774.00000000501"/>
    <n v="1000"/>
    <n v="500"/>
    <x v="0"/>
    <n v="611987.17000000004"/>
    <x v="1933"/>
    <x v="1"/>
  </r>
  <r>
    <n v="60"/>
    <x v="1"/>
    <x v="3"/>
    <n v="2"/>
    <n v="3"/>
    <x v="1"/>
    <n v="401.39999999979602"/>
    <x v="0"/>
    <n v="2144212.9999999902"/>
    <n v="1000"/>
    <n v="500"/>
    <x v="0"/>
    <n v="649106.77"/>
    <x v="1934"/>
    <x v="1"/>
  </r>
  <r>
    <n v="61"/>
    <x v="1"/>
    <x v="4"/>
    <n v="2"/>
    <n v="1"/>
    <x v="1"/>
    <n v="364.79999999983198"/>
    <x v="0"/>
    <n v="2195942"/>
    <n v="1000"/>
    <n v="500"/>
    <x v="0"/>
    <n v="646845.56999999995"/>
    <x v="1935"/>
    <x v="1"/>
  </r>
  <r>
    <n v="62"/>
    <x v="1"/>
    <x v="4"/>
    <n v="2"/>
    <n v="2"/>
    <x v="1"/>
    <n v="382.79999999950599"/>
    <x v="0"/>
    <n v="1972765"/>
    <n v="1000"/>
    <n v="500"/>
    <x v="0"/>
    <n v="608148.77"/>
    <x v="1936"/>
    <x v="1"/>
  </r>
  <r>
    <n v="63"/>
    <x v="1"/>
    <x v="4"/>
    <n v="2"/>
    <n v="3"/>
    <x v="1"/>
    <n v="469.999999999615"/>
    <x v="0"/>
    <n v="2183012.0000000098"/>
    <n v="1000"/>
    <n v="500"/>
    <x v="0"/>
    <n v="619724.77"/>
    <x v="1937"/>
    <x v="1"/>
  </r>
  <r>
    <n v="64"/>
    <x v="1"/>
    <x v="5"/>
    <n v="2"/>
    <n v="1"/>
    <x v="1"/>
    <n v="408.600000000092"/>
    <x v="0"/>
    <n v="1707695"/>
    <n v="1000"/>
    <n v="500"/>
    <x v="0"/>
    <n v="589145.17000000004"/>
    <x v="1938"/>
    <x v="1"/>
  </r>
  <r>
    <n v="65"/>
    <x v="1"/>
    <x v="5"/>
    <n v="2"/>
    <n v="2"/>
    <x v="1"/>
    <n v="427.200000000383"/>
    <x v="0"/>
    <n v="1389962.99999999"/>
    <n v="1000"/>
    <n v="500"/>
    <x v="0"/>
    <n v="614665.97"/>
    <x v="1939"/>
    <x v="1"/>
  </r>
  <r>
    <n v="66"/>
    <x v="1"/>
    <x v="5"/>
    <n v="2"/>
    <n v="3"/>
    <x v="1"/>
    <n v="553.79999999942697"/>
    <x v="0"/>
    <n v="1964170.00000001"/>
    <n v="1000"/>
    <n v="500"/>
    <x v="0"/>
    <n v="623106.77"/>
    <x v="1940"/>
    <x v="1"/>
  </r>
  <r>
    <n v="67"/>
    <x v="1"/>
    <x v="4"/>
    <n v="2"/>
    <n v="1"/>
    <x v="1"/>
    <n v="358.99999999990899"/>
    <x v="0"/>
    <n v="937139.00000000198"/>
    <n v="1000"/>
    <n v="500"/>
    <x v="0"/>
    <n v="586066.37"/>
    <x v="1941"/>
    <x v="1"/>
  </r>
  <r>
    <n v="68"/>
    <x v="1"/>
    <x v="4"/>
    <n v="2"/>
    <n v="2"/>
    <x v="1"/>
    <n v="373.80000000055702"/>
    <x v="0"/>
    <n v="1556484"/>
    <n v="1000"/>
    <n v="500"/>
    <x v="0"/>
    <n v="609288.37"/>
    <x v="1942"/>
    <x v="1"/>
  </r>
  <r>
    <n v="69"/>
    <x v="1"/>
    <x v="4"/>
    <n v="2"/>
    <n v="3"/>
    <x v="1"/>
    <n v="458.79999999947103"/>
    <x v="0"/>
    <n v="1994440.99999999"/>
    <n v="1000"/>
    <n v="500"/>
    <x v="0"/>
    <n v="615467.97"/>
    <x v="1943"/>
    <x v="1"/>
  </r>
  <r>
    <n v="28"/>
    <x v="1"/>
    <x v="1"/>
    <n v="2"/>
    <n v="1"/>
    <x v="1"/>
    <n v="901.80000000010796"/>
    <x v="0"/>
    <n v="460677"/>
    <n v="2000"/>
    <n v="200"/>
    <x v="0"/>
    <n v="657767.97"/>
    <x v="1944"/>
    <x v="1"/>
  </r>
  <r>
    <n v="29"/>
    <x v="1"/>
    <x v="2"/>
    <n v="2"/>
    <n v="2"/>
    <x v="1"/>
    <n v="926.20000000032098"/>
    <x v="0"/>
    <n v="770229.00000000105"/>
    <n v="2000"/>
    <n v="200"/>
    <x v="0"/>
    <n v="666807.56999999995"/>
    <x v="1945"/>
    <x v="1"/>
  </r>
  <r>
    <n v="30"/>
    <x v="1"/>
    <x v="2"/>
    <n v="2"/>
    <n v="3"/>
    <x v="1"/>
    <n v="922.99999999951899"/>
    <x v="0"/>
    <n v="1785648"/>
    <n v="2000"/>
    <n v="200"/>
    <x v="0"/>
    <n v="609365.56999999995"/>
    <x v="1946"/>
    <x v="1"/>
  </r>
  <r>
    <n v="31"/>
    <x v="1"/>
    <x v="2"/>
    <n v="2"/>
    <n v="1"/>
    <x v="1"/>
    <n v="780.99999999920999"/>
    <x v="0"/>
    <n v="634705.99999999802"/>
    <n v="2000"/>
    <n v="200"/>
    <x v="0"/>
    <n v="571606.37"/>
    <x v="1947"/>
    <x v="1"/>
  </r>
  <r>
    <n v="32"/>
    <x v="1"/>
    <x v="2"/>
    <n v="2"/>
    <n v="2"/>
    <x v="1"/>
    <n v="720.199999999949"/>
    <x v="0"/>
    <n v="1699059"/>
    <n v="2000"/>
    <n v="200"/>
    <x v="0"/>
    <n v="598726.77"/>
    <x v="1948"/>
    <x v="1"/>
  </r>
  <r>
    <n v="33"/>
    <x v="1"/>
    <x v="2"/>
    <n v="2"/>
    <n v="3"/>
    <x v="1"/>
    <n v="762.79999999968595"/>
    <x v="0"/>
    <n v="1760464"/>
    <n v="2000"/>
    <n v="200"/>
    <x v="0"/>
    <n v="641606.77"/>
    <x v="1949"/>
    <x v="1"/>
  </r>
  <r>
    <n v="34"/>
    <x v="1"/>
    <x v="2"/>
    <n v="2"/>
    <n v="1"/>
    <x v="1"/>
    <n v="563.600000000264"/>
    <x v="0"/>
    <n v="567174.00000000105"/>
    <n v="2000"/>
    <n v="200"/>
    <x v="0"/>
    <n v="665846.77"/>
    <x v="1950"/>
    <x v="1"/>
  </r>
  <r>
    <n v="35"/>
    <x v="1"/>
    <x v="3"/>
    <n v="2"/>
    <n v="1"/>
    <x v="1"/>
    <n v="467.000000000439"/>
    <x v="0"/>
    <n v="1291090"/>
    <n v="2000"/>
    <n v="200"/>
    <x v="0"/>
    <n v="573965.97"/>
    <x v="1951"/>
    <x v="1"/>
  </r>
  <r>
    <n v="36"/>
    <x v="1"/>
    <x v="3"/>
    <n v="2"/>
    <n v="2"/>
    <x v="1"/>
    <n v="432.59999999953902"/>
    <x v="0"/>
    <n v="884944.99999999499"/>
    <n v="2000"/>
    <n v="200"/>
    <x v="0"/>
    <n v="684365.97"/>
    <x v="1952"/>
    <x v="1"/>
  </r>
  <r>
    <n v="37"/>
    <x v="1"/>
    <x v="3"/>
    <n v="2"/>
    <n v="3"/>
    <x v="1"/>
    <n v="535.40000000005296"/>
    <x v="0"/>
    <n v="1563006"/>
    <n v="2000"/>
    <n v="200"/>
    <x v="0"/>
    <n v="611527.97"/>
    <x v="1953"/>
    <x v="1"/>
  </r>
  <r>
    <n v="38"/>
    <x v="1"/>
    <x v="3"/>
    <n v="2"/>
    <n v="1"/>
    <x v="1"/>
    <n v="394.79999999976201"/>
    <x v="0"/>
    <n v="686184.00000000396"/>
    <n v="2000"/>
    <n v="200"/>
    <x v="0"/>
    <n v="605287.17000000004"/>
    <x v="1954"/>
    <x v="1"/>
  </r>
  <r>
    <n v="39"/>
    <x v="1"/>
    <x v="4"/>
    <n v="2"/>
    <n v="1"/>
    <x v="1"/>
    <n v="470.600000000232"/>
    <x v="0"/>
    <n v="1346969"/>
    <n v="2000"/>
    <n v="200"/>
    <x v="0"/>
    <n v="616687.17000000004"/>
    <x v="1955"/>
    <x v="1"/>
  </r>
  <r>
    <n v="40"/>
    <x v="1"/>
    <x v="4"/>
    <n v="2"/>
    <n v="2"/>
    <x v="1"/>
    <n v="455.20000000074401"/>
    <x v="0"/>
    <n v="2734535"/>
    <n v="2000"/>
    <n v="200"/>
    <x v="0"/>
    <n v="681885.57"/>
    <x v="1956"/>
    <x v="1"/>
  </r>
  <r>
    <n v="41"/>
    <x v="1"/>
    <x v="4"/>
    <n v="2"/>
    <n v="3"/>
    <x v="1"/>
    <n v="556.20000000047298"/>
    <x v="0"/>
    <n v="2185385"/>
    <n v="2000"/>
    <n v="200"/>
    <x v="0"/>
    <n v="621807.56999999995"/>
    <x v="1957"/>
    <x v="1"/>
  </r>
  <r>
    <n v="42"/>
    <x v="1"/>
    <x v="1"/>
    <n v="2"/>
    <n v="1"/>
    <x v="1"/>
    <n v="288.80000000022198"/>
    <x v="0"/>
    <n v="329124"/>
    <n v="2000"/>
    <n v="200"/>
    <x v="0"/>
    <n v="575924.77"/>
    <x v="1958"/>
    <x v="1"/>
  </r>
  <r>
    <n v="43"/>
    <x v="1"/>
    <x v="2"/>
    <n v="2"/>
    <n v="1"/>
    <x v="1"/>
    <n v="340.19999999976801"/>
    <x v="0"/>
    <n v="626666"/>
    <n v="2000"/>
    <n v="200"/>
    <x v="0"/>
    <n v="576805.56999999995"/>
    <x v="1959"/>
    <x v="1"/>
  </r>
  <r>
    <n v="44"/>
    <x v="1"/>
    <x v="2"/>
    <n v="2"/>
    <n v="2"/>
    <x v="1"/>
    <n v="325.80000000024302"/>
    <x v="0"/>
    <n v="625314.00000000303"/>
    <n v="2000"/>
    <n v="200"/>
    <x v="0"/>
    <n v="586648.77"/>
    <x v="1960"/>
    <x v="1"/>
  </r>
  <r>
    <n v="45"/>
    <x v="1"/>
    <x v="2"/>
    <n v="2"/>
    <n v="3"/>
    <x v="1"/>
    <n v="420.79999999948802"/>
    <x v="0"/>
    <n v="1579966"/>
    <n v="2000"/>
    <n v="200"/>
    <x v="0"/>
    <n v="667724.77"/>
    <x v="1961"/>
    <x v="1"/>
  </r>
  <r>
    <n v="46"/>
    <x v="1"/>
    <x v="3"/>
    <n v="2"/>
    <n v="1"/>
    <x v="1"/>
    <n v="431.79999999978202"/>
    <x v="0"/>
    <n v="908150.99999999697"/>
    <n v="2000"/>
    <n v="200"/>
    <x v="0"/>
    <n v="554486.37"/>
    <x v="1962"/>
    <x v="1"/>
  </r>
  <r>
    <n v="47"/>
    <x v="1"/>
    <x v="3"/>
    <n v="2"/>
    <n v="2"/>
    <x v="1"/>
    <n v="392.80000000019299"/>
    <x v="0"/>
    <n v="835637.99999999604"/>
    <n v="2000"/>
    <n v="200"/>
    <x v="0"/>
    <n v="664447.56999999995"/>
    <x v="1963"/>
    <x v="1"/>
  </r>
  <r>
    <n v="48"/>
    <x v="1"/>
    <x v="3"/>
    <n v="2"/>
    <n v="3"/>
    <x v="1"/>
    <n v="479.99999999994702"/>
    <x v="0"/>
    <n v="1313722.00000001"/>
    <n v="2000"/>
    <n v="200"/>
    <x v="0"/>
    <n v="694687.57"/>
    <x v="1964"/>
    <x v="1"/>
  </r>
  <r>
    <n v="49"/>
    <x v="1"/>
    <x v="3"/>
    <n v="2"/>
    <n v="1"/>
    <x v="1"/>
    <n v="379.40000000027402"/>
    <x v="0"/>
    <n v="1132380"/>
    <n v="2000"/>
    <n v="200"/>
    <x v="0"/>
    <n v="570325.17000000004"/>
    <x v="1965"/>
    <x v="1"/>
  </r>
  <r>
    <n v="50"/>
    <x v="1"/>
    <x v="3"/>
    <n v="2"/>
    <n v="2"/>
    <x v="1"/>
    <n v="387.60000000017698"/>
    <x v="0"/>
    <n v="809797.00000000303"/>
    <n v="2000"/>
    <n v="200"/>
    <x v="0"/>
    <n v="594487.17000000004"/>
    <x v="1966"/>
    <x v="1"/>
  </r>
  <r>
    <n v="51"/>
    <x v="1"/>
    <x v="3"/>
    <n v="2"/>
    <n v="3"/>
    <x v="1"/>
    <n v="476.39999999944399"/>
    <x v="0"/>
    <n v="1191722"/>
    <n v="2000"/>
    <n v="200"/>
    <x v="0"/>
    <n v="597605.56999999995"/>
    <x v="1967"/>
    <x v="1"/>
  </r>
  <r>
    <n v="52"/>
    <x v="1"/>
    <x v="4"/>
    <n v="2"/>
    <n v="1"/>
    <x v="1"/>
    <n v="407.79999999998"/>
    <x v="0"/>
    <n v="1069360"/>
    <n v="2000"/>
    <n v="200"/>
    <x v="0"/>
    <n v="612528.77"/>
    <x v="1968"/>
    <x v="1"/>
  </r>
  <r>
    <n v="53"/>
    <x v="1"/>
    <x v="4"/>
    <n v="2"/>
    <n v="2"/>
    <x v="1"/>
    <n v="396.99999999953701"/>
    <x v="0"/>
    <n v="2505793"/>
    <n v="2000"/>
    <n v="200"/>
    <x v="0"/>
    <n v="595287.56999999995"/>
    <x v="1969"/>
    <x v="1"/>
  </r>
  <r>
    <n v="54"/>
    <x v="1"/>
    <x v="4"/>
    <n v="2"/>
    <n v="3"/>
    <x v="1"/>
    <n v="497.99999999997601"/>
    <x v="0"/>
    <n v="3244514"/>
    <n v="2000"/>
    <n v="200"/>
    <x v="0"/>
    <n v="572405.17000000004"/>
    <x v="1970"/>
    <x v="1"/>
  </r>
  <r>
    <n v="55"/>
    <x v="1"/>
    <x v="2"/>
    <n v="2"/>
    <n v="1"/>
    <x v="1"/>
    <n v="289.40000000012799"/>
    <x v="0"/>
    <n v="783248"/>
    <n v="2000"/>
    <n v="200"/>
    <x v="0"/>
    <n v="566886.77"/>
    <x v="1971"/>
    <x v="1"/>
  </r>
  <r>
    <n v="56"/>
    <x v="1"/>
    <x v="2"/>
    <n v="2"/>
    <n v="2"/>
    <x v="1"/>
    <n v="287.00000000014802"/>
    <x v="0"/>
    <n v="544256.00000000396"/>
    <n v="2000"/>
    <n v="200"/>
    <x v="0"/>
    <n v="586286.77"/>
    <x v="1972"/>
    <x v="1"/>
  </r>
  <r>
    <n v="57"/>
    <x v="1"/>
    <x v="2"/>
    <n v="2"/>
    <n v="3"/>
    <x v="1"/>
    <n v="362.39999999949703"/>
    <x v="0"/>
    <n v="801326.00000000303"/>
    <n v="2000"/>
    <n v="200"/>
    <x v="0"/>
    <n v="678647.57"/>
    <x v="1973"/>
    <x v="1"/>
  </r>
  <r>
    <n v="58"/>
    <x v="1"/>
    <x v="3"/>
    <n v="2"/>
    <n v="1"/>
    <x v="1"/>
    <n v="340.79999999967498"/>
    <x v="0"/>
    <n v="868777.00000000198"/>
    <n v="2000"/>
    <n v="200"/>
    <x v="0"/>
    <n v="671928.37"/>
    <x v="1974"/>
    <x v="1"/>
  </r>
  <r>
    <n v="59"/>
    <x v="1"/>
    <x v="3"/>
    <n v="2"/>
    <n v="2"/>
    <x v="1"/>
    <n v="334.19999999999601"/>
    <x v="0"/>
    <n v="583774.00000000501"/>
    <n v="2000"/>
    <n v="200"/>
    <x v="0"/>
    <n v="608047.17000000004"/>
    <x v="1975"/>
    <x v="1"/>
  </r>
  <r>
    <n v="60"/>
    <x v="1"/>
    <x v="3"/>
    <n v="2"/>
    <n v="3"/>
    <x v="1"/>
    <n v="401.39999999979602"/>
    <x v="0"/>
    <n v="2144212.9999999902"/>
    <n v="2000"/>
    <n v="200"/>
    <x v="0"/>
    <n v="682286.77"/>
    <x v="1976"/>
    <x v="1"/>
  </r>
  <r>
    <n v="61"/>
    <x v="1"/>
    <x v="4"/>
    <n v="2"/>
    <n v="1"/>
    <x v="1"/>
    <n v="364.79999999983198"/>
    <x v="0"/>
    <n v="2195942"/>
    <n v="2000"/>
    <n v="200"/>
    <x v="0"/>
    <n v="677765.57"/>
    <x v="1977"/>
    <x v="1"/>
  </r>
  <r>
    <n v="62"/>
    <x v="1"/>
    <x v="4"/>
    <n v="2"/>
    <n v="2"/>
    <x v="1"/>
    <n v="382.79999999950599"/>
    <x v="0"/>
    <n v="1972765"/>
    <n v="2000"/>
    <n v="200"/>
    <x v="0"/>
    <n v="600368.77"/>
    <x v="1978"/>
    <x v="1"/>
  </r>
  <r>
    <n v="63"/>
    <x v="1"/>
    <x v="4"/>
    <n v="2"/>
    <n v="3"/>
    <x v="1"/>
    <n v="469.999999999615"/>
    <x v="0"/>
    <n v="2183012.0000000098"/>
    <n v="2000"/>
    <n v="200"/>
    <x v="0"/>
    <n v="623524.77"/>
    <x v="1979"/>
    <x v="1"/>
  </r>
  <r>
    <n v="64"/>
    <x v="1"/>
    <x v="5"/>
    <n v="2"/>
    <n v="1"/>
    <x v="1"/>
    <n v="408.600000000092"/>
    <x v="0"/>
    <n v="1707695"/>
    <n v="2000"/>
    <n v="200"/>
    <x v="0"/>
    <n v="562365.17000000004"/>
    <x v="1980"/>
    <x v="1"/>
  </r>
  <r>
    <n v="65"/>
    <x v="1"/>
    <x v="5"/>
    <n v="2"/>
    <n v="2"/>
    <x v="1"/>
    <n v="427.200000000383"/>
    <x v="0"/>
    <n v="1389962.99999999"/>
    <n v="2000"/>
    <n v="200"/>
    <x v="0"/>
    <n v="613405.97"/>
    <x v="1981"/>
    <x v="1"/>
  </r>
  <r>
    <n v="66"/>
    <x v="1"/>
    <x v="5"/>
    <n v="2"/>
    <n v="3"/>
    <x v="1"/>
    <n v="553.79999999942697"/>
    <x v="0"/>
    <n v="1964170.00000001"/>
    <n v="2000"/>
    <n v="200"/>
    <x v="0"/>
    <n v="630286.77"/>
    <x v="1982"/>
    <x v="1"/>
  </r>
  <r>
    <n v="67"/>
    <x v="1"/>
    <x v="4"/>
    <n v="2"/>
    <n v="1"/>
    <x v="1"/>
    <n v="358.99999999990899"/>
    <x v="0"/>
    <n v="937139.00000000198"/>
    <n v="2000"/>
    <n v="200"/>
    <x v="0"/>
    <n v="556206.37"/>
    <x v="1983"/>
    <x v="1"/>
  </r>
  <r>
    <n v="68"/>
    <x v="1"/>
    <x v="4"/>
    <n v="2"/>
    <n v="2"/>
    <x v="1"/>
    <n v="373.80000000055702"/>
    <x v="0"/>
    <n v="1556484"/>
    <n v="2000"/>
    <n v="200"/>
    <x v="0"/>
    <n v="602648.37"/>
    <x v="1984"/>
    <x v="1"/>
  </r>
  <r>
    <n v="69"/>
    <x v="1"/>
    <x v="4"/>
    <n v="2"/>
    <n v="3"/>
    <x v="1"/>
    <n v="458.79999999947103"/>
    <x v="0"/>
    <n v="1994440.99999999"/>
    <n v="2000"/>
    <n v="200"/>
    <x v="0"/>
    <n v="615007.97"/>
    <x v="1985"/>
    <x v="1"/>
  </r>
  <r>
    <n v="28"/>
    <x v="1"/>
    <x v="1"/>
    <n v="2"/>
    <n v="1"/>
    <x v="1"/>
    <n v="901.80000000010796"/>
    <x v="0"/>
    <n v="460677"/>
    <n v="3000"/>
    <n v="100"/>
    <x v="0"/>
    <n v="678687.97"/>
    <x v="1986"/>
    <x v="1"/>
  </r>
  <r>
    <n v="29"/>
    <x v="1"/>
    <x v="2"/>
    <n v="2"/>
    <n v="2"/>
    <x v="1"/>
    <n v="926.20000000032098"/>
    <x v="0"/>
    <n v="770229.00000000105"/>
    <n v="3000"/>
    <n v="100"/>
    <x v="0"/>
    <n v="692247.57"/>
    <x v="1987"/>
    <x v="1"/>
  </r>
  <r>
    <n v="30"/>
    <x v="1"/>
    <x v="2"/>
    <n v="2"/>
    <n v="3"/>
    <x v="1"/>
    <n v="922.99999999951899"/>
    <x v="0"/>
    <n v="1785648"/>
    <n v="3000"/>
    <n v="100"/>
    <x v="0"/>
    <n v="606085.56999999995"/>
    <x v="1988"/>
    <x v="1"/>
  </r>
  <r>
    <n v="31"/>
    <x v="1"/>
    <x v="2"/>
    <n v="2"/>
    <n v="1"/>
    <x v="1"/>
    <n v="780.99999999920999"/>
    <x v="0"/>
    <n v="634705.99999999802"/>
    <n v="3000"/>
    <n v="100"/>
    <x v="0"/>
    <n v="549446.37"/>
    <x v="1989"/>
    <x v="1"/>
  </r>
  <r>
    <n v="32"/>
    <x v="1"/>
    <x v="2"/>
    <n v="2"/>
    <n v="2"/>
    <x v="1"/>
    <n v="720.199999999949"/>
    <x v="0"/>
    <n v="1699059"/>
    <n v="3000"/>
    <n v="100"/>
    <x v="0"/>
    <n v="590126.77"/>
    <x v="1990"/>
    <x v="1"/>
  </r>
  <r>
    <n v="33"/>
    <x v="1"/>
    <x v="2"/>
    <n v="2"/>
    <n v="3"/>
    <x v="1"/>
    <n v="762.79999999968595"/>
    <x v="0"/>
    <n v="1760464"/>
    <n v="3000"/>
    <n v="100"/>
    <x v="0"/>
    <n v="654446.77"/>
    <x v="1991"/>
    <x v="1"/>
  </r>
  <r>
    <n v="34"/>
    <x v="1"/>
    <x v="2"/>
    <n v="2"/>
    <n v="1"/>
    <x v="1"/>
    <n v="563.600000000264"/>
    <x v="0"/>
    <n v="567174.00000000105"/>
    <n v="3000"/>
    <n v="100"/>
    <x v="0"/>
    <n v="690806.77"/>
    <x v="1992"/>
    <x v="1"/>
  </r>
  <r>
    <n v="35"/>
    <x v="1"/>
    <x v="3"/>
    <n v="2"/>
    <n v="1"/>
    <x v="1"/>
    <n v="467.000000000439"/>
    <x v="0"/>
    <n v="1291090"/>
    <n v="3000"/>
    <n v="100"/>
    <x v="0"/>
    <n v="552985.97"/>
    <x v="1993"/>
    <x v="1"/>
  </r>
  <r>
    <n v="36"/>
    <x v="1"/>
    <x v="3"/>
    <n v="2"/>
    <n v="2"/>
    <x v="1"/>
    <n v="432.59999999953902"/>
    <x v="0"/>
    <n v="884944.99999999499"/>
    <n v="3000"/>
    <n v="100"/>
    <x v="0"/>
    <n v="718585.97"/>
    <x v="1994"/>
    <x v="1"/>
  </r>
  <r>
    <n v="37"/>
    <x v="1"/>
    <x v="3"/>
    <n v="2"/>
    <n v="3"/>
    <x v="1"/>
    <n v="535.40000000005296"/>
    <x v="0"/>
    <n v="1563006"/>
    <n v="3000"/>
    <n v="100"/>
    <x v="0"/>
    <n v="609327.97"/>
    <x v="1995"/>
    <x v="1"/>
  </r>
  <r>
    <n v="38"/>
    <x v="1"/>
    <x v="3"/>
    <n v="2"/>
    <n v="1"/>
    <x v="1"/>
    <n v="394.79999999976201"/>
    <x v="0"/>
    <n v="686184.00000000396"/>
    <n v="3000"/>
    <n v="100"/>
    <x v="0"/>
    <n v="599967.17000000004"/>
    <x v="1996"/>
    <x v="1"/>
  </r>
  <r>
    <n v="39"/>
    <x v="1"/>
    <x v="4"/>
    <n v="2"/>
    <n v="1"/>
    <x v="1"/>
    <n v="470.600000000232"/>
    <x v="0"/>
    <n v="1346969"/>
    <n v="3000"/>
    <n v="100"/>
    <x v="0"/>
    <n v="617067.17000000004"/>
    <x v="1997"/>
    <x v="1"/>
  </r>
  <r>
    <n v="40"/>
    <x v="1"/>
    <x v="4"/>
    <n v="2"/>
    <n v="2"/>
    <x v="1"/>
    <n v="455.20000000074401"/>
    <x v="0"/>
    <n v="2734535"/>
    <n v="3000"/>
    <n v="100"/>
    <x v="0"/>
    <n v="714865.57"/>
    <x v="1998"/>
    <x v="1"/>
  </r>
  <r>
    <n v="41"/>
    <x v="1"/>
    <x v="4"/>
    <n v="2"/>
    <n v="3"/>
    <x v="1"/>
    <n v="556.20000000047298"/>
    <x v="0"/>
    <n v="2185385"/>
    <n v="3000"/>
    <n v="100"/>
    <x v="0"/>
    <n v="624747.56999999995"/>
    <x v="1999"/>
    <x v="1"/>
  </r>
  <r>
    <n v="42"/>
    <x v="1"/>
    <x v="1"/>
    <n v="2"/>
    <n v="1"/>
    <x v="1"/>
    <n v="288.80000000022198"/>
    <x v="0"/>
    <n v="329124"/>
    <n v="3000"/>
    <n v="100"/>
    <x v="0"/>
    <n v="555924.77"/>
    <x v="2000"/>
    <x v="1"/>
  </r>
  <r>
    <n v="43"/>
    <x v="1"/>
    <x v="2"/>
    <n v="2"/>
    <n v="1"/>
    <x v="1"/>
    <n v="340.19999999976801"/>
    <x v="0"/>
    <n v="626666"/>
    <n v="3000"/>
    <n v="100"/>
    <x v="0"/>
    <n v="557245.56999999995"/>
    <x v="2001"/>
    <x v="1"/>
  </r>
  <r>
    <n v="44"/>
    <x v="1"/>
    <x v="2"/>
    <n v="2"/>
    <n v="2"/>
    <x v="1"/>
    <n v="325.80000000024302"/>
    <x v="0"/>
    <n v="625314.00000000303"/>
    <n v="3000"/>
    <n v="100"/>
    <x v="0"/>
    <n v="572008.77"/>
    <x v="2002"/>
    <x v="1"/>
  </r>
  <r>
    <n v="45"/>
    <x v="1"/>
    <x v="2"/>
    <n v="2"/>
    <n v="3"/>
    <x v="1"/>
    <n v="420.79999999948802"/>
    <x v="0"/>
    <n v="1579966"/>
    <n v="3000"/>
    <n v="100"/>
    <x v="0"/>
    <n v="693624.77"/>
    <x v="2003"/>
    <x v="1"/>
  </r>
  <r>
    <n v="46"/>
    <x v="1"/>
    <x v="3"/>
    <n v="2"/>
    <n v="1"/>
    <x v="1"/>
    <n v="431.79999999978202"/>
    <x v="0"/>
    <n v="908150.99999999697"/>
    <n v="3000"/>
    <n v="100"/>
    <x v="0"/>
    <n v="523766.37"/>
    <x v="2004"/>
    <x v="1"/>
  </r>
  <r>
    <n v="47"/>
    <x v="1"/>
    <x v="3"/>
    <n v="2"/>
    <n v="2"/>
    <x v="1"/>
    <n v="392.80000000019299"/>
    <x v="0"/>
    <n v="835637.99999999604"/>
    <n v="3000"/>
    <n v="100"/>
    <x v="0"/>
    <n v="688707.57"/>
    <x v="2005"/>
    <x v="1"/>
  </r>
  <r>
    <n v="48"/>
    <x v="1"/>
    <x v="3"/>
    <n v="2"/>
    <n v="3"/>
    <x v="1"/>
    <n v="479.99999999994702"/>
    <x v="0"/>
    <n v="1313722.00000001"/>
    <n v="3000"/>
    <n v="100"/>
    <x v="0"/>
    <n v="734067.57"/>
    <x v="2006"/>
    <x v="1"/>
  </r>
  <r>
    <n v="49"/>
    <x v="1"/>
    <x v="3"/>
    <n v="2"/>
    <n v="1"/>
    <x v="1"/>
    <n v="379.40000000027402"/>
    <x v="0"/>
    <n v="1132380"/>
    <n v="3000"/>
    <n v="100"/>
    <x v="0"/>
    <n v="547525.17000000004"/>
    <x v="2007"/>
    <x v="1"/>
  </r>
  <r>
    <n v="50"/>
    <x v="1"/>
    <x v="3"/>
    <n v="2"/>
    <n v="2"/>
    <x v="1"/>
    <n v="387.60000000017698"/>
    <x v="0"/>
    <n v="809797.00000000303"/>
    <n v="3000"/>
    <n v="100"/>
    <x v="0"/>
    <n v="583767.17000000004"/>
    <x v="2008"/>
    <x v="1"/>
  </r>
  <r>
    <n v="51"/>
    <x v="1"/>
    <x v="3"/>
    <n v="2"/>
    <n v="3"/>
    <x v="1"/>
    <n v="476.39999999944399"/>
    <x v="0"/>
    <n v="1191722"/>
    <n v="3000"/>
    <n v="100"/>
    <x v="0"/>
    <n v="588445.56999999995"/>
    <x v="2009"/>
    <x v="1"/>
  </r>
  <r>
    <n v="52"/>
    <x v="1"/>
    <x v="4"/>
    <n v="2"/>
    <n v="1"/>
    <x v="1"/>
    <n v="407.79999999998"/>
    <x v="0"/>
    <n v="1069360"/>
    <n v="3000"/>
    <n v="100"/>
    <x v="0"/>
    <n v="610828.77"/>
    <x v="2010"/>
    <x v="1"/>
  </r>
  <r>
    <n v="53"/>
    <x v="1"/>
    <x v="4"/>
    <n v="2"/>
    <n v="2"/>
    <x v="1"/>
    <n v="396.99999999953701"/>
    <x v="0"/>
    <n v="2505793"/>
    <n v="3000"/>
    <n v="100"/>
    <x v="0"/>
    <n v="584967.56999999995"/>
    <x v="2011"/>
    <x v="1"/>
  </r>
  <r>
    <n v="54"/>
    <x v="1"/>
    <x v="4"/>
    <n v="2"/>
    <n v="3"/>
    <x v="1"/>
    <n v="497.99999999997601"/>
    <x v="0"/>
    <n v="3244514"/>
    <n v="3000"/>
    <n v="100"/>
    <x v="0"/>
    <n v="550645.17000000004"/>
    <x v="2012"/>
    <x v="1"/>
  </r>
  <r>
    <n v="55"/>
    <x v="1"/>
    <x v="2"/>
    <n v="2"/>
    <n v="1"/>
    <x v="1"/>
    <n v="289.40000000012799"/>
    <x v="0"/>
    <n v="783248"/>
    <n v="3000"/>
    <n v="100"/>
    <x v="0"/>
    <n v="542366.77"/>
    <x v="2013"/>
    <x v="1"/>
  </r>
  <r>
    <n v="56"/>
    <x v="1"/>
    <x v="2"/>
    <n v="2"/>
    <n v="2"/>
    <x v="1"/>
    <n v="287.00000000014802"/>
    <x v="0"/>
    <n v="544256.00000000396"/>
    <n v="3000"/>
    <n v="100"/>
    <x v="0"/>
    <n v="571466.77"/>
    <x v="2014"/>
    <x v="1"/>
  </r>
  <r>
    <n v="57"/>
    <x v="1"/>
    <x v="2"/>
    <n v="2"/>
    <n v="3"/>
    <x v="1"/>
    <n v="362.39999999949703"/>
    <x v="0"/>
    <n v="801326.00000000303"/>
    <n v="3000"/>
    <n v="100"/>
    <x v="0"/>
    <n v="710007.57"/>
    <x v="2015"/>
    <x v="1"/>
  </r>
  <r>
    <n v="58"/>
    <x v="1"/>
    <x v="3"/>
    <n v="2"/>
    <n v="1"/>
    <x v="1"/>
    <n v="340.79999999967498"/>
    <x v="0"/>
    <n v="868777.00000000198"/>
    <n v="3000"/>
    <n v="100"/>
    <x v="0"/>
    <n v="699928.37"/>
    <x v="2016"/>
    <x v="1"/>
  </r>
  <r>
    <n v="59"/>
    <x v="1"/>
    <x v="3"/>
    <n v="2"/>
    <n v="2"/>
    <x v="1"/>
    <n v="334.19999999999601"/>
    <x v="0"/>
    <n v="583774.00000000501"/>
    <n v="3000"/>
    <n v="100"/>
    <x v="0"/>
    <n v="604107.17000000004"/>
    <x v="2017"/>
    <x v="1"/>
  </r>
  <r>
    <n v="60"/>
    <x v="1"/>
    <x v="3"/>
    <n v="2"/>
    <n v="3"/>
    <x v="1"/>
    <n v="401.39999999979602"/>
    <x v="0"/>
    <n v="2144212.9999999902"/>
    <n v="3000"/>
    <n v="100"/>
    <x v="0"/>
    <n v="715466.77"/>
    <x v="2018"/>
    <x v="1"/>
  </r>
  <r>
    <n v="61"/>
    <x v="1"/>
    <x v="4"/>
    <n v="2"/>
    <n v="1"/>
    <x v="1"/>
    <n v="364.79999999983198"/>
    <x v="0"/>
    <n v="2195942"/>
    <n v="3000"/>
    <n v="100"/>
    <x v="0"/>
    <n v="708685.57"/>
    <x v="2019"/>
    <x v="1"/>
  </r>
  <r>
    <n v="62"/>
    <x v="1"/>
    <x v="4"/>
    <n v="2"/>
    <n v="2"/>
    <x v="1"/>
    <n v="382.79999999950599"/>
    <x v="0"/>
    <n v="1972765"/>
    <n v="3000"/>
    <n v="100"/>
    <x v="0"/>
    <n v="592588.77"/>
    <x v="2020"/>
    <x v="1"/>
  </r>
  <r>
    <n v="63"/>
    <x v="1"/>
    <x v="4"/>
    <n v="2"/>
    <n v="3"/>
    <x v="1"/>
    <n v="469.999999999615"/>
    <x v="0"/>
    <n v="2183012.0000000098"/>
    <n v="3000"/>
    <n v="100"/>
    <x v="0"/>
    <n v="627324.77"/>
    <x v="2021"/>
    <x v="1"/>
  </r>
  <r>
    <n v="64"/>
    <x v="1"/>
    <x v="5"/>
    <n v="2"/>
    <n v="1"/>
    <x v="1"/>
    <n v="408.600000000092"/>
    <x v="0"/>
    <n v="1707695"/>
    <n v="3000"/>
    <n v="100"/>
    <x v="0"/>
    <n v="535585.17000000004"/>
    <x v="2022"/>
    <x v="1"/>
  </r>
  <r>
    <n v="65"/>
    <x v="1"/>
    <x v="5"/>
    <n v="2"/>
    <n v="2"/>
    <x v="1"/>
    <n v="427.200000000383"/>
    <x v="0"/>
    <n v="1389962.99999999"/>
    <n v="3000"/>
    <n v="100"/>
    <x v="0"/>
    <n v="612145.97"/>
    <x v="2023"/>
    <x v="1"/>
  </r>
  <r>
    <n v="66"/>
    <x v="1"/>
    <x v="5"/>
    <n v="2"/>
    <n v="3"/>
    <x v="1"/>
    <n v="553.79999999942697"/>
    <x v="0"/>
    <n v="1964170.00000001"/>
    <n v="3000"/>
    <n v="100"/>
    <x v="0"/>
    <n v="637466.77"/>
    <x v="2024"/>
    <x v="1"/>
  </r>
  <r>
    <n v="67"/>
    <x v="1"/>
    <x v="4"/>
    <n v="2"/>
    <n v="1"/>
    <x v="1"/>
    <n v="358.99999999990899"/>
    <x v="0"/>
    <n v="937139.00000000198"/>
    <n v="3000"/>
    <n v="100"/>
    <x v="0"/>
    <n v="526346.37"/>
    <x v="2025"/>
    <x v="1"/>
  </r>
  <r>
    <n v="68"/>
    <x v="1"/>
    <x v="4"/>
    <n v="2"/>
    <n v="2"/>
    <x v="1"/>
    <n v="373.80000000055702"/>
    <x v="0"/>
    <n v="1556484"/>
    <n v="3000"/>
    <n v="100"/>
    <x v="0"/>
    <n v="596008.37"/>
    <x v="2026"/>
    <x v="1"/>
  </r>
  <r>
    <n v="69"/>
    <x v="1"/>
    <x v="4"/>
    <n v="2"/>
    <n v="3"/>
    <x v="1"/>
    <n v="458.79999999947103"/>
    <x v="0"/>
    <n v="1994440.99999999"/>
    <n v="3000"/>
    <n v="100"/>
    <x v="0"/>
    <n v="614547.97"/>
    <x v="2027"/>
    <x v="1"/>
  </r>
  <r>
    <n v="28"/>
    <x v="1"/>
    <x v="1"/>
    <n v="2"/>
    <n v="1"/>
    <x v="1"/>
    <n v="901.80000000010796"/>
    <x v="0"/>
    <n v="460677"/>
    <n v="1000"/>
    <n v="700"/>
    <x v="0"/>
    <n v="836844.37"/>
    <x v="2028"/>
    <x v="1"/>
  </r>
  <r>
    <n v="29"/>
    <x v="1"/>
    <x v="2"/>
    <n v="2"/>
    <n v="2"/>
    <x v="1"/>
    <n v="926.20000000032098"/>
    <x v="0"/>
    <n v="770229.00000000105"/>
    <n v="1000"/>
    <n v="700"/>
    <x v="0"/>
    <n v="841363.97"/>
    <x v="2029"/>
    <x v="1"/>
  </r>
  <r>
    <n v="30"/>
    <x v="1"/>
    <x v="2"/>
    <n v="2"/>
    <n v="3"/>
    <x v="1"/>
    <n v="922.99999999951899"/>
    <x v="0"/>
    <n v="1785648"/>
    <n v="1000"/>
    <n v="700"/>
    <x v="0"/>
    <n v="812642.77"/>
    <x v="2030"/>
    <x v="1"/>
  </r>
  <r>
    <n v="31"/>
    <x v="1"/>
    <x v="2"/>
    <n v="2"/>
    <n v="1"/>
    <x v="1"/>
    <n v="780.99999999920999"/>
    <x v="0"/>
    <n v="634705.99999999802"/>
    <n v="1000"/>
    <n v="700"/>
    <x v="0"/>
    <n v="793763.17"/>
    <x v="2031"/>
    <x v="1"/>
  </r>
  <r>
    <n v="32"/>
    <x v="1"/>
    <x v="2"/>
    <n v="2"/>
    <n v="2"/>
    <x v="1"/>
    <n v="720.199999999949"/>
    <x v="0"/>
    <n v="1699059"/>
    <n v="1000"/>
    <n v="700"/>
    <x v="0"/>
    <n v="807323.57"/>
    <x v="2032"/>
    <x v="1"/>
  </r>
  <r>
    <n v="33"/>
    <x v="1"/>
    <x v="2"/>
    <n v="2"/>
    <n v="3"/>
    <x v="1"/>
    <n v="762.79999999968595"/>
    <x v="0"/>
    <n v="1760464"/>
    <n v="1000"/>
    <n v="700"/>
    <x v="0"/>
    <n v="828763.97"/>
    <x v="2033"/>
    <x v="1"/>
  </r>
  <r>
    <n v="34"/>
    <x v="1"/>
    <x v="2"/>
    <n v="2"/>
    <n v="1"/>
    <x v="1"/>
    <n v="563.600000000264"/>
    <x v="0"/>
    <n v="567174.00000000105"/>
    <n v="1000"/>
    <n v="700"/>
    <x v="0"/>
    <n v="840882.77"/>
    <x v="2034"/>
    <x v="1"/>
  </r>
  <r>
    <n v="35"/>
    <x v="1"/>
    <x v="3"/>
    <n v="2"/>
    <n v="1"/>
    <x v="1"/>
    <n v="467.000000000439"/>
    <x v="0"/>
    <n v="1291090"/>
    <n v="1000"/>
    <n v="700"/>
    <x v="0"/>
    <n v="794943.57"/>
    <x v="2035"/>
    <x v="1"/>
  </r>
  <r>
    <n v="36"/>
    <x v="1"/>
    <x v="3"/>
    <n v="2"/>
    <n v="2"/>
    <x v="1"/>
    <n v="432.59999999953902"/>
    <x v="0"/>
    <n v="884944.99999999499"/>
    <n v="1000"/>
    <n v="700"/>
    <x v="0"/>
    <n v="850143.17"/>
    <x v="2036"/>
    <x v="1"/>
  </r>
  <r>
    <n v="37"/>
    <x v="1"/>
    <x v="3"/>
    <n v="2"/>
    <n v="3"/>
    <x v="1"/>
    <n v="535.40000000005296"/>
    <x v="0"/>
    <n v="1563006"/>
    <n v="1000"/>
    <n v="700"/>
    <x v="0"/>
    <n v="813725.17"/>
    <x v="2037"/>
    <x v="1"/>
  </r>
  <r>
    <n v="38"/>
    <x v="1"/>
    <x v="3"/>
    <n v="2"/>
    <n v="1"/>
    <x v="1"/>
    <n v="394.79999999976201"/>
    <x v="0"/>
    <n v="686184.00000000396"/>
    <n v="1000"/>
    <n v="700"/>
    <x v="0"/>
    <n v="810603.17"/>
    <x v="2038"/>
    <x v="1"/>
  </r>
  <r>
    <n v="39"/>
    <x v="1"/>
    <x v="4"/>
    <n v="2"/>
    <n v="1"/>
    <x v="1"/>
    <n v="470.600000000232"/>
    <x v="0"/>
    <n v="1346969"/>
    <n v="1000"/>
    <n v="700"/>
    <x v="0"/>
    <n v="816303.57"/>
    <x v="2039"/>
    <x v="1"/>
  </r>
  <r>
    <n v="40"/>
    <x v="1"/>
    <x v="4"/>
    <n v="2"/>
    <n v="2"/>
    <x v="1"/>
    <n v="455.20000000074401"/>
    <x v="0"/>
    <n v="2734535"/>
    <n v="1000"/>
    <n v="700"/>
    <x v="0"/>
    <n v="848902.37"/>
    <x v="2040"/>
    <x v="1"/>
  </r>
  <r>
    <n v="41"/>
    <x v="1"/>
    <x v="4"/>
    <n v="2"/>
    <n v="3"/>
    <x v="1"/>
    <n v="556.20000000047298"/>
    <x v="0"/>
    <n v="2185385"/>
    <n v="1000"/>
    <n v="700"/>
    <x v="0"/>
    <n v="818864.77"/>
    <x v="2041"/>
    <x v="1"/>
  </r>
  <r>
    <n v="42"/>
    <x v="1"/>
    <x v="1"/>
    <n v="2"/>
    <n v="1"/>
    <x v="1"/>
    <n v="288.80000000022198"/>
    <x v="0"/>
    <n v="329124"/>
    <n v="1000"/>
    <n v="700"/>
    <x v="0"/>
    <n v="795921.97"/>
    <x v="2042"/>
    <x v="1"/>
  </r>
  <r>
    <n v="43"/>
    <x v="1"/>
    <x v="2"/>
    <n v="2"/>
    <n v="1"/>
    <x v="1"/>
    <n v="340.19999999976801"/>
    <x v="0"/>
    <n v="626666"/>
    <n v="1000"/>
    <n v="700"/>
    <x v="0"/>
    <n v="796362.77"/>
    <x v="2043"/>
    <x v="1"/>
  </r>
  <r>
    <n v="44"/>
    <x v="1"/>
    <x v="2"/>
    <n v="2"/>
    <n v="2"/>
    <x v="1"/>
    <n v="325.80000000024302"/>
    <x v="0"/>
    <n v="625314.00000000303"/>
    <n v="1000"/>
    <n v="700"/>
    <x v="0"/>
    <n v="801285.57"/>
    <x v="2044"/>
    <x v="1"/>
  </r>
  <r>
    <n v="45"/>
    <x v="1"/>
    <x v="2"/>
    <n v="2"/>
    <n v="3"/>
    <x v="1"/>
    <n v="420.79999999948802"/>
    <x v="0"/>
    <n v="1579966"/>
    <n v="1000"/>
    <n v="700"/>
    <x v="0"/>
    <n v="841822.37"/>
    <x v="2045"/>
    <x v="1"/>
  </r>
  <r>
    <n v="46"/>
    <x v="1"/>
    <x v="3"/>
    <n v="2"/>
    <n v="1"/>
    <x v="1"/>
    <n v="431.79999999978202"/>
    <x v="0"/>
    <n v="908150.99999999697"/>
    <n v="1000"/>
    <n v="700"/>
    <x v="0"/>
    <n v="785202.77"/>
    <x v="2046"/>
    <x v="1"/>
  </r>
  <r>
    <n v="47"/>
    <x v="1"/>
    <x v="3"/>
    <n v="2"/>
    <n v="2"/>
    <x v="1"/>
    <n v="392.80000000019299"/>
    <x v="0"/>
    <n v="835637.99999999604"/>
    <n v="1000"/>
    <n v="700"/>
    <x v="0"/>
    <n v="840184.77"/>
    <x v="2047"/>
    <x v="1"/>
  </r>
  <r>
    <n v="48"/>
    <x v="1"/>
    <x v="3"/>
    <n v="2"/>
    <n v="3"/>
    <x v="1"/>
    <n v="479.99999999994702"/>
    <x v="0"/>
    <n v="1313722.00000001"/>
    <n v="1000"/>
    <n v="700"/>
    <x v="0"/>
    <n v="855302.77"/>
    <x v="2048"/>
    <x v="1"/>
  </r>
  <r>
    <n v="49"/>
    <x v="1"/>
    <x v="3"/>
    <n v="2"/>
    <n v="1"/>
    <x v="1"/>
    <n v="379.40000000027402"/>
    <x v="0"/>
    <n v="1132380"/>
    <n v="1000"/>
    <n v="700"/>
    <x v="0"/>
    <n v="793122.77"/>
    <x v="2049"/>
    <x v="1"/>
  </r>
  <r>
    <n v="50"/>
    <x v="1"/>
    <x v="3"/>
    <n v="2"/>
    <n v="2"/>
    <x v="1"/>
    <n v="387.60000000017698"/>
    <x v="0"/>
    <n v="809797.00000000303"/>
    <n v="1000"/>
    <n v="700"/>
    <x v="0"/>
    <n v="805204.77"/>
    <x v="2050"/>
    <x v="1"/>
  </r>
  <r>
    <n v="51"/>
    <x v="1"/>
    <x v="3"/>
    <n v="2"/>
    <n v="3"/>
    <x v="1"/>
    <n v="476.39999999944399"/>
    <x v="0"/>
    <n v="1191722"/>
    <n v="1000"/>
    <n v="700"/>
    <x v="0"/>
    <n v="806763.17"/>
    <x v="2051"/>
    <x v="1"/>
  </r>
  <r>
    <n v="52"/>
    <x v="1"/>
    <x v="4"/>
    <n v="2"/>
    <n v="1"/>
    <x v="1"/>
    <n v="407.79999999998"/>
    <x v="0"/>
    <n v="1069360"/>
    <n v="1000"/>
    <n v="700"/>
    <x v="0"/>
    <n v="814224.77"/>
    <x v="2052"/>
    <x v="1"/>
  </r>
  <r>
    <n v="53"/>
    <x v="1"/>
    <x v="4"/>
    <n v="2"/>
    <n v="2"/>
    <x v="1"/>
    <n v="396.99999999953701"/>
    <x v="0"/>
    <n v="2505793"/>
    <n v="1000"/>
    <n v="700"/>
    <x v="0"/>
    <n v="805606.37"/>
    <x v="2053"/>
    <x v="1"/>
  </r>
  <r>
    <n v="54"/>
    <x v="1"/>
    <x v="4"/>
    <n v="2"/>
    <n v="3"/>
    <x v="1"/>
    <n v="497.99999999997601"/>
    <x v="0"/>
    <n v="3244514"/>
    <n v="1000"/>
    <n v="700"/>
    <x v="0"/>
    <n v="794165.57"/>
    <x v="2054"/>
    <x v="1"/>
  </r>
  <r>
    <n v="55"/>
    <x v="1"/>
    <x v="2"/>
    <n v="2"/>
    <n v="1"/>
    <x v="1"/>
    <n v="289.40000000012799"/>
    <x v="0"/>
    <n v="783248"/>
    <n v="1000"/>
    <n v="700"/>
    <x v="0"/>
    <n v="791405.57"/>
    <x v="2055"/>
    <x v="1"/>
  </r>
  <r>
    <n v="56"/>
    <x v="1"/>
    <x v="2"/>
    <n v="2"/>
    <n v="2"/>
    <x v="1"/>
    <n v="287.00000000014802"/>
    <x v="0"/>
    <n v="544256.00000000396"/>
    <n v="1000"/>
    <n v="700"/>
    <x v="0"/>
    <n v="801104.37"/>
    <x v="2056"/>
    <x v="1"/>
  </r>
  <r>
    <n v="57"/>
    <x v="1"/>
    <x v="2"/>
    <n v="2"/>
    <n v="3"/>
    <x v="1"/>
    <n v="362.39999999949703"/>
    <x v="0"/>
    <n v="801326.00000000303"/>
    <n v="1000"/>
    <n v="700"/>
    <x v="0"/>
    <n v="847284.77"/>
    <x v="2057"/>
    <x v="1"/>
  </r>
  <r>
    <n v="58"/>
    <x v="1"/>
    <x v="3"/>
    <n v="2"/>
    <n v="1"/>
    <x v="1"/>
    <n v="340.79999999967498"/>
    <x v="0"/>
    <n v="868777.00000000198"/>
    <n v="1000"/>
    <n v="700"/>
    <x v="0"/>
    <n v="843926.77"/>
    <x v="2058"/>
    <x v="1"/>
  </r>
  <r>
    <n v="59"/>
    <x v="1"/>
    <x v="3"/>
    <n v="2"/>
    <n v="2"/>
    <x v="1"/>
    <n v="334.19999999999601"/>
    <x v="0"/>
    <n v="583774.00000000501"/>
    <n v="1000"/>
    <n v="700"/>
    <x v="0"/>
    <n v="811986.77"/>
    <x v="2059"/>
    <x v="1"/>
  </r>
  <r>
    <n v="60"/>
    <x v="1"/>
    <x v="3"/>
    <n v="2"/>
    <n v="3"/>
    <x v="1"/>
    <n v="401.39999999979602"/>
    <x v="0"/>
    <n v="2144212.9999999902"/>
    <n v="1000"/>
    <n v="700"/>
    <x v="0"/>
    <n v="849105.57"/>
    <x v="2060"/>
    <x v="1"/>
  </r>
  <r>
    <n v="61"/>
    <x v="1"/>
    <x v="4"/>
    <n v="2"/>
    <n v="1"/>
    <x v="1"/>
    <n v="364.79999999983198"/>
    <x v="0"/>
    <n v="2195942"/>
    <n v="1000"/>
    <n v="700"/>
    <x v="0"/>
    <n v="846844.77"/>
    <x v="2061"/>
    <x v="1"/>
  </r>
  <r>
    <n v="62"/>
    <x v="1"/>
    <x v="4"/>
    <n v="2"/>
    <n v="2"/>
    <x v="1"/>
    <n v="382.79999999950599"/>
    <x v="0"/>
    <n v="1972765"/>
    <n v="1000"/>
    <n v="700"/>
    <x v="0"/>
    <n v="808147.17"/>
    <x v="2062"/>
    <x v="1"/>
  </r>
  <r>
    <n v="63"/>
    <x v="1"/>
    <x v="4"/>
    <n v="2"/>
    <n v="3"/>
    <x v="1"/>
    <n v="469.999999999615"/>
    <x v="0"/>
    <n v="2183012.0000000098"/>
    <n v="1000"/>
    <n v="700"/>
    <x v="0"/>
    <n v="819723.57"/>
    <x v="2063"/>
    <x v="1"/>
  </r>
  <r>
    <n v="64"/>
    <x v="1"/>
    <x v="5"/>
    <n v="2"/>
    <n v="1"/>
    <x v="1"/>
    <n v="408.600000000092"/>
    <x v="0"/>
    <n v="1707695"/>
    <n v="1000"/>
    <n v="700"/>
    <x v="0"/>
    <n v="789144.77"/>
    <x v="2064"/>
    <x v="1"/>
  </r>
  <r>
    <n v="65"/>
    <x v="1"/>
    <x v="5"/>
    <n v="2"/>
    <n v="2"/>
    <x v="1"/>
    <n v="427.200000000383"/>
    <x v="0"/>
    <n v="1389962.99999999"/>
    <n v="1000"/>
    <n v="700"/>
    <x v="0"/>
    <n v="814665.97"/>
    <x v="2065"/>
    <x v="1"/>
  </r>
  <r>
    <n v="66"/>
    <x v="1"/>
    <x v="5"/>
    <n v="2"/>
    <n v="3"/>
    <x v="1"/>
    <n v="553.79999999942697"/>
    <x v="0"/>
    <n v="1964170.00000001"/>
    <n v="1000"/>
    <n v="700"/>
    <x v="0"/>
    <n v="823104.37"/>
    <x v="2066"/>
    <x v="1"/>
  </r>
  <r>
    <n v="67"/>
    <x v="1"/>
    <x v="4"/>
    <n v="2"/>
    <n v="1"/>
    <x v="1"/>
    <n v="358.99999999990899"/>
    <x v="0"/>
    <n v="937139.00000000198"/>
    <n v="1000"/>
    <n v="700"/>
    <x v="0"/>
    <n v="786065.97"/>
    <x v="2067"/>
    <x v="1"/>
  </r>
  <r>
    <n v="68"/>
    <x v="1"/>
    <x v="4"/>
    <n v="2"/>
    <n v="2"/>
    <x v="1"/>
    <n v="373.80000000055702"/>
    <x v="0"/>
    <n v="1556484"/>
    <n v="1000"/>
    <n v="700"/>
    <x v="0"/>
    <n v="809287.57"/>
    <x v="2068"/>
    <x v="1"/>
  </r>
  <r>
    <n v="69"/>
    <x v="1"/>
    <x v="4"/>
    <n v="2"/>
    <n v="3"/>
    <x v="1"/>
    <n v="458.79999999947103"/>
    <x v="0"/>
    <n v="1994440.99999999"/>
    <n v="1000"/>
    <n v="700"/>
    <x v="0"/>
    <n v="815466.77"/>
    <x v="2069"/>
    <x v="1"/>
  </r>
  <r>
    <n v="28"/>
    <x v="1"/>
    <x v="1"/>
    <n v="2"/>
    <n v="1"/>
    <x v="1"/>
    <n v="901.80000000010796"/>
    <x v="0"/>
    <n v="460677"/>
    <n v="2000"/>
    <n v="300"/>
    <x v="0"/>
    <n v="857766.77"/>
    <x v="2070"/>
    <x v="1"/>
  </r>
  <r>
    <n v="29"/>
    <x v="1"/>
    <x v="2"/>
    <n v="2"/>
    <n v="2"/>
    <x v="1"/>
    <n v="926.20000000032098"/>
    <x v="0"/>
    <n v="770229.00000000105"/>
    <n v="2000"/>
    <n v="300"/>
    <x v="0"/>
    <n v="866806.77"/>
    <x v="2071"/>
    <x v="1"/>
  </r>
  <r>
    <n v="30"/>
    <x v="1"/>
    <x v="2"/>
    <n v="2"/>
    <n v="3"/>
    <x v="1"/>
    <n v="922.99999999951899"/>
    <x v="0"/>
    <n v="1785648"/>
    <n v="2000"/>
    <n v="300"/>
    <x v="0"/>
    <n v="809365.57"/>
    <x v="2072"/>
    <x v="1"/>
  </r>
  <r>
    <n v="31"/>
    <x v="1"/>
    <x v="2"/>
    <n v="2"/>
    <n v="1"/>
    <x v="1"/>
    <n v="780.99999999920999"/>
    <x v="0"/>
    <n v="634705.99999999802"/>
    <n v="2000"/>
    <n v="300"/>
    <x v="0"/>
    <n v="771604.77"/>
    <x v="2073"/>
    <x v="1"/>
  </r>
  <r>
    <n v="32"/>
    <x v="1"/>
    <x v="2"/>
    <n v="2"/>
    <n v="2"/>
    <x v="1"/>
    <n v="720.199999999949"/>
    <x v="0"/>
    <n v="1699059"/>
    <n v="2000"/>
    <n v="300"/>
    <x v="0"/>
    <n v="798725.97"/>
    <x v="2074"/>
    <x v="1"/>
  </r>
  <r>
    <n v="33"/>
    <x v="1"/>
    <x v="2"/>
    <n v="2"/>
    <n v="3"/>
    <x v="1"/>
    <n v="762.79999999968595"/>
    <x v="0"/>
    <n v="1760464"/>
    <n v="2000"/>
    <n v="300"/>
    <x v="0"/>
    <n v="841605.97"/>
    <x v="2075"/>
    <x v="1"/>
  </r>
  <r>
    <n v="34"/>
    <x v="1"/>
    <x v="2"/>
    <n v="2"/>
    <n v="1"/>
    <x v="1"/>
    <n v="563.600000000264"/>
    <x v="0"/>
    <n v="567174.00000000105"/>
    <n v="2000"/>
    <n v="300"/>
    <x v="0"/>
    <n v="865845.17"/>
    <x v="2076"/>
    <x v="1"/>
  </r>
  <r>
    <n v="35"/>
    <x v="1"/>
    <x v="3"/>
    <n v="2"/>
    <n v="1"/>
    <x v="1"/>
    <n v="467.000000000439"/>
    <x v="0"/>
    <n v="1291090"/>
    <n v="2000"/>
    <n v="300"/>
    <x v="0"/>
    <n v="773963.97"/>
    <x v="2077"/>
    <x v="1"/>
  </r>
  <r>
    <n v="36"/>
    <x v="1"/>
    <x v="3"/>
    <n v="2"/>
    <n v="2"/>
    <x v="1"/>
    <n v="432.59999999953902"/>
    <x v="0"/>
    <n v="884944.99999999499"/>
    <n v="2000"/>
    <n v="300"/>
    <x v="0"/>
    <n v="884366.77"/>
    <x v="2078"/>
    <x v="1"/>
  </r>
  <r>
    <n v="37"/>
    <x v="1"/>
    <x v="3"/>
    <n v="2"/>
    <n v="3"/>
    <x v="1"/>
    <n v="535.40000000005296"/>
    <x v="0"/>
    <n v="1563006"/>
    <n v="2000"/>
    <n v="300"/>
    <x v="0"/>
    <n v="811526.77"/>
    <x v="2079"/>
    <x v="1"/>
  </r>
  <r>
    <n v="38"/>
    <x v="1"/>
    <x v="3"/>
    <n v="2"/>
    <n v="1"/>
    <x v="1"/>
    <n v="394.79999999976201"/>
    <x v="0"/>
    <n v="686184.00000000396"/>
    <n v="2000"/>
    <n v="300"/>
    <x v="0"/>
    <n v="805285.17"/>
    <x v="2080"/>
    <x v="1"/>
  </r>
  <r>
    <n v="39"/>
    <x v="1"/>
    <x v="4"/>
    <n v="2"/>
    <n v="1"/>
    <x v="1"/>
    <n v="470.600000000232"/>
    <x v="0"/>
    <n v="1346969"/>
    <n v="2000"/>
    <n v="300"/>
    <x v="0"/>
    <n v="816685.97"/>
    <x v="2081"/>
    <x v="1"/>
  </r>
  <r>
    <n v="40"/>
    <x v="1"/>
    <x v="4"/>
    <n v="2"/>
    <n v="2"/>
    <x v="1"/>
    <n v="455.20000000074401"/>
    <x v="0"/>
    <n v="2734535"/>
    <n v="2000"/>
    <n v="300"/>
    <x v="0"/>
    <n v="881883.97"/>
    <x v="2082"/>
    <x v="1"/>
  </r>
  <r>
    <n v="41"/>
    <x v="1"/>
    <x v="4"/>
    <n v="2"/>
    <n v="3"/>
    <x v="1"/>
    <n v="556.20000000047298"/>
    <x v="0"/>
    <n v="2185385"/>
    <n v="2000"/>
    <n v="300"/>
    <x v="0"/>
    <n v="821806.77"/>
    <x v="2083"/>
    <x v="1"/>
  </r>
  <r>
    <n v="42"/>
    <x v="1"/>
    <x v="1"/>
    <n v="2"/>
    <n v="1"/>
    <x v="1"/>
    <n v="288.80000000022198"/>
    <x v="0"/>
    <n v="329124"/>
    <n v="2000"/>
    <n v="300"/>
    <x v="0"/>
    <n v="775925.17"/>
    <x v="2084"/>
    <x v="1"/>
  </r>
  <r>
    <n v="43"/>
    <x v="1"/>
    <x v="2"/>
    <n v="2"/>
    <n v="1"/>
    <x v="1"/>
    <n v="340.19999999976801"/>
    <x v="0"/>
    <n v="626666"/>
    <n v="2000"/>
    <n v="300"/>
    <x v="0"/>
    <n v="776805.17"/>
    <x v="2085"/>
    <x v="1"/>
  </r>
  <r>
    <n v="44"/>
    <x v="1"/>
    <x v="2"/>
    <n v="2"/>
    <n v="2"/>
    <x v="1"/>
    <n v="325.80000000024302"/>
    <x v="0"/>
    <n v="625314.00000000303"/>
    <n v="2000"/>
    <n v="300"/>
    <x v="0"/>
    <n v="786647.97"/>
    <x v="2086"/>
    <x v="1"/>
  </r>
  <r>
    <n v="45"/>
    <x v="1"/>
    <x v="2"/>
    <n v="2"/>
    <n v="3"/>
    <x v="1"/>
    <n v="420.79999999948802"/>
    <x v="0"/>
    <n v="1579966"/>
    <n v="2000"/>
    <n v="300"/>
    <x v="0"/>
    <n v="867725.57"/>
    <x v="2087"/>
    <x v="1"/>
  </r>
  <r>
    <n v="46"/>
    <x v="1"/>
    <x v="3"/>
    <n v="2"/>
    <n v="1"/>
    <x v="1"/>
    <n v="431.79999999978202"/>
    <x v="0"/>
    <n v="908150.99999999697"/>
    <n v="2000"/>
    <n v="300"/>
    <x v="0"/>
    <n v="754484.77"/>
    <x v="2088"/>
    <x v="1"/>
  </r>
  <r>
    <n v="47"/>
    <x v="1"/>
    <x v="3"/>
    <n v="2"/>
    <n v="2"/>
    <x v="1"/>
    <n v="392.80000000019299"/>
    <x v="0"/>
    <n v="835637.99999999604"/>
    <n v="2000"/>
    <n v="300"/>
    <x v="0"/>
    <n v="864446.77"/>
    <x v="2089"/>
    <x v="1"/>
  </r>
  <r>
    <n v="48"/>
    <x v="1"/>
    <x v="3"/>
    <n v="2"/>
    <n v="3"/>
    <x v="1"/>
    <n v="479.99999999994702"/>
    <x v="0"/>
    <n v="1313722.00000001"/>
    <n v="2000"/>
    <n v="300"/>
    <x v="0"/>
    <n v="894685.17"/>
    <x v="2090"/>
    <x v="1"/>
  </r>
  <r>
    <n v="49"/>
    <x v="1"/>
    <x v="3"/>
    <n v="2"/>
    <n v="1"/>
    <x v="1"/>
    <n v="379.40000000027402"/>
    <x v="0"/>
    <n v="1132380"/>
    <n v="2000"/>
    <n v="300"/>
    <x v="0"/>
    <n v="770324.77"/>
    <x v="2091"/>
    <x v="1"/>
  </r>
  <r>
    <n v="50"/>
    <x v="1"/>
    <x v="3"/>
    <n v="2"/>
    <n v="2"/>
    <x v="1"/>
    <n v="387.60000000017698"/>
    <x v="0"/>
    <n v="809797.00000000303"/>
    <n v="2000"/>
    <n v="300"/>
    <x v="0"/>
    <n v="794486.37"/>
    <x v="2092"/>
    <x v="1"/>
  </r>
  <r>
    <n v="51"/>
    <x v="1"/>
    <x v="3"/>
    <n v="2"/>
    <n v="3"/>
    <x v="1"/>
    <n v="476.39999999944399"/>
    <x v="0"/>
    <n v="1191722"/>
    <n v="2000"/>
    <n v="300"/>
    <x v="0"/>
    <n v="797604.37"/>
    <x v="2093"/>
    <x v="1"/>
  </r>
  <r>
    <n v="52"/>
    <x v="1"/>
    <x v="4"/>
    <n v="2"/>
    <n v="1"/>
    <x v="1"/>
    <n v="407.79999999998"/>
    <x v="0"/>
    <n v="1069360"/>
    <n v="2000"/>
    <n v="300"/>
    <x v="0"/>
    <n v="812528.77"/>
    <x v="2094"/>
    <x v="1"/>
  </r>
  <r>
    <n v="53"/>
    <x v="1"/>
    <x v="4"/>
    <n v="2"/>
    <n v="2"/>
    <x v="1"/>
    <n v="396.99999999953701"/>
    <x v="0"/>
    <n v="2505793"/>
    <n v="2000"/>
    <n v="300"/>
    <x v="0"/>
    <n v="795286.37"/>
    <x v="2095"/>
    <x v="1"/>
  </r>
  <r>
    <n v="54"/>
    <x v="1"/>
    <x v="4"/>
    <n v="2"/>
    <n v="3"/>
    <x v="1"/>
    <n v="497.99999999997601"/>
    <x v="0"/>
    <n v="3244514"/>
    <n v="2000"/>
    <n v="300"/>
    <x v="0"/>
    <n v="772405.57"/>
    <x v="2096"/>
    <x v="1"/>
  </r>
  <r>
    <n v="55"/>
    <x v="1"/>
    <x v="2"/>
    <n v="2"/>
    <n v="1"/>
    <x v="1"/>
    <n v="289.40000000012799"/>
    <x v="0"/>
    <n v="783248"/>
    <n v="2000"/>
    <n v="300"/>
    <x v="0"/>
    <n v="766885.57"/>
    <x v="2097"/>
    <x v="1"/>
  </r>
  <r>
    <n v="56"/>
    <x v="1"/>
    <x v="2"/>
    <n v="2"/>
    <n v="2"/>
    <x v="1"/>
    <n v="287.00000000014802"/>
    <x v="0"/>
    <n v="544256.00000000396"/>
    <n v="2000"/>
    <n v="300"/>
    <x v="0"/>
    <n v="786286.37"/>
    <x v="2098"/>
    <x v="1"/>
  </r>
  <r>
    <n v="57"/>
    <x v="1"/>
    <x v="2"/>
    <n v="2"/>
    <n v="3"/>
    <x v="1"/>
    <n v="362.39999999949703"/>
    <x v="0"/>
    <n v="801326.00000000303"/>
    <n v="2000"/>
    <n v="300"/>
    <x v="0"/>
    <n v="878646.37"/>
    <x v="2099"/>
    <x v="1"/>
  </r>
  <r>
    <n v="58"/>
    <x v="1"/>
    <x v="3"/>
    <n v="2"/>
    <n v="1"/>
    <x v="1"/>
    <n v="340.79999999967498"/>
    <x v="0"/>
    <n v="868777.00000000198"/>
    <n v="2000"/>
    <n v="300"/>
    <x v="0"/>
    <n v="871926.77"/>
    <x v="2100"/>
    <x v="1"/>
  </r>
  <r>
    <n v="59"/>
    <x v="1"/>
    <x v="3"/>
    <n v="2"/>
    <n v="2"/>
    <x v="1"/>
    <n v="334.19999999999601"/>
    <x v="0"/>
    <n v="583774.00000000501"/>
    <n v="2000"/>
    <n v="300"/>
    <x v="0"/>
    <n v="808046.77"/>
    <x v="2101"/>
    <x v="1"/>
  </r>
  <r>
    <n v="60"/>
    <x v="1"/>
    <x v="3"/>
    <n v="2"/>
    <n v="3"/>
    <x v="1"/>
    <n v="401.39999999979602"/>
    <x v="0"/>
    <n v="2144212.9999999902"/>
    <n v="2000"/>
    <n v="300"/>
    <x v="0"/>
    <n v="882285.57"/>
    <x v="2102"/>
    <x v="1"/>
  </r>
  <r>
    <n v="61"/>
    <x v="1"/>
    <x v="4"/>
    <n v="2"/>
    <n v="1"/>
    <x v="1"/>
    <n v="364.79999999983198"/>
    <x v="0"/>
    <n v="2195942"/>
    <n v="2000"/>
    <n v="300"/>
    <x v="0"/>
    <n v="877764.77"/>
    <x v="2103"/>
    <x v="1"/>
  </r>
  <r>
    <n v="62"/>
    <x v="1"/>
    <x v="4"/>
    <n v="2"/>
    <n v="2"/>
    <x v="1"/>
    <n v="382.79999999950599"/>
    <x v="0"/>
    <n v="1972765"/>
    <n v="2000"/>
    <n v="300"/>
    <x v="0"/>
    <n v="800367.17"/>
    <x v="2104"/>
    <x v="1"/>
  </r>
  <r>
    <n v="63"/>
    <x v="1"/>
    <x v="4"/>
    <n v="2"/>
    <n v="3"/>
    <x v="1"/>
    <n v="469.999999999615"/>
    <x v="0"/>
    <n v="2183012.0000000098"/>
    <n v="2000"/>
    <n v="300"/>
    <x v="0"/>
    <n v="823523.57"/>
    <x v="2105"/>
    <x v="1"/>
  </r>
  <r>
    <n v="64"/>
    <x v="1"/>
    <x v="5"/>
    <n v="2"/>
    <n v="1"/>
    <x v="1"/>
    <n v="408.600000000092"/>
    <x v="0"/>
    <n v="1707695"/>
    <n v="2000"/>
    <n v="300"/>
    <x v="0"/>
    <n v="762364.77"/>
    <x v="2106"/>
    <x v="1"/>
  </r>
  <r>
    <n v="65"/>
    <x v="1"/>
    <x v="5"/>
    <n v="2"/>
    <n v="2"/>
    <x v="1"/>
    <n v="427.200000000383"/>
    <x v="0"/>
    <n v="1389962.99999999"/>
    <n v="2000"/>
    <n v="300"/>
    <x v="0"/>
    <n v="813405.97"/>
    <x v="2107"/>
    <x v="1"/>
  </r>
  <r>
    <n v="66"/>
    <x v="1"/>
    <x v="5"/>
    <n v="2"/>
    <n v="3"/>
    <x v="1"/>
    <n v="553.79999999942697"/>
    <x v="0"/>
    <n v="1964170.00000001"/>
    <n v="2000"/>
    <n v="300"/>
    <x v="0"/>
    <n v="830284.37"/>
    <x v="2108"/>
    <x v="1"/>
  </r>
  <r>
    <n v="67"/>
    <x v="1"/>
    <x v="4"/>
    <n v="2"/>
    <n v="1"/>
    <x v="1"/>
    <n v="358.99999999990899"/>
    <x v="0"/>
    <n v="937139.00000000198"/>
    <n v="2000"/>
    <n v="300"/>
    <x v="0"/>
    <n v="756205.97"/>
    <x v="2109"/>
    <x v="1"/>
  </r>
  <r>
    <n v="68"/>
    <x v="1"/>
    <x v="4"/>
    <n v="2"/>
    <n v="2"/>
    <x v="1"/>
    <n v="373.80000000055702"/>
    <x v="0"/>
    <n v="1556484"/>
    <n v="2000"/>
    <n v="300"/>
    <x v="0"/>
    <n v="802647.57"/>
    <x v="2110"/>
    <x v="1"/>
  </r>
  <r>
    <n v="69"/>
    <x v="1"/>
    <x v="4"/>
    <n v="2"/>
    <n v="3"/>
    <x v="1"/>
    <n v="458.79999999947103"/>
    <x v="0"/>
    <n v="1994440.99999999"/>
    <n v="2000"/>
    <n v="300"/>
    <x v="0"/>
    <n v="815006.77"/>
    <x v="2111"/>
    <x v="1"/>
  </r>
  <r>
    <n v="28"/>
    <x v="1"/>
    <x v="1"/>
    <n v="2"/>
    <n v="1"/>
    <x v="1"/>
    <n v="901.80000000010796"/>
    <x v="1"/>
    <n v="226247.99999999799"/>
    <n v="3000"/>
    <n v="20"/>
    <x v="0"/>
    <n v="276147.61"/>
    <x v="2112"/>
    <x v="1"/>
  </r>
  <r>
    <n v="29"/>
    <x v="1"/>
    <x v="2"/>
    <n v="2"/>
    <n v="2"/>
    <x v="1"/>
    <n v="926.20000000032098"/>
    <x v="1"/>
    <n v="333011.99999999697"/>
    <n v="3000"/>
    <n v="20"/>
    <x v="0"/>
    <n v="373227.21"/>
    <x v="2113"/>
    <x v="1"/>
  </r>
  <r>
    <n v="30"/>
    <x v="1"/>
    <x v="2"/>
    <n v="2"/>
    <n v="3"/>
    <x v="1"/>
    <n v="922.99999999951899"/>
    <x v="1"/>
    <n v="1243228.99999999"/>
    <n v="3000"/>
    <n v="20"/>
    <x v="0"/>
    <n v="294507.61"/>
    <x v="2114"/>
    <x v="1"/>
  </r>
  <r>
    <n v="31"/>
    <x v="1"/>
    <x v="2"/>
    <n v="2"/>
    <n v="1"/>
    <x v="1"/>
    <n v="780.99999999920999"/>
    <x v="1"/>
    <n v="565414.00000003295"/>
    <n v="3000"/>
    <n v="20"/>
    <x v="0"/>
    <n v="308308.40999999997"/>
    <x v="2115"/>
    <x v="1"/>
  </r>
  <r>
    <n v="32"/>
    <x v="1"/>
    <x v="2"/>
    <n v="2"/>
    <n v="2"/>
    <x v="1"/>
    <n v="720.199999999949"/>
    <x v="1"/>
    <n v="428542.99999999098"/>
    <n v="3000"/>
    <n v="20"/>
    <x v="0"/>
    <n v="363387.61"/>
    <x v="2116"/>
    <x v="1"/>
  </r>
  <r>
    <n v="33"/>
    <x v="1"/>
    <x v="2"/>
    <n v="2"/>
    <n v="3"/>
    <x v="1"/>
    <n v="762.79999999968595"/>
    <x v="1"/>
    <n v="873103.00000001502"/>
    <n v="3000"/>
    <n v="20"/>
    <x v="0"/>
    <n v="369987.61"/>
    <x v="2117"/>
    <x v="1"/>
  </r>
  <r>
    <n v="34"/>
    <x v="1"/>
    <x v="2"/>
    <n v="2"/>
    <n v="1"/>
    <x v="1"/>
    <n v="563.600000000264"/>
    <x v="1"/>
    <n v="344550.00000002701"/>
    <n v="3000"/>
    <n v="20"/>
    <x v="0"/>
    <n v="380309.21"/>
    <x v="2118"/>
    <x v="1"/>
  </r>
  <r>
    <n v="35"/>
    <x v="1"/>
    <x v="3"/>
    <n v="2"/>
    <n v="1"/>
    <x v="1"/>
    <n v="467.000000000439"/>
    <x v="1"/>
    <n v="1064708.99999999"/>
    <n v="3000"/>
    <n v="20"/>
    <x v="0"/>
    <n v="368788.01"/>
    <x v="2119"/>
    <x v="1"/>
  </r>
  <r>
    <n v="36"/>
    <x v="1"/>
    <x v="3"/>
    <n v="2"/>
    <n v="2"/>
    <x v="1"/>
    <n v="432.59999999953902"/>
    <x v="1"/>
    <n v="657116.99999997101"/>
    <n v="3000"/>
    <n v="20"/>
    <x v="0"/>
    <n v="382108.81"/>
    <x v="2120"/>
    <x v="1"/>
  </r>
  <r>
    <n v="37"/>
    <x v="1"/>
    <x v="3"/>
    <n v="2"/>
    <n v="3"/>
    <x v="1"/>
    <n v="535.40000000005296"/>
    <x v="1"/>
    <n v="638085.99999998696"/>
    <n v="3000"/>
    <n v="20"/>
    <x v="0"/>
    <n v="276387.21000000002"/>
    <x v="2121"/>
    <x v="1"/>
  </r>
  <r>
    <n v="38"/>
    <x v="1"/>
    <x v="3"/>
    <n v="2"/>
    <n v="1"/>
    <x v="1"/>
    <n v="394.79999999976201"/>
    <x v="1"/>
    <n v="402707.00000002101"/>
    <n v="3000"/>
    <n v="20"/>
    <x v="0"/>
    <n v="274108.01"/>
    <x v="2122"/>
    <x v="1"/>
  </r>
  <r>
    <n v="39"/>
    <x v="1"/>
    <x v="4"/>
    <n v="2"/>
    <n v="1"/>
    <x v="1"/>
    <n v="470.600000000232"/>
    <x v="1"/>
    <n v="1193374.00000001"/>
    <n v="3000"/>
    <n v="20"/>
    <x v="0"/>
    <n v="366148.01"/>
    <x v="2123"/>
    <x v="1"/>
  </r>
  <r>
    <n v="40"/>
    <x v="1"/>
    <x v="4"/>
    <n v="2"/>
    <n v="2"/>
    <x v="1"/>
    <n v="455.20000000074401"/>
    <x v="1"/>
    <n v="517399.00000001199"/>
    <n v="3000"/>
    <n v="20"/>
    <x v="0"/>
    <n v="355108.01"/>
    <x v="2124"/>
    <x v="1"/>
  </r>
  <r>
    <n v="41"/>
    <x v="1"/>
    <x v="4"/>
    <n v="2"/>
    <n v="3"/>
    <x v="1"/>
    <n v="556.20000000047298"/>
    <x v="1"/>
    <n v="1178815.99999998"/>
    <n v="3000"/>
    <n v="20"/>
    <x v="0"/>
    <n v="353427.21"/>
    <x v="2125"/>
    <x v="1"/>
  </r>
  <r>
    <n v="42"/>
    <x v="1"/>
    <x v="1"/>
    <n v="2"/>
    <n v="1"/>
    <x v="1"/>
    <n v="288.80000000022198"/>
    <x v="1"/>
    <n v="190006.99999998001"/>
    <n v="3000"/>
    <n v="20"/>
    <x v="0"/>
    <n v="272307.61"/>
    <x v="2126"/>
    <x v="1"/>
  </r>
  <r>
    <n v="43"/>
    <x v="1"/>
    <x v="2"/>
    <n v="2"/>
    <n v="1"/>
    <x v="1"/>
    <n v="340.19999999976801"/>
    <x v="1"/>
    <n v="342902.999999978"/>
    <n v="3000"/>
    <n v="20"/>
    <x v="0"/>
    <n v="274708.01"/>
    <x v="2127"/>
    <x v="1"/>
  </r>
  <r>
    <n v="44"/>
    <x v="1"/>
    <x v="2"/>
    <n v="2"/>
    <n v="2"/>
    <x v="1"/>
    <n v="325.80000000024302"/>
    <x v="1"/>
    <n v="548630.00000000303"/>
    <n v="3000"/>
    <n v="20"/>
    <x v="0"/>
    <n v="367827.61"/>
    <x v="2128"/>
    <x v="1"/>
  </r>
  <r>
    <n v="45"/>
    <x v="1"/>
    <x v="2"/>
    <n v="2"/>
    <n v="3"/>
    <x v="1"/>
    <n v="420.79999999948802"/>
    <x v="1"/>
    <n v="490144.99999998399"/>
    <n v="3000"/>
    <n v="20"/>
    <x v="0"/>
    <n v="352827.61"/>
    <x v="2129"/>
    <x v="1"/>
  </r>
  <r>
    <n v="46"/>
    <x v="1"/>
    <x v="3"/>
    <n v="2"/>
    <n v="1"/>
    <x v="1"/>
    <n v="431.79999999978202"/>
    <x v="1"/>
    <n v="886569.00000000896"/>
    <n v="3000"/>
    <n v="20"/>
    <x v="0"/>
    <n v="369748.01"/>
    <x v="2130"/>
    <x v="1"/>
  </r>
  <r>
    <n v="47"/>
    <x v="1"/>
    <x v="3"/>
    <n v="2"/>
    <n v="2"/>
    <x v="1"/>
    <n v="392.80000000019299"/>
    <x v="1"/>
    <n v="289421.00000000402"/>
    <n v="3000"/>
    <n v="20"/>
    <x v="0"/>
    <n v="271827.21000000002"/>
    <x v="2131"/>
    <x v="1"/>
  </r>
  <r>
    <n v="48"/>
    <x v="1"/>
    <x v="3"/>
    <n v="2"/>
    <n v="3"/>
    <x v="1"/>
    <n v="479.99999999994702"/>
    <x v="1"/>
    <n v="752868.00000003504"/>
    <n v="3000"/>
    <n v="20"/>
    <x v="0"/>
    <n v="357027.61"/>
    <x v="2132"/>
    <x v="1"/>
  </r>
  <r>
    <n v="49"/>
    <x v="1"/>
    <x v="3"/>
    <n v="2"/>
    <n v="1"/>
    <x v="1"/>
    <n v="379.40000000027402"/>
    <x v="1"/>
    <n v="862047.00000001804"/>
    <n v="3000"/>
    <n v="20"/>
    <x v="0"/>
    <n v="315028.01"/>
    <x v="2133"/>
    <x v="1"/>
  </r>
  <r>
    <n v="50"/>
    <x v="1"/>
    <x v="3"/>
    <n v="2"/>
    <n v="2"/>
    <x v="1"/>
    <n v="387.60000000017698"/>
    <x v="1"/>
    <n v="510372.99999995902"/>
    <n v="3000"/>
    <n v="20"/>
    <x v="0"/>
    <n v="377067.61"/>
    <x v="2134"/>
    <x v="1"/>
  </r>
  <r>
    <n v="51"/>
    <x v="1"/>
    <x v="3"/>
    <n v="2"/>
    <n v="3"/>
    <x v="1"/>
    <n v="476.39999999944399"/>
    <x v="1"/>
    <n v="1073153.99999999"/>
    <n v="3000"/>
    <n v="20"/>
    <x v="0"/>
    <n v="384867.21"/>
    <x v="2135"/>
    <x v="1"/>
  </r>
  <r>
    <n v="52"/>
    <x v="1"/>
    <x v="4"/>
    <n v="2"/>
    <n v="1"/>
    <x v="1"/>
    <n v="407.79999999998"/>
    <x v="1"/>
    <n v="757241.000000022"/>
    <n v="3000"/>
    <n v="20"/>
    <x v="0"/>
    <n v="361348.41"/>
    <x v="2136"/>
    <x v="1"/>
  </r>
  <r>
    <n v="53"/>
    <x v="1"/>
    <x v="4"/>
    <n v="2"/>
    <n v="2"/>
    <x v="1"/>
    <n v="396.99999999953701"/>
    <x v="1"/>
    <n v="929575.99999999697"/>
    <n v="3000"/>
    <n v="20"/>
    <x v="0"/>
    <n v="373947.61"/>
    <x v="2137"/>
    <x v="1"/>
  </r>
  <r>
    <n v="54"/>
    <x v="1"/>
    <x v="4"/>
    <n v="2"/>
    <n v="3"/>
    <x v="1"/>
    <n v="497.99999999997601"/>
    <x v="1"/>
    <n v="1425852.99999996"/>
    <n v="3000"/>
    <n v="20"/>
    <x v="0"/>
    <n v="350187.21"/>
    <x v="2138"/>
    <x v="1"/>
  </r>
  <r>
    <n v="55"/>
    <x v="1"/>
    <x v="2"/>
    <n v="2"/>
    <n v="1"/>
    <x v="1"/>
    <n v="289.40000000012799"/>
    <x v="1"/>
    <n v="330494.99999998498"/>
    <n v="3000"/>
    <n v="20"/>
    <x v="0"/>
    <n v="273507.21000000002"/>
    <x v="2139"/>
    <x v="1"/>
  </r>
  <r>
    <n v="56"/>
    <x v="1"/>
    <x v="2"/>
    <n v="2"/>
    <n v="2"/>
    <x v="1"/>
    <n v="287.00000000014802"/>
    <x v="1"/>
    <n v="437728.99999998999"/>
    <n v="3000"/>
    <n v="20"/>
    <x v="0"/>
    <n v="269307.61"/>
    <x v="2140"/>
    <x v="1"/>
  </r>
  <r>
    <n v="57"/>
    <x v="1"/>
    <x v="2"/>
    <n v="2"/>
    <n v="3"/>
    <x v="1"/>
    <n v="362.39999999949703"/>
    <x v="1"/>
    <n v="461844.999999983"/>
    <n v="3000"/>
    <n v="20"/>
    <x v="0"/>
    <n v="319108.01"/>
    <x v="2141"/>
    <x v="1"/>
  </r>
  <r>
    <n v="58"/>
    <x v="1"/>
    <x v="3"/>
    <n v="2"/>
    <n v="1"/>
    <x v="1"/>
    <n v="340.79999999967498"/>
    <x v="1"/>
    <n v="736719.00000005099"/>
    <n v="3000"/>
    <n v="20"/>
    <x v="0"/>
    <n v="363027.61"/>
    <x v="2142"/>
    <x v="1"/>
  </r>
  <r>
    <n v="59"/>
    <x v="1"/>
    <x v="3"/>
    <n v="2"/>
    <n v="2"/>
    <x v="1"/>
    <n v="334.19999999999601"/>
    <x v="1"/>
    <n v="494259"/>
    <n v="3000"/>
    <n v="20"/>
    <x v="0"/>
    <n v="378628.81"/>
    <x v="2143"/>
    <x v="1"/>
  </r>
  <r>
    <n v="60"/>
    <x v="1"/>
    <x v="3"/>
    <n v="2"/>
    <n v="3"/>
    <x v="1"/>
    <n v="401.39999999979602"/>
    <x v="1"/>
    <n v="678708.99999996903"/>
    <n v="3000"/>
    <n v="20"/>
    <x v="0"/>
    <n v="372508.81"/>
    <x v="2144"/>
    <x v="1"/>
  </r>
  <r>
    <n v="61"/>
    <x v="1"/>
    <x v="4"/>
    <n v="2"/>
    <n v="1"/>
    <x v="1"/>
    <n v="364.79999999983198"/>
    <x v="1"/>
    <n v="900666.99999999895"/>
    <n v="3000"/>
    <n v="20"/>
    <x v="0"/>
    <n v="366507.61"/>
    <x v="2145"/>
    <x v="1"/>
  </r>
  <r>
    <n v="62"/>
    <x v="1"/>
    <x v="4"/>
    <n v="2"/>
    <n v="2"/>
    <x v="1"/>
    <n v="382.79999999950599"/>
    <x v="1"/>
    <n v="843414.99999999302"/>
    <n v="3000"/>
    <n v="20"/>
    <x v="0"/>
    <n v="315507.61"/>
    <x v="2146"/>
    <x v="1"/>
  </r>
  <r>
    <n v="63"/>
    <x v="1"/>
    <x v="4"/>
    <n v="2"/>
    <n v="3"/>
    <x v="1"/>
    <n v="469.999999999615"/>
    <x v="1"/>
    <n v="1507850.99999996"/>
    <n v="3000"/>
    <n v="20"/>
    <x v="0"/>
    <n v="347787.21"/>
    <x v="2147"/>
    <x v="1"/>
  </r>
  <r>
    <n v="64"/>
    <x v="1"/>
    <x v="5"/>
    <n v="2"/>
    <n v="1"/>
    <x v="1"/>
    <n v="408.600000000092"/>
    <x v="1"/>
    <n v="1353122.99999998"/>
    <n v="3000"/>
    <n v="20"/>
    <x v="0"/>
    <n v="352467.21"/>
    <x v="2148"/>
    <x v="1"/>
  </r>
  <r>
    <n v="65"/>
    <x v="1"/>
    <x v="5"/>
    <n v="2"/>
    <n v="2"/>
    <x v="1"/>
    <n v="427.200000000383"/>
    <x v="1"/>
    <n v="1920556.00000003"/>
    <n v="3000"/>
    <n v="20"/>
    <x v="0"/>
    <n v="312987.61"/>
    <x v="2149"/>
    <x v="1"/>
  </r>
  <r>
    <n v="66"/>
    <x v="1"/>
    <x v="5"/>
    <n v="2"/>
    <n v="3"/>
    <x v="1"/>
    <n v="553.79999999942697"/>
    <x v="1"/>
    <n v="1980976"/>
    <n v="3000"/>
    <n v="20"/>
    <x v="0"/>
    <n v="381628.01"/>
    <x v="2150"/>
    <x v="1"/>
  </r>
  <r>
    <n v="67"/>
    <x v="1"/>
    <x v="4"/>
    <n v="2"/>
    <n v="1"/>
    <x v="1"/>
    <n v="358.99999999990899"/>
    <x v="1"/>
    <n v="736641.00000002002"/>
    <n v="3000"/>
    <n v="20"/>
    <x v="0"/>
    <n v="343708.01"/>
    <x v="2151"/>
    <x v="1"/>
  </r>
  <r>
    <n v="68"/>
    <x v="1"/>
    <x v="4"/>
    <n v="2"/>
    <n v="2"/>
    <x v="1"/>
    <n v="373.80000000055702"/>
    <x v="1"/>
    <n v="1227076.9999999499"/>
    <n v="3000"/>
    <n v="20"/>
    <x v="0"/>
    <n v="278426.81"/>
    <x v="2152"/>
    <x v="1"/>
  </r>
  <r>
    <n v="69"/>
    <x v="1"/>
    <x v="4"/>
    <n v="2"/>
    <n v="3"/>
    <x v="1"/>
    <n v="458.79999999947103"/>
    <x v="1"/>
    <n v="949294.00000000896"/>
    <n v="3000"/>
    <n v="20"/>
    <x v="0"/>
    <n v="348148.41"/>
    <x v="2153"/>
    <x v="1"/>
  </r>
  <r>
    <n v="28"/>
    <x v="1"/>
    <x v="1"/>
    <n v="2"/>
    <n v="1"/>
    <x v="1"/>
    <n v="901.80000000010796"/>
    <x v="1"/>
    <n v="226247.99999999799"/>
    <n v="3000"/>
    <n v="100"/>
    <x v="0"/>
    <n v="516147.21"/>
    <x v="2154"/>
    <x v="1"/>
  </r>
  <r>
    <n v="29"/>
    <x v="1"/>
    <x v="2"/>
    <n v="2"/>
    <n v="2"/>
    <x v="1"/>
    <n v="926.20000000032098"/>
    <x v="1"/>
    <n v="333011.99999999697"/>
    <n v="3000"/>
    <n v="100"/>
    <x v="0"/>
    <n v="613226.81000000006"/>
    <x v="2155"/>
    <x v="1"/>
  </r>
  <r>
    <n v="30"/>
    <x v="1"/>
    <x v="2"/>
    <n v="2"/>
    <n v="3"/>
    <x v="1"/>
    <n v="922.99999999951899"/>
    <x v="1"/>
    <n v="1243228.99999999"/>
    <n v="3000"/>
    <n v="100"/>
    <x v="0"/>
    <n v="534507.21"/>
    <x v="2156"/>
    <x v="1"/>
  </r>
  <r>
    <n v="31"/>
    <x v="1"/>
    <x v="2"/>
    <n v="2"/>
    <n v="1"/>
    <x v="1"/>
    <n v="780.99999999920999"/>
    <x v="1"/>
    <n v="565414.00000003295"/>
    <n v="3000"/>
    <n v="100"/>
    <x v="0"/>
    <n v="548308.01"/>
    <x v="2157"/>
    <x v="1"/>
  </r>
  <r>
    <n v="32"/>
    <x v="1"/>
    <x v="2"/>
    <n v="2"/>
    <n v="2"/>
    <x v="1"/>
    <n v="720.199999999949"/>
    <x v="1"/>
    <n v="428542.99999999098"/>
    <n v="3000"/>
    <n v="100"/>
    <x v="0"/>
    <n v="603387.21"/>
    <x v="2158"/>
    <x v="1"/>
  </r>
  <r>
    <n v="33"/>
    <x v="1"/>
    <x v="2"/>
    <n v="2"/>
    <n v="3"/>
    <x v="1"/>
    <n v="762.79999999968595"/>
    <x v="1"/>
    <n v="873103.00000001502"/>
    <n v="3000"/>
    <n v="100"/>
    <x v="0"/>
    <n v="609987.21"/>
    <x v="2159"/>
    <x v="1"/>
  </r>
  <r>
    <n v="34"/>
    <x v="1"/>
    <x v="2"/>
    <n v="2"/>
    <n v="1"/>
    <x v="1"/>
    <n v="563.600000000264"/>
    <x v="1"/>
    <n v="344550.00000002701"/>
    <n v="3000"/>
    <n v="100"/>
    <x v="0"/>
    <n v="620308.81000000006"/>
    <x v="2160"/>
    <x v="1"/>
  </r>
  <r>
    <n v="35"/>
    <x v="1"/>
    <x v="3"/>
    <n v="2"/>
    <n v="1"/>
    <x v="1"/>
    <n v="467.000000000439"/>
    <x v="1"/>
    <n v="1064708.99999999"/>
    <n v="3000"/>
    <n v="100"/>
    <x v="0"/>
    <n v="608787.61"/>
    <x v="2161"/>
    <x v="1"/>
  </r>
  <r>
    <n v="36"/>
    <x v="1"/>
    <x v="3"/>
    <n v="2"/>
    <n v="2"/>
    <x v="1"/>
    <n v="432.59999999953902"/>
    <x v="1"/>
    <n v="657116.99999997101"/>
    <n v="3000"/>
    <n v="100"/>
    <x v="0"/>
    <n v="622108.41"/>
    <x v="2162"/>
    <x v="1"/>
  </r>
  <r>
    <n v="37"/>
    <x v="1"/>
    <x v="3"/>
    <n v="2"/>
    <n v="3"/>
    <x v="1"/>
    <n v="535.40000000005296"/>
    <x v="1"/>
    <n v="638085.99999998696"/>
    <n v="3000"/>
    <n v="100"/>
    <x v="0"/>
    <n v="516386.81"/>
    <x v="2163"/>
    <x v="1"/>
  </r>
  <r>
    <n v="38"/>
    <x v="1"/>
    <x v="3"/>
    <n v="2"/>
    <n v="1"/>
    <x v="1"/>
    <n v="394.79999999976201"/>
    <x v="1"/>
    <n v="402707.00000002101"/>
    <n v="3000"/>
    <n v="100"/>
    <x v="0"/>
    <n v="514107.61"/>
    <x v="2164"/>
    <x v="1"/>
  </r>
  <r>
    <n v="39"/>
    <x v="1"/>
    <x v="4"/>
    <n v="2"/>
    <n v="1"/>
    <x v="1"/>
    <n v="470.600000000232"/>
    <x v="1"/>
    <n v="1193374.00000001"/>
    <n v="3000"/>
    <n v="100"/>
    <x v="0"/>
    <n v="606147.61"/>
    <x v="2165"/>
    <x v="1"/>
  </r>
  <r>
    <n v="40"/>
    <x v="1"/>
    <x v="4"/>
    <n v="2"/>
    <n v="2"/>
    <x v="1"/>
    <n v="455.20000000074401"/>
    <x v="1"/>
    <n v="517399.00000001199"/>
    <n v="3000"/>
    <n v="100"/>
    <x v="0"/>
    <n v="595107.61"/>
    <x v="2166"/>
    <x v="1"/>
  </r>
  <r>
    <n v="41"/>
    <x v="1"/>
    <x v="4"/>
    <n v="2"/>
    <n v="3"/>
    <x v="1"/>
    <n v="556.20000000047298"/>
    <x v="1"/>
    <n v="1178815.99999998"/>
    <n v="3000"/>
    <n v="100"/>
    <x v="0"/>
    <n v="593426.81000000006"/>
    <x v="2167"/>
    <x v="1"/>
  </r>
  <r>
    <n v="42"/>
    <x v="1"/>
    <x v="1"/>
    <n v="2"/>
    <n v="1"/>
    <x v="1"/>
    <n v="288.80000000022198"/>
    <x v="1"/>
    <n v="190006.99999998001"/>
    <n v="3000"/>
    <n v="100"/>
    <x v="0"/>
    <n v="512307.21"/>
    <x v="2168"/>
    <x v="0"/>
  </r>
  <r>
    <n v="43"/>
    <x v="1"/>
    <x v="2"/>
    <n v="2"/>
    <n v="1"/>
    <x v="1"/>
    <n v="340.19999999976801"/>
    <x v="1"/>
    <n v="342902.999999978"/>
    <n v="3000"/>
    <n v="100"/>
    <x v="0"/>
    <n v="514707.61"/>
    <x v="2169"/>
    <x v="1"/>
  </r>
  <r>
    <n v="44"/>
    <x v="1"/>
    <x v="2"/>
    <n v="2"/>
    <n v="2"/>
    <x v="1"/>
    <n v="325.80000000024302"/>
    <x v="1"/>
    <n v="548630.00000000303"/>
    <n v="3000"/>
    <n v="100"/>
    <x v="0"/>
    <n v="607827.21"/>
    <x v="2170"/>
    <x v="1"/>
  </r>
  <r>
    <n v="45"/>
    <x v="1"/>
    <x v="2"/>
    <n v="2"/>
    <n v="3"/>
    <x v="1"/>
    <n v="420.79999999948802"/>
    <x v="1"/>
    <n v="490144.99999998399"/>
    <n v="3000"/>
    <n v="100"/>
    <x v="0"/>
    <n v="592827.21"/>
    <x v="2171"/>
    <x v="1"/>
  </r>
  <r>
    <n v="46"/>
    <x v="1"/>
    <x v="3"/>
    <n v="2"/>
    <n v="1"/>
    <x v="1"/>
    <n v="431.79999999978202"/>
    <x v="1"/>
    <n v="886569.00000000896"/>
    <n v="3000"/>
    <n v="100"/>
    <x v="0"/>
    <n v="609747.61"/>
    <x v="2172"/>
    <x v="1"/>
  </r>
  <r>
    <n v="47"/>
    <x v="1"/>
    <x v="3"/>
    <n v="2"/>
    <n v="2"/>
    <x v="1"/>
    <n v="392.80000000019299"/>
    <x v="1"/>
    <n v="289421.00000000402"/>
    <n v="3000"/>
    <n v="100"/>
    <x v="0"/>
    <n v="511826.81"/>
    <x v="2173"/>
    <x v="1"/>
  </r>
  <r>
    <n v="48"/>
    <x v="1"/>
    <x v="3"/>
    <n v="2"/>
    <n v="3"/>
    <x v="1"/>
    <n v="479.99999999994702"/>
    <x v="1"/>
    <n v="752868.00000003504"/>
    <n v="3000"/>
    <n v="100"/>
    <x v="0"/>
    <n v="597027.21"/>
    <x v="2174"/>
    <x v="1"/>
  </r>
  <r>
    <n v="49"/>
    <x v="1"/>
    <x v="3"/>
    <n v="2"/>
    <n v="1"/>
    <x v="1"/>
    <n v="379.40000000027402"/>
    <x v="1"/>
    <n v="862047.00000001804"/>
    <n v="3000"/>
    <n v="100"/>
    <x v="0"/>
    <n v="555027.61"/>
    <x v="2175"/>
    <x v="1"/>
  </r>
  <r>
    <n v="50"/>
    <x v="1"/>
    <x v="3"/>
    <n v="2"/>
    <n v="2"/>
    <x v="1"/>
    <n v="387.60000000017698"/>
    <x v="1"/>
    <n v="510372.99999995902"/>
    <n v="3000"/>
    <n v="100"/>
    <x v="0"/>
    <n v="617067.21"/>
    <x v="2176"/>
    <x v="1"/>
  </r>
  <r>
    <n v="51"/>
    <x v="1"/>
    <x v="3"/>
    <n v="2"/>
    <n v="3"/>
    <x v="1"/>
    <n v="476.39999999944399"/>
    <x v="1"/>
    <n v="1073153.99999999"/>
    <n v="3000"/>
    <n v="100"/>
    <x v="0"/>
    <n v="624866.81000000006"/>
    <x v="2177"/>
    <x v="1"/>
  </r>
  <r>
    <n v="52"/>
    <x v="1"/>
    <x v="4"/>
    <n v="2"/>
    <n v="1"/>
    <x v="1"/>
    <n v="407.79999999998"/>
    <x v="1"/>
    <n v="757241.000000022"/>
    <n v="3000"/>
    <n v="100"/>
    <x v="0"/>
    <n v="601348.01"/>
    <x v="2178"/>
    <x v="1"/>
  </r>
  <r>
    <n v="53"/>
    <x v="1"/>
    <x v="4"/>
    <n v="2"/>
    <n v="2"/>
    <x v="1"/>
    <n v="396.99999999953701"/>
    <x v="1"/>
    <n v="929575.99999999697"/>
    <n v="3000"/>
    <n v="100"/>
    <x v="0"/>
    <n v="613947.21"/>
    <x v="2179"/>
    <x v="1"/>
  </r>
  <r>
    <n v="54"/>
    <x v="1"/>
    <x v="4"/>
    <n v="2"/>
    <n v="3"/>
    <x v="1"/>
    <n v="497.99999999997601"/>
    <x v="1"/>
    <n v="1425852.99999996"/>
    <n v="3000"/>
    <n v="100"/>
    <x v="0"/>
    <n v="590186.81000000006"/>
    <x v="2180"/>
    <x v="1"/>
  </r>
  <r>
    <n v="55"/>
    <x v="1"/>
    <x v="2"/>
    <n v="2"/>
    <n v="1"/>
    <x v="1"/>
    <n v="289.40000000012799"/>
    <x v="1"/>
    <n v="330494.99999998498"/>
    <n v="3000"/>
    <n v="100"/>
    <x v="0"/>
    <n v="513506.81"/>
    <x v="2181"/>
    <x v="1"/>
  </r>
  <r>
    <n v="56"/>
    <x v="1"/>
    <x v="2"/>
    <n v="2"/>
    <n v="2"/>
    <x v="1"/>
    <n v="287.00000000014802"/>
    <x v="1"/>
    <n v="437728.99999998999"/>
    <n v="3000"/>
    <n v="100"/>
    <x v="0"/>
    <n v="509307.21"/>
    <x v="2182"/>
    <x v="1"/>
  </r>
  <r>
    <n v="57"/>
    <x v="1"/>
    <x v="2"/>
    <n v="2"/>
    <n v="3"/>
    <x v="1"/>
    <n v="362.39999999949703"/>
    <x v="1"/>
    <n v="461844.999999983"/>
    <n v="3000"/>
    <n v="100"/>
    <x v="0"/>
    <n v="559107.61"/>
    <x v="2183"/>
    <x v="1"/>
  </r>
  <r>
    <n v="58"/>
    <x v="1"/>
    <x v="3"/>
    <n v="2"/>
    <n v="1"/>
    <x v="1"/>
    <n v="340.79999999967498"/>
    <x v="1"/>
    <n v="736719.00000005099"/>
    <n v="3000"/>
    <n v="100"/>
    <x v="0"/>
    <n v="603027.21"/>
    <x v="2184"/>
    <x v="1"/>
  </r>
  <r>
    <n v="59"/>
    <x v="1"/>
    <x v="3"/>
    <n v="2"/>
    <n v="2"/>
    <x v="1"/>
    <n v="334.19999999999601"/>
    <x v="1"/>
    <n v="494259"/>
    <n v="3000"/>
    <n v="100"/>
    <x v="0"/>
    <n v="618628.41"/>
    <x v="2185"/>
    <x v="1"/>
  </r>
  <r>
    <n v="60"/>
    <x v="1"/>
    <x v="3"/>
    <n v="2"/>
    <n v="3"/>
    <x v="1"/>
    <n v="401.39999999979602"/>
    <x v="1"/>
    <n v="678708.99999996903"/>
    <n v="3000"/>
    <n v="100"/>
    <x v="0"/>
    <n v="612508.41"/>
    <x v="2186"/>
    <x v="1"/>
  </r>
  <r>
    <n v="61"/>
    <x v="1"/>
    <x v="4"/>
    <n v="2"/>
    <n v="1"/>
    <x v="1"/>
    <n v="364.79999999983198"/>
    <x v="1"/>
    <n v="900666.99999999895"/>
    <n v="3000"/>
    <n v="100"/>
    <x v="0"/>
    <n v="606507.21"/>
    <x v="2187"/>
    <x v="1"/>
  </r>
  <r>
    <n v="62"/>
    <x v="1"/>
    <x v="4"/>
    <n v="2"/>
    <n v="2"/>
    <x v="1"/>
    <n v="382.79999999950599"/>
    <x v="1"/>
    <n v="843414.99999999302"/>
    <n v="3000"/>
    <n v="100"/>
    <x v="0"/>
    <n v="555507.21"/>
    <x v="2188"/>
    <x v="1"/>
  </r>
  <r>
    <n v="63"/>
    <x v="1"/>
    <x v="4"/>
    <n v="2"/>
    <n v="3"/>
    <x v="1"/>
    <n v="469.999999999615"/>
    <x v="1"/>
    <n v="1507850.99999996"/>
    <n v="3000"/>
    <n v="100"/>
    <x v="0"/>
    <n v="587786.81000000006"/>
    <x v="2189"/>
    <x v="1"/>
  </r>
  <r>
    <n v="64"/>
    <x v="1"/>
    <x v="5"/>
    <n v="2"/>
    <n v="1"/>
    <x v="1"/>
    <n v="408.600000000092"/>
    <x v="1"/>
    <n v="1353122.99999998"/>
    <n v="3000"/>
    <n v="100"/>
    <x v="0"/>
    <n v="592466.81000000006"/>
    <x v="2190"/>
    <x v="1"/>
  </r>
  <r>
    <n v="65"/>
    <x v="1"/>
    <x v="5"/>
    <n v="2"/>
    <n v="2"/>
    <x v="1"/>
    <n v="427.200000000383"/>
    <x v="1"/>
    <n v="1920556.00000003"/>
    <n v="3000"/>
    <n v="100"/>
    <x v="0"/>
    <n v="552987.21"/>
    <x v="2191"/>
    <x v="1"/>
  </r>
  <r>
    <n v="66"/>
    <x v="1"/>
    <x v="5"/>
    <n v="2"/>
    <n v="3"/>
    <x v="1"/>
    <n v="553.79999999942697"/>
    <x v="1"/>
    <n v="1980976"/>
    <n v="3000"/>
    <n v="100"/>
    <x v="0"/>
    <n v="621627.61"/>
    <x v="2192"/>
    <x v="1"/>
  </r>
  <r>
    <n v="67"/>
    <x v="1"/>
    <x v="4"/>
    <n v="2"/>
    <n v="1"/>
    <x v="1"/>
    <n v="358.99999999990899"/>
    <x v="1"/>
    <n v="736641.00000002002"/>
    <n v="3000"/>
    <n v="100"/>
    <x v="0"/>
    <n v="583707.61"/>
    <x v="2193"/>
    <x v="1"/>
  </r>
  <r>
    <n v="68"/>
    <x v="1"/>
    <x v="4"/>
    <n v="2"/>
    <n v="2"/>
    <x v="1"/>
    <n v="373.80000000055702"/>
    <x v="1"/>
    <n v="1227076.9999999499"/>
    <n v="3000"/>
    <n v="100"/>
    <x v="0"/>
    <n v="518426.41"/>
    <x v="2194"/>
    <x v="1"/>
  </r>
  <r>
    <n v="69"/>
    <x v="1"/>
    <x v="4"/>
    <n v="2"/>
    <n v="3"/>
    <x v="1"/>
    <n v="458.79999999947103"/>
    <x v="1"/>
    <n v="949294.00000000896"/>
    <n v="3000"/>
    <n v="100"/>
    <x v="0"/>
    <n v="588148.01"/>
    <x v="2195"/>
    <x v="1"/>
  </r>
  <r>
    <n v="28"/>
    <x v="1"/>
    <x v="1"/>
    <n v="2"/>
    <n v="1"/>
    <x v="1"/>
    <n v="901.80000000010796"/>
    <x v="1"/>
    <n v="226247.99999999799"/>
    <n v="2000"/>
    <n v="200"/>
    <x v="0"/>
    <n v="550507.21"/>
    <x v="2196"/>
    <x v="1"/>
  </r>
  <r>
    <n v="29"/>
    <x v="1"/>
    <x v="2"/>
    <n v="2"/>
    <n v="2"/>
    <x v="1"/>
    <n v="926.20000000032098"/>
    <x v="1"/>
    <n v="333011.99999999697"/>
    <n v="2000"/>
    <n v="200"/>
    <x v="0"/>
    <n v="615226.81000000006"/>
    <x v="2197"/>
    <x v="1"/>
  </r>
  <r>
    <n v="30"/>
    <x v="1"/>
    <x v="2"/>
    <n v="2"/>
    <n v="3"/>
    <x v="1"/>
    <n v="922.99999999951899"/>
    <x v="1"/>
    <n v="1243228.99999999"/>
    <n v="2000"/>
    <n v="200"/>
    <x v="0"/>
    <n v="562747.21"/>
    <x v="2198"/>
    <x v="1"/>
  </r>
  <r>
    <n v="31"/>
    <x v="1"/>
    <x v="2"/>
    <n v="2"/>
    <n v="1"/>
    <x v="1"/>
    <n v="780.99999999920999"/>
    <x v="1"/>
    <n v="565414.00000003295"/>
    <n v="2000"/>
    <n v="200"/>
    <x v="0"/>
    <n v="571948.01"/>
    <x v="2199"/>
    <x v="1"/>
  </r>
  <r>
    <n v="32"/>
    <x v="1"/>
    <x v="2"/>
    <n v="2"/>
    <n v="2"/>
    <x v="1"/>
    <n v="720.199999999949"/>
    <x v="1"/>
    <n v="428542.99999999098"/>
    <n v="2000"/>
    <n v="200"/>
    <x v="0"/>
    <n v="608667.21"/>
    <x v="2200"/>
    <x v="1"/>
  </r>
  <r>
    <n v="33"/>
    <x v="1"/>
    <x v="2"/>
    <n v="2"/>
    <n v="3"/>
    <x v="1"/>
    <n v="762.79999999968595"/>
    <x v="1"/>
    <n v="873103.00000001502"/>
    <n v="2000"/>
    <n v="200"/>
    <x v="0"/>
    <n v="613067.21"/>
    <x v="2201"/>
    <x v="1"/>
  </r>
  <r>
    <n v="34"/>
    <x v="1"/>
    <x v="2"/>
    <n v="2"/>
    <n v="1"/>
    <x v="1"/>
    <n v="563.600000000264"/>
    <x v="1"/>
    <n v="344550.00000002701"/>
    <n v="2000"/>
    <n v="200"/>
    <x v="0"/>
    <n v="619948.81000000006"/>
    <x v="2202"/>
    <x v="1"/>
  </r>
  <r>
    <n v="35"/>
    <x v="1"/>
    <x v="3"/>
    <n v="2"/>
    <n v="1"/>
    <x v="1"/>
    <n v="467.000000000439"/>
    <x v="1"/>
    <n v="1064708.99999999"/>
    <n v="2000"/>
    <n v="200"/>
    <x v="0"/>
    <n v="612267.61"/>
    <x v="2203"/>
    <x v="1"/>
  </r>
  <r>
    <n v="36"/>
    <x v="1"/>
    <x v="3"/>
    <n v="2"/>
    <n v="2"/>
    <x v="1"/>
    <n v="432.59999999953902"/>
    <x v="1"/>
    <n v="657116.99999997101"/>
    <n v="2000"/>
    <n v="200"/>
    <x v="0"/>
    <n v="621148.41"/>
    <x v="2204"/>
    <x v="1"/>
  </r>
  <r>
    <n v="37"/>
    <x v="1"/>
    <x v="3"/>
    <n v="2"/>
    <n v="3"/>
    <x v="1"/>
    <n v="535.40000000005296"/>
    <x v="1"/>
    <n v="638085.99999998696"/>
    <n v="2000"/>
    <n v="200"/>
    <x v="0"/>
    <n v="550666.81000000006"/>
    <x v="2205"/>
    <x v="1"/>
  </r>
  <r>
    <n v="38"/>
    <x v="1"/>
    <x v="3"/>
    <n v="2"/>
    <n v="1"/>
    <x v="1"/>
    <n v="394.79999999976201"/>
    <x v="1"/>
    <n v="402707.00000002101"/>
    <n v="2000"/>
    <n v="200"/>
    <x v="0"/>
    <n v="549147.61"/>
    <x v="2206"/>
    <x v="1"/>
  </r>
  <r>
    <n v="39"/>
    <x v="1"/>
    <x v="4"/>
    <n v="2"/>
    <n v="1"/>
    <x v="1"/>
    <n v="470.600000000232"/>
    <x v="1"/>
    <n v="1193374.00000001"/>
    <n v="2000"/>
    <n v="200"/>
    <x v="0"/>
    <n v="610507.61"/>
    <x v="2207"/>
    <x v="1"/>
  </r>
  <r>
    <n v="40"/>
    <x v="1"/>
    <x v="4"/>
    <n v="2"/>
    <n v="2"/>
    <x v="1"/>
    <n v="455.20000000074401"/>
    <x v="1"/>
    <n v="517399.00000001199"/>
    <n v="2000"/>
    <n v="200"/>
    <x v="0"/>
    <n v="603147.61"/>
    <x v="2208"/>
    <x v="1"/>
  </r>
  <r>
    <n v="41"/>
    <x v="1"/>
    <x v="4"/>
    <n v="2"/>
    <n v="3"/>
    <x v="1"/>
    <n v="556.20000000047298"/>
    <x v="1"/>
    <n v="1178815.99999998"/>
    <n v="2000"/>
    <n v="200"/>
    <x v="0"/>
    <n v="602026.81000000006"/>
    <x v="2209"/>
    <x v="1"/>
  </r>
  <r>
    <n v="42"/>
    <x v="1"/>
    <x v="1"/>
    <n v="2"/>
    <n v="1"/>
    <x v="1"/>
    <n v="288.80000000022198"/>
    <x v="1"/>
    <n v="190006.99999998001"/>
    <n v="2000"/>
    <n v="200"/>
    <x v="0"/>
    <n v="547947.21"/>
    <x v="2210"/>
    <x v="1"/>
  </r>
  <r>
    <n v="43"/>
    <x v="1"/>
    <x v="2"/>
    <n v="2"/>
    <n v="1"/>
    <x v="1"/>
    <n v="340.19999999976801"/>
    <x v="1"/>
    <n v="342902.999999978"/>
    <n v="2000"/>
    <n v="200"/>
    <x v="0"/>
    <n v="549547.61"/>
    <x v="2211"/>
    <x v="1"/>
  </r>
  <r>
    <n v="44"/>
    <x v="1"/>
    <x v="2"/>
    <n v="2"/>
    <n v="2"/>
    <x v="1"/>
    <n v="325.80000000024302"/>
    <x v="1"/>
    <n v="548630.00000000303"/>
    <n v="2000"/>
    <n v="200"/>
    <x v="0"/>
    <n v="611627.21"/>
    <x v="2212"/>
    <x v="1"/>
  </r>
  <r>
    <n v="45"/>
    <x v="1"/>
    <x v="2"/>
    <n v="2"/>
    <n v="3"/>
    <x v="1"/>
    <n v="420.79999999948802"/>
    <x v="1"/>
    <n v="490144.99999998399"/>
    <n v="2000"/>
    <n v="200"/>
    <x v="0"/>
    <n v="601627.21"/>
    <x v="2213"/>
    <x v="1"/>
  </r>
  <r>
    <n v="46"/>
    <x v="1"/>
    <x v="3"/>
    <n v="2"/>
    <n v="1"/>
    <x v="1"/>
    <n v="431.79999999978202"/>
    <x v="1"/>
    <n v="886569.00000000896"/>
    <n v="2000"/>
    <n v="200"/>
    <x v="0"/>
    <n v="612907.61"/>
    <x v="2214"/>
    <x v="1"/>
  </r>
  <r>
    <n v="47"/>
    <x v="1"/>
    <x v="3"/>
    <n v="2"/>
    <n v="2"/>
    <x v="1"/>
    <n v="392.80000000019299"/>
    <x v="1"/>
    <n v="289421.00000000402"/>
    <n v="2000"/>
    <n v="200"/>
    <x v="0"/>
    <n v="547626.81000000006"/>
    <x v="2215"/>
    <x v="1"/>
  </r>
  <r>
    <n v="48"/>
    <x v="1"/>
    <x v="3"/>
    <n v="2"/>
    <n v="3"/>
    <x v="1"/>
    <n v="479.99999999994702"/>
    <x v="1"/>
    <n v="752868.00000003504"/>
    <n v="2000"/>
    <n v="200"/>
    <x v="0"/>
    <n v="604427.21"/>
    <x v="2216"/>
    <x v="1"/>
  </r>
  <r>
    <n v="49"/>
    <x v="1"/>
    <x v="3"/>
    <n v="2"/>
    <n v="1"/>
    <x v="1"/>
    <n v="379.40000000027402"/>
    <x v="1"/>
    <n v="862047.00000001804"/>
    <n v="2000"/>
    <n v="200"/>
    <x v="0"/>
    <n v="576427.61"/>
    <x v="2217"/>
    <x v="1"/>
  </r>
  <r>
    <n v="50"/>
    <x v="1"/>
    <x v="3"/>
    <n v="2"/>
    <n v="2"/>
    <x v="1"/>
    <n v="387.60000000017698"/>
    <x v="1"/>
    <n v="510372.99999995902"/>
    <n v="2000"/>
    <n v="200"/>
    <x v="0"/>
    <n v="617787.21"/>
    <x v="2218"/>
    <x v="1"/>
  </r>
  <r>
    <n v="51"/>
    <x v="1"/>
    <x v="3"/>
    <n v="2"/>
    <n v="3"/>
    <x v="1"/>
    <n v="476.39999999944399"/>
    <x v="1"/>
    <n v="1073153.99999999"/>
    <n v="2000"/>
    <n v="200"/>
    <x v="0"/>
    <n v="622986.81000000006"/>
    <x v="2219"/>
    <x v="1"/>
  </r>
  <r>
    <n v="52"/>
    <x v="1"/>
    <x v="4"/>
    <n v="2"/>
    <n v="1"/>
    <x v="1"/>
    <n v="407.79999999998"/>
    <x v="1"/>
    <n v="757241.000000022"/>
    <n v="2000"/>
    <n v="200"/>
    <x v="0"/>
    <n v="607308.01"/>
    <x v="2220"/>
    <x v="1"/>
  </r>
  <r>
    <n v="53"/>
    <x v="1"/>
    <x v="4"/>
    <n v="2"/>
    <n v="2"/>
    <x v="1"/>
    <n v="396.99999999953701"/>
    <x v="1"/>
    <n v="929575.99999999697"/>
    <n v="2000"/>
    <n v="200"/>
    <x v="0"/>
    <n v="615707.21"/>
    <x v="2221"/>
    <x v="1"/>
  </r>
  <r>
    <n v="54"/>
    <x v="1"/>
    <x v="4"/>
    <n v="2"/>
    <n v="3"/>
    <x v="1"/>
    <n v="497.99999999997601"/>
    <x v="1"/>
    <n v="1425852.99999996"/>
    <n v="2000"/>
    <n v="200"/>
    <x v="0"/>
    <n v="599866.81000000006"/>
    <x v="2222"/>
    <x v="1"/>
  </r>
  <r>
    <n v="55"/>
    <x v="1"/>
    <x v="2"/>
    <n v="2"/>
    <n v="1"/>
    <x v="1"/>
    <n v="289.40000000012799"/>
    <x v="1"/>
    <n v="330494.99999998498"/>
    <n v="2000"/>
    <n v="200"/>
    <x v="0"/>
    <n v="548746.81000000006"/>
    <x v="2223"/>
    <x v="1"/>
  </r>
  <r>
    <n v="56"/>
    <x v="1"/>
    <x v="2"/>
    <n v="2"/>
    <n v="2"/>
    <x v="1"/>
    <n v="287.00000000014802"/>
    <x v="1"/>
    <n v="437728.99999998999"/>
    <n v="2000"/>
    <n v="200"/>
    <x v="0"/>
    <n v="545947.21"/>
    <x v="2224"/>
    <x v="1"/>
  </r>
  <r>
    <n v="57"/>
    <x v="1"/>
    <x v="2"/>
    <n v="2"/>
    <n v="3"/>
    <x v="1"/>
    <n v="362.39999999949703"/>
    <x v="1"/>
    <n v="461844.999999983"/>
    <n v="2000"/>
    <n v="200"/>
    <x v="0"/>
    <n v="579147.61"/>
    <x v="2225"/>
    <x v="1"/>
  </r>
  <r>
    <n v="58"/>
    <x v="1"/>
    <x v="3"/>
    <n v="2"/>
    <n v="1"/>
    <x v="1"/>
    <n v="340.79999999967498"/>
    <x v="1"/>
    <n v="736719.00000005099"/>
    <n v="2000"/>
    <n v="200"/>
    <x v="0"/>
    <n v="608427.21"/>
    <x v="2226"/>
    <x v="1"/>
  </r>
  <r>
    <n v="59"/>
    <x v="1"/>
    <x v="3"/>
    <n v="2"/>
    <n v="2"/>
    <x v="1"/>
    <n v="334.19999999999601"/>
    <x v="1"/>
    <n v="494259"/>
    <n v="2000"/>
    <n v="200"/>
    <x v="0"/>
    <n v="618828.41"/>
    <x v="2227"/>
    <x v="1"/>
  </r>
  <r>
    <n v="60"/>
    <x v="1"/>
    <x v="3"/>
    <n v="2"/>
    <n v="3"/>
    <x v="1"/>
    <n v="401.39999999979602"/>
    <x v="1"/>
    <n v="678708.99999996903"/>
    <n v="2000"/>
    <n v="200"/>
    <x v="0"/>
    <n v="614748.41"/>
    <x v="2228"/>
    <x v="1"/>
  </r>
  <r>
    <n v="61"/>
    <x v="1"/>
    <x v="4"/>
    <n v="2"/>
    <n v="1"/>
    <x v="1"/>
    <n v="364.79999999983198"/>
    <x v="1"/>
    <n v="900666.99999999895"/>
    <n v="2000"/>
    <n v="200"/>
    <x v="0"/>
    <n v="610747.21"/>
    <x v="2229"/>
    <x v="1"/>
  </r>
  <r>
    <n v="62"/>
    <x v="1"/>
    <x v="4"/>
    <n v="2"/>
    <n v="2"/>
    <x v="1"/>
    <n v="382.79999999950599"/>
    <x v="1"/>
    <n v="843414.99999999302"/>
    <n v="2000"/>
    <n v="200"/>
    <x v="0"/>
    <n v="576747.21"/>
    <x v="2230"/>
    <x v="1"/>
  </r>
  <r>
    <n v="63"/>
    <x v="1"/>
    <x v="4"/>
    <n v="2"/>
    <n v="3"/>
    <x v="1"/>
    <n v="469.999999999615"/>
    <x v="1"/>
    <n v="1507850.99999996"/>
    <n v="2000"/>
    <n v="200"/>
    <x v="0"/>
    <n v="598266.81000000006"/>
    <x v="2231"/>
    <x v="1"/>
  </r>
  <r>
    <n v="64"/>
    <x v="1"/>
    <x v="5"/>
    <n v="2"/>
    <n v="1"/>
    <x v="1"/>
    <n v="408.600000000092"/>
    <x v="1"/>
    <n v="1353122.99999998"/>
    <n v="2000"/>
    <n v="200"/>
    <x v="0"/>
    <n v="601386.81000000006"/>
    <x v="2232"/>
    <x v="1"/>
  </r>
  <r>
    <n v="65"/>
    <x v="1"/>
    <x v="5"/>
    <n v="2"/>
    <n v="2"/>
    <x v="1"/>
    <n v="427.200000000383"/>
    <x v="1"/>
    <n v="1920556.00000003"/>
    <n v="2000"/>
    <n v="200"/>
    <x v="0"/>
    <n v="575067.21"/>
    <x v="2233"/>
    <x v="1"/>
  </r>
  <r>
    <n v="66"/>
    <x v="1"/>
    <x v="5"/>
    <n v="2"/>
    <n v="3"/>
    <x v="1"/>
    <n v="553.79999999942697"/>
    <x v="1"/>
    <n v="1980976"/>
    <n v="2000"/>
    <n v="200"/>
    <x v="0"/>
    <n v="620827.61"/>
    <x v="2234"/>
    <x v="1"/>
  </r>
  <r>
    <n v="67"/>
    <x v="1"/>
    <x v="4"/>
    <n v="2"/>
    <n v="1"/>
    <x v="1"/>
    <n v="358.99999999990899"/>
    <x v="1"/>
    <n v="736641.00000002002"/>
    <n v="2000"/>
    <n v="200"/>
    <x v="0"/>
    <n v="595547.61"/>
    <x v="2235"/>
    <x v="1"/>
  </r>
  <r>
    <n v="68"/>
    <x v="1"/>
    <x v="4"/>
    <n v="2"/>
    <n v="2"/>
    <x v="1"/>
    <n v="373.80000000055702"/>
    <x v="1"/>
    <n v="1227076.9999999499"/>
    <n v="2000"/>
    <n v="200"/>
    <x v="0"/>
    <n v="552026.41"/>
    <x v="2236"/>
    <x v="1"/>
  </r>
  <r>
    <n v="69"/>
    <x v="1"/>
    <x v="4"/>
    <n v="2"/>
    <n v="3"/>
    <x v="1"/>
    <n v="458.79999999947103"/>
    <x v="1"/>
    <n v="949294.00000000896"/>
    <n v="2000"/>
    <n v="200"/>
    <x v="0"/>
    <n v="598508.01"/>
    <x v="2237"/>
    <x v="1"/>
  </r>
  <r>
    <n v="28"/>
    <x v="1"/>
    <x v="1"/>
    <n v="2"/>
    <n v="1"/>
    <x v="1"/>
    <n v="901.80000000010796"/>
    <x v="1"/>
    <n v="226247.99999999799"/>
    <n v="1000"/>
    <n v="500"/>
    <x v="0"/>
    <n v="584867.21"/>
    <x v="2238"/>
    <x v="1"/>
  </r>
  <r>
    <n v="29"/>
    <x v="1"/>
    <x v="2"/>
    <n v="2"/>
    <n v="2"/>
    <x v="1"/>
    <n v="926.20000000032098"/>
    <x v="1"/>
    <n v="333011.99999999697"/>
    <n v="1000"/>
    <n v="500"/>
    <x v="0"/>
    <n v="617226.81000000006"/>
    <x v="2239"/>
    <x v="1"/>
  </r>
  <r>
    <n v="30"/>
    <x v="1"/>
    <x v="2"/>
    <n v="2"/>
    <n v="3"/>
    <x v="1"/>
    <n v="922.99999999951899"/>
    <x v="1"/>
    <n v="1243228.99999999"/>
    <n v="1000"/>
    <n v="500"/>
    <x v="0"/>
    <n v="590987.21"/>
    <x v="2240"/>
    <x v="1"/>
  </r>
  <r>
    <n v="31"/>
    <x v="1"/>
    <x v="2"/>
    <n v="2"/>
    <n v="1"/>
    <x v="1"/>
    <n v="780.99999999920999"/>
    <x v="1"/>
    <n v="565414.00000003295"/>
    <n v="1000"/>
    <n v="500"/>
    <x v="0"/>
    <n v="595588.01"/>
    <x v="2241"/>
    <x v="1"/>
  </r>
  <r>
    <n v="32"/>
    <x v="1"/>
    <x v="2"/>
    <n v="2"/>
    <n v="2"/>
    <x v="1"/>
    <n v="720.199999999949"/>
    <x v="1"/>
    <n v="428542.99999999098"/>
    <n v="1000"/>
    <n v="500"/>
    <x v="0"/>
    <n v="613947.21"/>
    <x v="2242"/>
    <x v="1"/>
  </r>
  <r>
    <n v="33"/>
    <x v="1"/>
    <x v="2"/>
    <n v="2"/>
    <n v="3"/>
    <x v="1"/>
    <n v="762.79999999968595"/>
    <x v="1"/>
    <n v="873103.00000001502"/>
    <n v="1000"/>
    <n v="500"/>
    <x v="0"/>
    <n v="616147.21"/>
    <x v="2243"/>
    <x v="1"/>
  </r>
  <r>
    <n v="34"/>
    <x v="1"/>
    <x v="2"/>
    <n v="2"/>
    <n v="1"/>
    <x v="1"/>
    <n v="563.600000000264"/>
    <x v="1"/>
    <n v="344550.00000002701"/>
    <n v="1000"/>
    <n v="500"/>
    <x v="0"/>
    <n v="619588.81000000006"/>
    <x v="2244"/>
    <x v="1"/>
  </r>
  <r>
    <n v="35"/>
    <x v="1"/>
    <x v="3"/>
    <n v="2"/>
    <n v="1"/>
    <x v="1"/>
    <n v="467.000000000439"/>
    <x v="1"/>
    <n v="1064708.99999999"/>
    <n v="1000"/>
    <n v="500"/>
    <x v="0"/>
    <n v="615747.61"/>
    <x v="2245"/>
    <x v="1"/>
  </r>
  <r>
    <n v="36"/>
    <x v="1"/>
    <x v="3"/>
    <n v="2"/>
    <n v="2"/>
    <x v="1"/>
    <n v="432.59999999953902"/>
    <x v="1"/>
    <n v="657116.99999997101"/>
    <n v="1000"/>
    <n v="500"/>
    <x v="0"/>
    <n v="620188.41"/>
    <x v="2246"/>
    <x v="1"/>
  </r>
  <r>
    <n v="37"/>
    <x v="1"/>
    <x v="3"/>
    <n v="2"/>
    <n v="3"/>
    <x v="1"/>
    <n v="535.40000000005296"/>
    <x v="1"/>
    <n v="638085.99999998696"/>
    <n v="1000"/>
    <n v="500"/>
    <x v="0"/>
    <n v="584946.81000000006"/>
    <x v="2247"/>
    <x v="1"/>
  </r>
  <r>
    <n v="38"/>
    <x v="1"/>
    <x v="3"/>
    <n v="2"/>
    <n v="1"/>
    <x v="1"/>
    <n v="394.79999999976201"/>
    <x v="1"/>
    <n v="402707.00000002101"/>
    <n v="1000"/>
    <n v="500"/>
    <x v="0"/>
    <n v="584187.61"/>
    <x v="2248"/>
    <x v="1"/>
  </r>
  <r>
    <n v="39"/>
    <x v="1"/>
    <x v="4"/>
    <n v="2"/>
    <n v="1"/>
    <x v="1"/>
    <n v="470.600000000232"/>
    <x v="1"/>
    <n v="1193374.00000001"/>
    <n v="1000"/>
    <n v="500"/>
    <x v="0"/>
    <n v="614867.61"/>
    <x v="2249"/>
    <x v="1"/>
  </r>
  <r>
    <n v="40"/>
    <x v="1"/>
    <x v="4"/>
    <n v="2"/>
    <n v="2"/>
    <x v="1"/>
    <n v="455.20000000074401"/>
    <x v="1"/>
    <n v="517399.00000001199"/>
    <n v="1000"/>
    <n v="500"/>
    <x v="0"/>
    <n v="611187.61"/>
    <x v="2250"/>
    <x v="1"/>
  </r>
  <r>
    <n v="41"/>
    <x v="1"/>
    <x v="4"/>
    <n v="2"/>
    <n v="3"/>
    <x v="1"/>
    <n v="556.20000000047298"/>
    <x v="1"/>
    <n v="1178815.99999998"/>
    <n v="1000"/>
    <n v="500"/>
    <x v="0"/>
    <n v="610626.81000000006"/>
    <x v="2251"/>
    <x v="1"/>
  </r>
  <r>
    <n v="42"/>
    <x v="1"/>
    <x v="1"/>
    <n v="2"/>
    <n v="1"/>
    <x v="1"/>
    <n v="288.80000000022198"/>
    <x v="1"/>
    <n v="190006.99999998001"/>
    <n v="1000"/>
    <n v="500"/>
    <x v="0"/>
    <n v="583587.21"/>
    <x v="2252"/>
    <x v="1"/>
  </r>
  <r>
    <n v="43"/>
    <x v="1"/>
    <x v="2"/>
    <n v="2"/>
    <n v="1"/>
    <x v="1"/>
    <n v="340.19999999976801"/>
    <x v="1"/>
    <n v="342902.999999978"/>
    <n v="1000"/>
    <n v="500"/>
    <x v="0"/>
    <n v="584387.61"/>
    <x v="2253"/>
    <x v="1"/>
  </r>
  <r>
    <n v="44"/>
    <x v="1"/>
    <x v="2"/>
    <n v="2"/>
    <n v="2"/>
    <x v="1"/>
    <n v="325.80000000024302"/>
    <x v="1"/>
    <n v="548630.00000000303"/>
    <n v="1000"/>
    <n v="500"/>
    <x v="0"/>
    <n v="615427.21"/>
    <x v="2254"/>
    <x v="1"/>
  </r>
  <r>
    <n v="45"/>
    <x v="1"/>
    <x v="2"/>
    <n v="2"/>
    <n v="3"/>
    <x v="1"/>
    <n v="420.79999999948802"/>
    <x v="1"/>
    <n v="490144.99999998399"/>
    <n v="1000"/>
    <n v="500"/>
    <x v="0"/>
    <n v="610427.21"/>
    <x v="2255"/>
    <x v="1"/>
  </r>
  <r>
    <n v="46"/>
    <x v="1"/>
    <x v="3"/>
    <n v="2"/>
    <n v="1"/>
    <x v="1"/>
    <n v="431.79999999978202"/>
    <x v="1"/>
    <n v="886569.00000000896"/>
    <n v="1000"/>
    <n v="500"/>
    <x v="0"/>
    <n v="616067.61"/>
    <x v="2256"/>
    <x v="1"/>
  </r>
  <r>
    <n v="47"/>
    <x v="1"/>
    <x v="3"/>
    <n v="2"/>
    <n v="2"/>
    <x v="1"/>
    <n v="392.80000000019299"/>
    <x v="1"/>
    <n v="289421.00000000402"/>
    <n v="1000"/>
    <n v="500"/>
    <x v="0"/>
    <n v="583426.81000000006"/>
    <x v="2257"/>
    <x v="1"/>
  </r>
  <r>
    <n v="48"/>
    <x v="1"/>
    <x v="3"/>
    <n v="2"/>
    <n v="3"/>
    <x v="1"/>
    <n v="479.99999999994702"/>
    <x v="1"/>
    <n v="752868.00000003504"/>
    <n v="1000"/>
    <n v="500"/>
    <x v="0"/>
    <n v="611827.21"/>
    <x v="2258"/>
    <x v="1"/>
  </r>
  <r>
    <n v="49"/>
    <x v="1"/>
    <x v="3"/>
    <n v="2"/>
    <n v="1"/>
    <x v="1"/>
    <n v="379.40000000027402"/>
    <x v="1"/>
    <n v="862047.00000001804"/>
    <n v="1000"/>
    <n v="500"/>
    <x v="0"/>
    <n v="597827.61"/>
    <x v="2259"/>
    <x v="1"/>
  </r>
  <r>
    <n v="50"/>
    <x v="1"/>
    <x v="3"/>
    <n v="2"/>
    <n v="2"/>
    <x v="1"/>
    <n v="387.60000000017698"/>
    <x v="1"/>
    <n v="510372.99999995902"/>
    <n v="1000"/>
    <n v="500"/>
    <x v="0"/>
    <n v="618507.21"/>
    <x v="2260"/>
    <x v="1"/>
  </r>
  <r>
    <n v="51"/>
    <x v="1"/>
    <x v="3"/>
    <n v="2"/>
    <n v="3"/>
    <x v="1"/>
    <n v="476.39999999944399"/>
    <x v="1"/>
    <n v="1073153.99999999"/>
    <n v="1000"/>
    <n v="500"/>
    <x v="0"/>
    <n v="621106.81000000006"/>
    <x v="2261"/>
    <x v="1"/>
  </r>
  <r>
    <n v="52"/>
    <x v="1"/>
    <x v="4"/>
    <n v="2"/>
    <n v="1"/>
    <x v="1"/>
    <n v="407.79999999998"/>
    <x v="1"/>
    <n v="757241.000000022"/>
    <n v="1000"/>
    <n v="500"/>
    <x v="0"/>
    <n v="613268.01"/>
    <x v="2262"/>
    <x v="1"/>
  </r>
  <r>
    <n v="53"/>
    <x v="1"/>
    <x v="4"/>
    <n v="2"/>
    <n v="2"/>
    <x v="1"/>
    <n v="396.99999999953701"/>
    <x v="1"/>
    <n v="929575.99999999697"/>
    <n v="1000"/>
    <n v="500"/>
    <x v="0"/>
    <n v="617467.21"/>
    <x v="2263"/>
    <x v="1"/>
  </r>
  <r>
    <n v="54"/>
    <x v="1"/>
    <x v="4"/>
    <n v="2"/>
    <n v="3"/>
    <x v="1"/>
    <n v="497.99999999997601"/>
    <x v="1"/>
    <n v="1425852.99999996"/>
    <n v="1000"/>
    <n v="500"/>
    <x v="0"/>
    <n v="609546.81000000006"/>
    <x v="2264"/>
    <x v="1"/>
  </r>
  <r>
    <n v="55"/>
    <x v="1"/>
    <x v="2"/>
    <n v="2"/>
    <n v="1"/>
    <x v="1"/>
    <n v="289.40000000012799"/>
    <x v="1"/>
    <n v="330494.99999998498"/>
    <n v="1000"/>
    <n v="500"/>
    <x v="0"/>
    <n v="583986.81000000006"/>
    <x v="2265"/>
    <x v="1"/>
  </r>
  <r>
    <n v="56"/>
    <x v="1"/>
    <x v="2"/>
    <n v="2"/>
    <n v="2"/>
    <x v="1"/>
    <n v="287.00000000014802"/>
    <x v="1"/>
    <n v="437728.99999998999"/>
    <n v="1000"/>
    <n v="500"/>
    <x v="0"/>
    <n v="582587.21"/>
    <x v="2266"/>
    <x v="1"/>
  </r>
  <r>
    <n v="57"/>
    <x v="1"/>
    <x v="2"/>
    <n v="2"/>
    <n v="3"/>
    <x v="1"/>
    <n v="362.39999999949703"/>
    <x v="1"/>
    <n v="461844.999999983"/>
    <n v="1000"/>
    <n v="500"/>
    <x v="0"/>
    <n v="599187.61"/>
    <x v="2267"/>
    <x v="1"/>
  </r>
  <r>
    <n v="58"/>
    <x v="1"/>
    <x v="3"/>
    <n v="2"/>
    <n v="1"/>
    <x v="1"/>
    <n v="340.79999999967498"/>
    <x v="1"/>
    <n v="736719.00000005099"/>
    <n v="1000"/>
    <n v="500"/>
    <x v="0"/>
    <n v="613827.21"/>
    <x v="2268"/>
    <x v="1"/>
  </r>
  <r>
    <n v="59"/>
    <x v="1"/>
    <x v="3"/>
    <n v="2"/>
    <n v="2"/>
    <x v="1"/>
    <n v="334.19999999999601"/>
    <x v="1"/>
    <n v="494259"/>
    <n v="1000"/>
    <n v="500"/>
    <x v="0"/>
    <n v="619028.41"/>
    <x v="2269"/>
    <x v="1"/>
  </r>
  <r>
    <n v="60"/>
    <x v="1"/>
    <x v="3"/>
    <n v="2"/>
    <n v="3"/>
    <x v="1"/>
    <n v="401.39999999979602"/>
    <x v="1"/>
    <n v="678708.99999996903"/>
    <n v="1000"/>
    <n v="500"/>
    <x v="0"/>
    <n v="616988.41"/>
    <x v="2270"/>
    <x v="1"/>
  </r>
  <r>
    <n v="61"/>
    <x v="1"/>
    <x v="4"/>
    <n v="2"/>
    <n v="1"/>
    <x v="1"/>
    <n v="364.79999999983198"/>
    <x v="1"/>
    <n v="900666.99999999895"/>
    <n v="1000"/>
    <n v="500"/>
    <x v="0"/>
    <n v="614987.21"/>
    <x v="2271"/>
    <x v="1"/>
  </r>
  <r>
    <n v="62"/>
    <x v="1"/>
    <x v="4"/>
    <n v="2"/>
    <n v="2"/>
    <x v="1"/>
    <n v="382.79999999950599"/>
    <x v="1"/>
    <n v="843414.99999999302"/>
    <n v="1000"/>
    <n v="500"/>
    <x v="0"/>
    <n v="597987.21"/>
    <x v="2272"/>
    <x v="1"/>
  </r>
  <r>
    <n v="63"/>
    <x v="1"/>
    <x v="4"/>
    <n v="2"/>
    <n v="3"/>
    <x v="1"/>
    <n v="469.999999999615"/>
    <x v="1"/>
    <n v="1507850.99999996"/>
    <n v="1000"/>
    <n v="500"/>
    <x v="0"/>
    <n v="608746.81000000006"/>
    <x v="2273"/>
    <x v="1"/>
  </r>
  <r>
    <n v="64"/>
    <x v="1"/>
    <x v="5"/>
    <n v="2"/>
    <n v="1"/>
    <x v="1"/>
    <n v="408.600000000092"/>
    <x v="1"/>
    <n v="1353122.99999998"/>
    <n v="1000"/>
    <n v="500"/>
    <x v="0"/>
    <n v="610306.81000000006"/>
    <x v="2274"/>
    <x v="1"/>
  </r>
  <r>
    <n v="65"/>
    <x v="1"/>
    <x v="5"/>
    <n v="2"/>
    <n v="2"/>
    <x v="1"/>
    <n v="427.200000000383"/>
    <x v="1"/>
    <n v="1920556.00000003"/>
    <n v="1000"/>
    <n v="500"/>
    <x v="0"/>
    <n v="597147.21"/>
    <x v="2275"/>
    <x v="1"/>
  </r>
  <r>
    <n v="66"/>
    <x v="1"/>
    <x v="5"/>
    <n v="2"/>
    <n v="3"/>
    <x v="1"/>
    <n v="553.79999999942697"/>
    <x v="1"/>
    <n v="1980976"/>
    <n v="1000"/>
    <n v="500"/>
    <x v="0"/>
    <n v="620027.61"/>
    <x v="2276"/>
    <x v="1"/>
  </r>
  <r>
    <n v="67"/>
    <x v="1"/>
    <x v="4"/>
    <n v="2"/>
    <n v="1"/>
    <x v="1"/>
    <n v="358.99999999990899"/>
    <x v="1"/>
    <n v="736641.00000002002"/>
    <n v="1000"/>
    <n v="500"/>
    <x v="0"/>
    <n v="607387.61"/>
    <x v="2277"/>
    <x v="1"/>
  </r>
  <r>
    <n v="68"/>
    <x v="1"/>
    <x v="4"/>
    <n v="2"/>
    <n v="2"/>
    <x v="1"/>
    <n v="373.80000000055702"/>
    <x v="1"/>
    <n v="1227076.9999999499"/>
    <n v="1000"/>
    <n v="500"/>
    <x v="0"/>
    <n v="585626.41"/>
    <x v="2278"/>
    <x v="1"/>
  </r>
  <r>
    <n v="69"/>
    <x v="1"/>
    <x v="4"/>
    <n v="2"/>
    <n v="3"/>
    <x v="1"/>
    <n v="458.79999999947103"/>
    <x v="1"/>
    <n v="949294.00000000896"/>
    <n v="1000"/>
    <n v="500"/>
    <x v="0"/>
    <n v="608868.01"/>
    <x v="2279"/>
    <x v="1"/>
  </r>
  <r>
    <n v="28"/>
    <x v="1"/>
    <x v="1"/>
    <n v="2"/>
    <n v="1"/>
    <x v="1"/>
    <n v="901.80000000010796"/>
    <x v="1"/>
    <n v="226247.99999999799"/>
    <n v="5000"/>
    <n v="20"/>
    <x v="0"/>
    <n v="447427.61"/>
    <x v="2280"/>
    <x v="1"/>
  </r>
  <r>
    <n v="29"/>
    <x v="1"/>
    <x v="2"/>
    <n v="2"/>
    <n v="2"/>
    <x v="1"/>
    <n v="926.20000000032098"/>
    <x v="1"/>
    <n v="333011.99999999697"/>
    <n v="5000"/>
    <n v="20"/>
    <x v="0"/>
    <n v="609227.21"/>
    <x v="2281"/>
    <x v="1"/>
  </r>
  <r>
    <n v="30"/>
    <x v="1"/>
    <x v="2"/>
    <n v="2"/>
    <n v="3"/>
    <x v="1"/>
    <n v="922.99999999951899"/>
    <x v="1"/>
    <n v="1243228.99999999"/>
    <n v="5000"/>
    <n v="20"/>
    <x v="0"/>
    <n v="478027.61"/>
    <x v="2282"/>
    <x v="1"/>
  </r>
  <r>
    <n v="31"/>
    <x v="1"/>
    <x v="2"/>
    <n v="2"/>
    <n v="1"/>
    <x v="1"/>
    <n v="780.99999999920999"/>
    <x v="1"/>
    <n v="565414.00000003295"/>
    <n v="5000"/>
    <n v="20"/>
    <x v="0"/>
    <n v="501028.41"/>
    <x v="2283"/>
    <x v="1"/>
  </r>
  <r>
    <n v="32"/>
    <x v="1"/>
    <x v="2"/>
    <n v="2"/>
    <n v="2"/>
    <x v="1"/>
    <n v="720.199999999949"/>
    <x v="1"/>
    <n v="428542.99999999098"/>
    <n v="5000"/>
    <n v="20"/>
    <x v="0"/>
    <n v="592827.61"/>
    <x v="2284"/>
    <x v="1"/>
  </r>
  <r>
    <n v="33"/>
    <x v="1"/>
    <x v="2"/>
    <n v="2"/>
    <n v="3"/>
    <x v="1"/>
    <n v="762.79999999968595"/>
    <x v="1"/>
    <n v="873103.00000001502"/>
    <n v="5000"/>
    <n v="20"/>
    <x v="0"/>
    <n v="603827.61"/>
    <x v="2285"/>
    <x v="1"/>
  </r>
  <r>
    <n v="34"/>
    <x v="1"/>
    <x v="2"/>
    <n v="2"/>
    <n v="1"/>
    <x v="1"/>
    <n v="563.600000000264"/>
    <x v="1"/>
    <n v="344550.00000002701"/>
    <n v="5000"/>
    <n v="20"/>
    <x v="0"/>
    <n v="621029.21"/>
    <x v="2286"/>
    <x v="1"/>
  </r>
  <r>
    <n v="35"/>
    <x v="1"/>
    <x v="3"/>
    <n v="2"/>
    <n v="1"/>
    <x v="1"/>
    <n v="467.000000000439"/>
    <x v="1"/>
    <n v="1064708.99999999"/>
    <n v="5000"/>
    <n v="20"/>
    <x v="0"/>
    <n v="601828.01"/>
    <x v="2287"/>
    <x v="1"/>
  </r>
  <r>
    <n v="36"/>
    <x v="1"/>
    <x v="3"/>
    <n v="2"/>
    <n v="2"/>
    <x v="1"/>
    <n v="432.59999999953902"/>
    <x v="1"/>
    <n v="657116.99999997101"/>
    <n v="5000"/>
    <n v="20"/>
    <x v="0"/>
    <n v="624028.81000000006"/>
    <x v="2288"/>
    <x v="1"/>
  </r>
  <r>
    <n v="37"/>
    <x v="1"/>
    <x v="3"/>
    <n v="2"/>
    <n v="3"/>
    <x v="1"/>
    <n v="535.40000000005296"/>
    <x v="1"/>
    <n v="638085.99999998696"/>
    <n v="5000"/>
    <n v="20"/>
    <x v="0"/>
    <n v="447827.21"/>
    <x v="2289"/>
    <x v="1"/>
  </r>
  <r>
    <n v="38"/>
    <x v="1"/>
    <x v="3"/>
    <n v="2"/>
    <n v="1"/>
    <x v="1"/>
    <n v="394.79999999976201"/>
    <x v="1"/>
    <n v="402707.00000002101"/>
    <n v="5000"/>
    <n v="20"/>
    <x v="0"/>
    <n v="444028.01"/>
    <x v="2290"/>
    <x v="1"/>
  </r>
  <r>
    <n v="39"/>
    <x v="1"/>
    <x v="4"/>
    <n v="2"/>
    <n v="1"/>
    <x v="1"/>
    <n v="470.600000000232"/>
    <x v="1"/>
    <n v="1193374.00000001"/>
    <n v="5000"/>
    <n v="20"/>
    <x v="0"/>
    <n v="597428.01"/>
    <x v="2291"/>
    <x v="1"/>
  </r>
  <r>
    <n v="40"/>
    <x v="1"/>
    <x v="4"/>
    <n v="2"/>
    <n v="2"/>
    <x v="1"/>
    <n v="455.20000000074401"/>
    <x v="1"/>
    <n v="517399.00000001199"/>
    <n v="5000"/>
    <n v="20"/>
    <x v="0"/>
    <n v="579028.01"/>
    <x v="2292"/>
    <x v="1"/>
  </r>
  <r>
    <n v="41"/>
    <x v="1"/>
    <x v="4"/>
    <n v="2"/>
    <n v="3"/>
    <x v="1"/>
    <n v="556.20000000047298"/>
    <x v="1"/>
    <n v="1178815.99999998"/>
    <n v="5000"/>
    <n v="20"/>
    <x v="0"/>
    <n v="576227.21"/>
    <x v="2293"/>
    <x v="1"/>
  </r>
  <r>
    <n v="42"/>
    <x v="1"/>
    <x v="1"/>
    <n v="2"/>
    <n v="1"/>
    <x v="1"/>
    <n v="288.80000000022198"/>
    <x v="1"/>
    <n v="190006.99999998001"/>
    <n v="5000"/>
    <n v="20"/>
    <x v="0"/>
    <n v="441027.61"/>
    <x v="2294"/>
    <x v="1"/>
  </r>
  <r>
    <n v="43"/>
    <x v="1"/>
    <x v="2"/>
    <n v="2"/>
    <n v="1"/>
    <x v="1"/>
    <n v="340.19999999976801"/>
    <x v="1"/>
    <n v="342902.999999978"/>
    <n v="5000"/>
    <n v="20"/>
    <x v="0"/>
    <n v="445028.01"/>
    <x v="2295"/>
    <x v="1"/>
  </r>
  <r>
    <n v="44"/>
    <x v="1"/>
    <x v="2"/>
    <n v="2"/>
    <n v="2"/>
    <x v="1"/>
    <n v="325.80000000024302"/>
    <x v="1"/>
    <n v="548630.00000000303"/>
    <n v="5000"/>
    <n v="20"/>
    <x v="0"/>
    <n v="600227.61"/>
    <x v="2296"/>
    <x v="1"/>
  </r>
  <r>
    <n v="45"/>
    <x v="1"/>
    <x v="2"/>
    <n v="2"/>
    <n v="3"/>
    <x v="1"/>
    <n v="420.79999999948802"/>
    <x v="1"/>
    <n v="490144.99999998399"/>
    <n v="5000"/>
    <n v="20"/>
    <x v="0"/>
    <n v="575227.61"/>
    <x v="2297"/>
    <x v="1"/>
  </r>
  <r>
    <n v="46"/>
    <x v="1"/>
    <x v="3"/>
    <n v="2"/>
    <n v="1"/>
    <x v="1"/>
    <n v="431.79999999978202"/>
    <x v="1"/>
    <n v="886569.00000000896"/>
    <n v="5000"/>
    <n v="20"/>
    <x v="0"/>
    <n v="603428.01"/>
    <x v="2298"/>
    <x v="1"/>
  </r>
  <r>
    <n v="47"/>
    <x v="1"/>
    <x v="3"/>
    <n v="2"/>
    <n v="2"/>
    <x v="1"/>
    <n v="392.80000000019299"/>
    <x v="1"/>
    <n v="289421.00000000402"/>
    <n v="5000"/>
    <n v="20"/>
    <x v="0"/>
    <n v="440227.21"/>
    <x v="2299"/>
    <x v="1"/>
  </r>
  <r>
    <n v="48"/>
    <x v="1"/>
    <x v="3"/>
    <n v="2"/>
    <n v="3"/>
    <x v="1"/>
    <n v="479.99999999994702"/>
    <x v="1"/>
    <n v="752868.00000003504"/>
    <n v="5000"/>
    <n v="20"/>
    <x v="0"/>
    <n v="582227.61"/>
    <x v="2300"/>
    <x v="1"/>
  </r>
  <r>
    <n v="49"/>
    <x v="1"/>
    <x v="3"/>
    <n v="2"/>
    <n v="1"/>
    <x v="1"/>
    <n v="379.40000000027402"/>
    <x v="1"/>
    <n v="862047.00000001804"/>
    <n v="5000"/>
    <n v="20"/>
    <x v="0"/>
    <n v="512228.01"/>
    <x v="2301"/>
    <x v="1"/>
  </r>
  <r>
    <n v="50"/>
    <x v="1"/>
    <x v="3"/>
    <n v="2"/>
    <n v="2"/>
    <x v="1"/>
    <n v="387.60000000017698"/>
    <x v="1"/>
    <n v="510372.99999995902"/>
    <n v="5000"/>
    <n v="20"/>
    <x v="0"/>
    <n v="615627.61"/>
    <x v="2302"/>
    <x v="1"/>
  </r>
  <r>
    <n v="51"/>
    <x v="1"/>
    <x v="3"/>
    <n v="2"/>
    <n v="3"/>
    <x v="1"/>
    <n v="476.39999999944399"/>
    <x v="1"/>
    <n v="1073153.99999999"/>
    <n v="5000"/>
    <n v="20"/>
    <x v="0"/>
    <n v="628627.21"/>
    <x v="2303"/>
    <x v="1"/>
  </r>
  <r>
    <n v="52"/>
    <x v="1"/>
    <x v="4"/>
    <n v="2"/>
    <n v="1"/>
    <x v="1"/>
    <n v="407.79999999998"/>
    <x v="1"/>
    <n v="757241.000000022"/>
    <n v="5000"/>
    <n v="20"/>
    <x v="0"/>
    <n v="589428.41"/>
    <x v="2304"/>
    <x v="1"/>
  </r>
  <r>
    <n v="53"/>
    <x v="1"/>
    <x v="4"/>
    <n v="2"/>
    <n v="2"/>
    <x v="1"/>
    <n v="396.99999999953701"/>
    <x v="1"/>
    <n v="929575.99999999697"/>
    <n v="5000"/>
    <n v="20"/>
    <x v="0"/>
    <n v="610427.61"/>
    <x v="2305"/>
    <x v="1"/>
  </r>
  <r>
    <n v="54"/>
    <x v="1"/>
    <x v="4"/>
    <n v="2"/>
    <n v="3"/>
    <x v="1"/>
    <n v="497.99999999997601"/>
    <x v="1"/>
    <n v="1425852.99999996"/>
    <n v="5000"/>
    <n v="20"/>
    <x v="0"/>
    <n v="570827.21"/>
    <x v="2306"/>
    <x v="1"/>
  </r>
  <r>
    <n v="55"/>
    <x v="1"/>
    <x v="2"/>
    <n v="2"/>
    <n v="1"/>
    <x v="1"/>
    <n v="289.40000000012799"/>
    <x v="1"/>
    <n v="330494.99999998498"/>
    <n v="5000"/>
    <n v="20"/>
    <x v="0"/>
    <n v="443027.21"/>
    <x v="2307"/>
    <x v="1"/>
  </r>
  <r>
    <n v="56"/>
    <x v="1"/>
    <x v="2"/>
    <n v="2"/>
    <n v="2"/>
    <x v="1"/>
    <n v="287.00000000014802"/>
    <x v="1"/>
    <n v="437728.99999998999"/>
    <n v="5000"/>
    <n v="20"/>
    <x v="0"/>
    <n v="436027.61"/>
    <x v="2308"/>
    <x v="1"/>
  </r>
  <r>
    <n v="57"/>
    <x v="1"/>
    <x v="2"/>
    <n v="2"/>
    <n v="3"/>
    <x v="1"/>
    <n v="362.39999999949703"/>
    <x v="1"/>
    <n v="461844.999999983"/>
    <n v="5000"/>
    <n v="20"/>
    <x v="0"/>
    <n v="519028.01"/>
    <x v="2309"/>
    <x v="1"/>
  </r>
  <r>
    <n v="58"/>
    <x v="1"/>
    <x v="3"/>
    <n v="2"/>
    <n v="1"/>
    <x v="1"/>
    <n v="340.79999999967498"/>
    <x v="1"/>
    <n v="736719.00000005099"/>
    <n v="5000"/>
    <n v="20"/>
    <x v="0"/>
    <n v="592227.61"/>
    <x v="2310"/>
    <x v="1"/>
  </r>
  <r>
    <n v="59"/>
    <x v="1"/>
    <x v="3"/>
    <n v="2"/>
    <n v="2"/>
    <x v="1"/>
    <n v="334.19999999999601"/>
    <x v="1"/>
    <n v="494259"/>
    <n v="5000"/>
    <n v="20"/>
    <x v="0"/>
    <n v="618228.81000000006"/>
    <x v="2311"/>
    <x v="1"/>
  </r>
  <r>
    <n v="60"/>
    <x v="1"/>
    <x v="3"/>
    <n v="2"/>
    <n v="3"/>
    <x v="1"/>
    <n v="401.39999999979602"/>
    <x v="1"/>
    <n v="678708.99999996903"/>
    <n v="5000"/>
    <n v="20"/>
    <x v="0"/>
    <n v="608028.81000000006"/>
    <x v="2312"/>
    <x v="1"/>
  </r>
  <r>
    <n v="61"/>
    <x v="1"/>
    <x v="4"/>
    <n v="2"/>
    <n v="1"/>
    <x v="1"/>
    <n v="364.79999999983198"/>
    <x v="1"/>
    <n v="900666.99999999895"/>
    <n v="5000"/>
    <n v="20"/>
    <x v="0"/>
    <n v="598027.61"/>
    <x v="2313"/>
    <x v="1"/>
  </r>
  <r>
    <n v="62"/>
    <x v="1"/>
    <x v="4"/>
    <n v="2"/>
    <n v="2"/>
    <x v="1"/>
    <n v="382.79999999950599"/>
    <x v="1"/>
    <n v="843414.99999999302"/>
    <n v="5000"/>
    <n v="20"/>
    <x v="0"/>
    <n v="513027.61"/>
    <x v="2314"/>
    <x v="1"/>
  </r>
  <r>
    <n v="63"/>
    <x v="1"/>
    <x v="4"/>
    <n v="2"/>
    <n v="3"/>
    <x v="1"/>
    <n v="469.999999999615"/>
    <x v="1"/>
    <n v="1507850.99999996"/>
    <n v="5000"/>
    <n v="20"/>
    <x v="0"/>
    <n v="566827.21"/>
    <x v="2315"/>
    <x v="1"/>
  </r>
  <r>
    <n v="64"/>
    <x v="1"/>
    <x v="5"/>
    <n v="2"/>
    <n v="1"/>
    <x v="1"/>
    <n v="408.600000000092"/>
    <x v="1"/>
    <n v="1353122.99999998"/>
    <n v="5000"/>
    <n v="20"/>
    <x v="0"/>
    <n v="574627.21"/>
    <x v="2316"/>
    <x v="1"/>
  </r>
  <r>
    <n v="65"/>
    <x v="1"/>
    <x v="5"/>
    <n v="2"/>
    <n v="2"/>
    <x v="1"/>
    <n v="427.200000000383"/>
    <x v="1"/>
    <n v="1920556.00000003"/>
    <n v="5000"/>
    <n v="20"/>
    <x v="0"/>
    <n v="508827.61"/>
    <x v="2317"/>
    <x v="1"/>
  </r>
  <r>
    <n v="66"/>
    <x v="1"/>
    <x v="5"/>
    <n v="2"/>
    <n v="3"/>
    <x v="1"/>
    <n v="553.79999999942697"/>
    <x v="1"/>
    <n v="1980976"/>
    <n v="5000"/>
    <n v="20"/>
    <x v="0"/>
    <n v="623228.01"/>
    <x v="2318"/>
    <x v="1"/>
  </r>
  <r>
    <n v="67"/>
    <x v="1"/>
    <x v="4"/>
    <n v="2"/>
    <n v="1"/>
    <x v="1"/>
    <n v="358.99999999990899"/>
    <x v="1"/>
    <n v="736641.00000002002"/>
    <n v="5000"/>
    <n v="20"/>
    <x v="0"/>
    <n v="560028.01"/>
    <x v="2319"/>
    <x v="1"/>
  </r>
  <r>
    <n v="68"/>
    <x v="1"/>
    <x v="4"/>
    <n v="2"/>
    <n v="2"/>
    <x v="1"/>
    <n v="373.80000000055702"/>
    <x v="1"/>
    <n v="1227076.9999999499"/>
    <n v="5000"/>
    <n v="20"/>
    <x v="0"/>
    <n v="451226.81"/>
    <x v="2320"/>
    <x v="1"/>
  </r>
  <r>
    <n v="69"/>
    <x v="1"/>
    <x v="4"/>
    <n v="2"/>
    <n v="3"/>
    <x v="1"/>
    <n v="458.79999999947103"/>
    <x v="1"/>
    <n v="949294.00000000896"/>
    <n v="5000"/>
    <n v="20"/>
    <x v="0"/>
    <n v="567428.41"/>
    <x v="2321"/>
    <x v="1"/>
  </r>
  <r>
    <n v="28"/>
    <x v="1"/>
    <x v="1"/>
    <n v="2"/>
    <n v="1"/>
    <x v="1"/>
    <n v="901.80000000010796"/>
    <x v="1"/>
    <n v="226247.99999999799"/>
    <n v="1000"/>
    <n v="700"/>
    <x v="0"/>
    <n v="784867.21"/>
    <x v="2322"/>
    <x v="1"/>
  </r>
  <r>
    <n v="29"/>
    <x v="1"/>
    <x v="2"/>
    <n v="2"/>
    <n v="2"/>
    <x v="1"/>
    <n v="926.20000000032098"/>
    <x v="1"/>
    <n v="333011.99999999697"/>
    <n v="1000"/>
    <n v="700"/>
    <x v="0"/>
    <n v="817226.81"/>
    <x v="2323"/>
    <x v="1"/>
  </r>
  <r>
    <n v="30"/>
    <x v="1"/>
    <x v="2"/>
    <n v="2"/>
    <n v="3"/>
    <x v="1"/>
    <n v="922.99999999951899"/>
    <x v="1"/>
    <n v="1243228.99999999"/>
    <n v="1000"/>
    <n v="700"/>
    <x v="0"/>
    <n v="790987.21"/>
    <x v="2324"/>
    <x v="1"/>
  </r>
  <r>
    <n v="31"/>
    <x v="1"/>
    <x v="2"/>
    <n v="2"/>
    <n v="1"/>
    <x v="1"/>
    <n v="780.99999999920999"/>
    <x v="1"/>
    <n v="565414.00000003295"/>
    <n v="1000"/>
    <n v="700"/>
    <x v="0"/>
    <n v="795588.01"/>
    <x v="2325"/>
    <x v="1"/>
  </r>
  <r>
    <n v="32"/>
    <x v="1"/>
    <x v="2"/>
    <n v="2"/>
    <n v="2"/>
    <x v="1"/>
    <n v="720.199999999949"/>
    <x v="1"/>
    <n v="428542.99999999098"/>
    <n v="1000"/>
    <n v="700"/>
    <x v="0"/>
    <n v="813947.21"/>
    <x v="2326"/>
    <x v="1"/>
  </r>
  <r>
    <n v="33"/>
    <x v="1"/>
    <x v="2"/>
    <n v="2"/>
    <n v="3"/>
    <x v="1"/>
    <n v="762.79999999968595"/>
    <x v="1"/>
    <n v="873103.00000001502"/>
    <n v="1000"/>
    <n v="700"/>
    <x v="0"/>
    <n v="816147.21"/>
    <x v="2327"/>
    <x v="1"/>
  </r>
  <r>
    <n v="34"/>
    <x v="1"/>
    <x v="2"/>
    <n v="2"/>
    <n v="1"/>
    <x v="1"/>
    <n v="563.600000000264"/>
    <x v="1"/>
    <n v="344550.00000002701"/>
    <n v="1000"/>
    <n v="700"/>
    <x v="0"/>
    <n v="819588.81"/>
    <x v="2328"/>
    <x v="1"/>
  </r>
  <r>
    <n v="35"/>
    <x v="1"/>
    <x v="3"/>
    <n v="2"/>
    <n v="1"/>
    <x v="1"/>
    <n v="467.000000000439"/>
    <x v="1"/>
    <n v="1064708.99999999"/>
    <n v="1000"/>
    <n v="700"/>
    <x v="0"/>
    <n v="815747.61"/>
    <x v="2329"/>
    <x v="1"/>
  </r>
  <r>
    <n v="36"/>
    <x v="1"/>
    <x v="3"/>
    <n v="2"/>
    <n v="2"/>
    <x v="1"/>
    <n v="432.59999999953902"/>
    <x v="1"/>
    <n v="657116.99999997101"/>
    <n v="1000"/>
    <n v="700"/>
    <x v="0"/>
    <n v="820188.41"/>
    <x v="2330"/>
    <x v="1"/>
  </r>
  <r>
    <n v="37"/>
    <x v="1"/>
    <x v="3"/>
    <n v="2"/>
    <n v="3"/>
    <x v="1"/>
    <n v="535.40000000005296"/>
    <x v="1"/>
    <n v="638085.99999998696"/>
    <n v="1000"/>
    <n v="700"/>
    <x v="0"/>
    <n v="784946.81"/>
    <x v="2331"/>
    <x v="1"/>
  </r>
  <r>
    <n v="38"/>
    <x v="1"/>
    <x v="3"/>
    <n v="2"/>
    <n v="1"/>
    <x v="1"/>
    <n v="394.79999999976201"/>
    <x v="1"/>
    <n v="402707.00000002101"/>
    <n v="1000"/>
    <n v="700"/>
    <x v="0"/>
    <n v="784187.61"/>
    <x v="2332"/>
    <x v="1"/>
  </r>
  <r>
    <n v="39"/>
    <x v="1"/>
    <x v="4"/>
    <n v="2"/>
    <n v="1"/>
    <x v="1"/>
    <n v="470.600000000232"/>
    <x v="1"/>
    <n v="1193374.00000001"/>
    <n v="1000"/>
    <n v="700"/>
    <x v="0"/>
    <n v="814867.61"/>
    <x v="2333"/>
    <x v="1"/>
  </r>
  <r>
    <n v="40"/>
    <x v="1"/>
    <x v="4"/>
    <n v="2"/>
    <n v="2"/>
    <x v="1"/>
    <n v="455.20000000074401"/>
    <x v="1"/>
    <n v="517399.00000001199"/>
    <n v="1000"/>
    <n v="700"/>
    <x v="0"/>
    <n v="811187.61"/>
    <x v="2334"/>
    <x v="1"/>
  </r>
  <r>
    <n v="41"/>
    <x v="1"/>
    <x v="4"/>
    <n v="2"/>
    <n v="3"/>
    <x v="1"/>
    <n v="556.20000000047298"/>
    <x v="1"/>
    <n v="1178815.99999998"/>
    <n v="1000"/>
    <n v="700"/>
    <x v="0"/>
    <n v="810626.81"/>
    <x v="2335"/>
    <x v="1"/>
  </r>
  <r>
    <n v="42"/>
    <x v="1"/>
    <x v="1"/>
    <n v="2"/>
    <n v="1"/>
    <x v="1"/>
    <n v="288.80000000022198"/>
    <x v="1"/>
    <n v="190006.99999998001"/>
    <n v="1000"/>
    <n v="700"/>
    <x v="0"/>
    <n v="783587.21"/>
    <x v="2336"/>
    <x v="0"/>
  </r>
  <r>
    <n v="43"/>
    <x v="1"/>
    <x v="2"/>
    <n v="2"/>
    <n v="1"/>
    <x v="1"/>
    <n v="340.19999999976801"/>
    <x v="1"/>
    <n v="342902.999999978"/>
    <n v="1000"/>
    <n v="700"/>
    <x v="0"/>
    <n v="784387.61"/>
    <x v="2337"/>
    <x v="1"/>
  </r>
  <r>
    <n v="44"/>
    <x v="1"/>
    <x v="2"/>
    <n v="2"/>
    <n v="2"/>
    <x v="1"/>
    <n v="325.80000000024302"/>
    <x v="1"/>
    <n v="548630.00000000303"/>
    <n v="1000"/>
    <n v="700"/>
    <x v="0"/>
    <n v="815427.21"/>
    <x v="2338"/>
    <x v="1"/>
  </r>
  <r>
    <n v="45"/>
    <x v="1"/>
    <x v="2"/>
    <n v="2"/>
    <n v="3"/>
    <x v="1"/>
    <n v="420.79999999948802"/>
    <x v="1"/>
    <n v="490144.99999998399"/>
    <n v="1000"/>
    <n v="700"/>
    <x v="0"/>
    <n v="810427.21"/>
    <x v="2339"/>
    <x v="1"/>
  </r>
  <r>
    <n v="46"/>
    <x v="1"/>
    <x v="3"/>
    <n v="2"/>
    <n v="1"/>
    <x v="1"/>
    <n v="431.79999999978202"/>
    <x v="1"/>
    <n v="886569.00000000896"/>
    <n v="1000"/>
    <n v="700"/>
    <x v="0"/>
    <n v="816067.61"/>
    <x v="2340"/>
    <x v="1"/>
  </r>
  <r>
    <n v="47"/>
    <x v="1"/>
    <x v="3"/>
    <n v="2"/>
    <n v="2"/>
    <x v="1"/>
    <n v="392.80000000019299"/>
    <x v="1"/>
    <n v="289421.00000000402"/>
    <n v="1000"/>
    <n v="700"/>
    <x v="0"/>
    <n v="783426.81"/>
    <x v="2341"/>
    <x v="1"/>
  </r>
  <r>
    <n v="48"/>
    <x v="1"/>
    <x v="3"/>
    <n v="2"/>
    <n v="3"/>
    <x v="1"/>
    <n v="479.99999999994702"/>
    <x v="1"/>
    <n v="752868.00000003504"/>
    <n v="1000"/>
    <n v="700"/>
    <x v="0"/>
    <n v="811827.21"/>
    <x v="2342"/>
    <x v="1"/>
  </r>
  <r>
    <n v="49"/>
    <x v="1"/>
    <x v="3"/>
    <n v="2"/>
    <n v="1"/>
    <x v="1"/>
    <n v="379.40000000027402"/>
    <x v="1"/>
    <n v="862047.00000001804"/>
    <n v="1000"/>
    <n v="700"/>
    <x v="0"/>
    <n v="797827.61"/>
    <x v="2343"/>
    <x v="1"/>
  </r>
  <r>
    <n v="50"/>
    <x v="1"/>
    <x v="3"/>
    <n v="2"/>
    <n v="2"/>
    <x v="1"/>
    <n v="387.60000000017698"/>
    <x v="1"/>
    <n v="510372.99999995902"/>
    <n v="1000"/>
    <n v="700"/>
    <x v="0"/>
    <n v="818507.21"/>
    <x v="2344"/>
    <x v="1"/>
  </r>
  <r>
    <n v="51"/>
    <x v="1"/>
    <x v="3"/>
    <n v="2"/>
    <n v="3"/>
    <x v="1"/>
    <n v="476.39999999944399"/>
    <x v="1"/>
    <n v="1073153.99999999"/>
    <n v="1000"/>
    <n v="700"/>
    <x v="0"/>
    <n v="821106.81"/>
    <x v="2345"/>
    <x v="1"/>
  </r>
  <r>
    <n v="52"/>
    <x v="1"/>
    <x v="4"/>
    <n v="2"/>
    <n v="1"/>
    <x v="1"/>
    <n v="407.79999999998"/>
    <x v="1"/>
    <n v="757241.000000022"/>
    <n v="1000"/>
    <n v="700"/>
    <x v="0"/>
    <n v="813268.01"/>
    <x v="2346"/>
    <x v="1"/>
  </r>
  <r>
    <n v="53"/>
    <x v="1"/>
    <x v="4"/>
    <n v="2"/>
    <n v="2"/>
    <x v="1"/>
    <n v="396.99999999953701"/>
    <x v="1"/>
    <n v="929575.99999999697"/>
    <n v="1000"/>
    <n v="700"/>
    <x v="0"/>
    <n v="817467.21"/>
    <x v="2347"/>
    <x v="1"/>
  </r>
  <r>
    <n v="54"/>
    <x v="1"/>
    <x v="4"/>
    <n v="2"/>
    <n v="3"/>
    <x v="1"/>
    <n v="497.99999999997601"/>
    <x v="1"/>
    <n v="1425852.99999996"/>
    <n v="1000"/>
    <n v="700"/>
    <x v="0"/>
    <n v="809546.81"/>
    <x v="2348"/>
    <x v="1"/>
  </r>
  <r>
    <n v="55"/>
    <x v="1"/>
    <x v="2"/>
    <n v="2"/>
    <n v="1"/>
    <x v="1"/>
    <n v="289.40000000012799"/>
    <x v="1"/>
    <n v="330494.99999998498"/>
    <n v="1000"/>
    <n v="700"/>
    <x v="0"/>
    <n v="783986.81"/>
    <x v="2349"/>
    <x v="1"/>
  </r>
  <r>
    <n v="56"/>
    <x v="1"/>
    <x v="2"/>
    <n v="2"/>
    <n v="2"/>
    <x v="1"/>
    <n v="287.00000000014802"/>
    <x v="1"/>
    <n v="437728.99999998999"/>
    <n v="1000"/>
    <n v="700"/>
    <x v="0"/>
    <n v="782586.81"/>
    <x v="2350"/>
    <x v="1"/>
  </r>
  <r>
    <n v="57"/>
    <x v="1"/>
    <x v="2"/>
    <n v="2"/>
    <n v="3"/>
    <x v="1"/>
    <n v="362.39999999949703"/>
    <x v="1"/>
    <n v="461844.999999983"/>
    <n v="1000"/>
    <n v="700"/>
    <x v="0"/>
    <n v="799187.61"/>
    <x v="2351"/>
    <x v="1"/>
  </r>
  <r>
    <n v="58"/>
    <x v="1"/>
    <x v="3"/>
    <n v="2"/>
    <n v="1"/>
    <x v="1"/>
    <n v="340.79999999967498"/>
    <x v="1"/>
    <n v="736719.00000005099"/>
    <n v="1000"/>
    <n v="700"/>
    <x v="0"/>
    <n v="813827.21"/>
    <x v="2352"/>
    <x v="1"/>
  </r>
  <r>
    <n v="59"/>
    <x v="1"/>
    <x v="3"/>
    <n v="2"/>
    <n v="2"/>
    <x v="1"/>
    <n v="334.19999999999601"/>
    <x v="1"/>
    <n v="494259"/>
    <n v="1000"/>
    <n v="700"/>
    <x v="0"/>
    <n v="819028.41"/>
    <x v="2353"/>
    <x v="1"/>
  </r>
  <r>
    <n v="60"/>
    <x v="1"/>
    <x v="3"/>
    <n v="2"/>
    <n v="3"/>
    <x v="1"/>
    <n v="401.39999999979602"/>
    <x v="1"/>
    <n v="678708.99999996903"/>
    <n v="1000"/>
    <n v="700"/>
    <x v="0"/>
    <n v="816988.41"/>
    <x v="2354"/>
    <x v="1"/>
  </r>
  <r>
    <n v="61"/>
    <x v="1"/>
    <x v="4"/>
    <n v="2"/>
    <n v="1"/>
    <x v="1"/>
    <n v="364.79999999983198"/>
    <x v="1"/>
    <n v="900666.99999999895"/>
    <n v="1000"/>
    <n v="700"/>
    <x v="0"/>
    <n v="814987.21"/>
    <x v="2355"/>
    <x v="1"/>
  </r>
  <r>
    <n v="62"/>
    <x v="1"/>
    <x v="4"/>
    <n v="2"/>
    <n v="2"/>
    <x v="1"/>
    <n v="382.79999999950599"/>
    <x v="1"/>
    <n v="843414.99999999302"/>
    <n v="1000"/>
    <n v="700"/>
    <x v="0"/>
    <n v="797987.21"/>
    <x v="2356"/>
    <x v="1"/>
  </r>
  <r>
    <n v="63"/>
    <x v="1"/>
    <x v="4"/>
    <n v="2"/>
    <n v="3"/>
    <x v="1"/>
    <n v="469.999999999615"/>
    <x v="1"/>
    <n v="1507850.99999996"/>
    <n v="1000"/>
    <n v="700"/>
    <x v="0"/>
    <n v="808746.81"/>
    <x v="2357"/>
    <x v="1"/>
  </r>
  <r>
    <n v="64"/>
    <x v="1"/>
    <x v="5"/>
    <n v="2"/>
    <n v="1"/>
    <x v="1"/>
    <n v="408.600000000092"/>
    <x v="1"/>
    <n v="1353122.99999998"/>
    <n v="1000"/>
    <n v="700"/>
    <x v="0"/>
    <n v="810306.81"/>
    <x v="2358"/>
    <x v="1"/>
  </r>
  <r>
    <n v="65"/>
    <x v="1"/>
    <x v="5"/>
    <n v="2"/>
    <n v="2"/>
    <x v="1"/>
    <n v="427.200000000383"/>
    <x v="1"/>
    <n v="1920556.00000003"/>
    <n v="1000"/>
    <n v="700"/>
    <x v="0"/>
    <n v="797147.21"/>
    <x v="2359"/>
    <x v="1"/>
  </r>
  <r>
    <n v="66"/>
    <x v="1"/>
    <x v="5"/>
    <n v="2"/>
    <n v="3"/>
    <x v="1"/>
    <n v="553.79999999942697"/>
    <x v="1"/>
    <n v="1980976"/>
    <n v="1000"/>
    <n v="700"/>
    <x v="0"/>
    <n v="820027.61"/>
    <x v="2360"/>
    <x v="1"/>
  </r>
  <r>
    <n v="67"/>
    <x v="1"/>
    <x v="4"/>
    <n v="2"/>
    <n v="1"/>
    <x v="1"/>
    <n v="358.99999999990899"/>
    <x v="1"/>
    <n v="736641.00000002002"/>
    <n v="1000"/>
    <n v="700"/>
    <x v="0"/>
    <n v="807387.61"/>
    <x v="2361"/>
    <x v="1"/>
  </r>
  <r>
    <n v="68"/>
    <x v="1"/>
    <x v="4"/>
    <n v="2"/>
    <n v="2"/>
    <x v="1"/>
    <n v="373.80000000055702"/>
    <x v="1"/>
    <n v="1227076.9999999499"/>
    <n v="1000"/>
    <n v="700"/>
    <x v="0"/>
    <n v="785626.41"/>
    <x v="2362"/>
    <x v="1"/>
  </r>
  <r>
    <n v="69"/>
    <x v="1"/>
    <x v="4"/>
    <n v="2"/>
    <n v="3"/>
    <x v="1"/>
    <n v="458.79999999947103"/>
    <x v="1"/>
    <n v="949294.00000000896"/>
    <n v="1000"/>
    <n v="700"/>
    <x v="0"/>
    <n v="808868.01"/>
    <x v="2363"/>
    <x v="1"/>
  </r>
  <r>
    <n v="28"/>
    <x v="1"/>
    <x v="1"/>
    <n v="2"/>
    <n v="1"/>
    <x v="1"/>
    <n v="901.80000000010796"/>
    <x v="1"/>
    <n v="226247.99999999799"/>
    <n v="2000"/>
    <n v="300"/>
    <x v="0"/>
    <n v="750507.21"/>
    <x v="2364"/>
    <x v="1"/>
  </r>
  <r>
    <n v="29"/>
    <x v="1"/>
    <x v="2"/>
    <n v="2"/>
    <n v="2"/>
    <x v="1"/>
    <n v="926.20000000032098"/>
    <x v="1"/>
    <n v="333011.99999999697"/>
    <n v="2000"/>
    <n v="300"/>
    <x v="0"/>
    <n v="815226.81"/>
    <x v="2365"/>
    <x v="1"/>
  </r>
  <r>
    <n v="30"/>
    <x v="1"/>
    <x v="2"/>
    <n v="2"/>
    <n v="3"/>
    <x v="1"/>
    <n v="922.99999999951899"/>
    <x v="1"/>
    <n v="1243228.99999999"/>
    <n v="2000"/>
    <n v="300"/>
    <x v="0"/>
    <n v="762747.21"/>
    <x v="2366"/>
    <x v="1"/>
  </r>
  <r>
    <n v="31"/>
    <x v="1"/>
    <x v="2"/>
    <n v="2"/>
    <n v="1"/>
    <x v="1"/>
    <n v="780.99999999920999"/>
    <x v="1"/>
    <n v="565414.00000003295"/>
    <n v="2000"/>
    <n v="300"/>
    <x v="0"/>
    <n v="771948.01"/>
    <x v="2367"/>
    <x v="1"/>
  </r>
  <r>
    <n v="32"/>
    <x v="1"/>
    <x v="2"/>
    <n v="2"/>
    <n v="2"/>
    <x v="1"/>
    <n v="720.199999999949"/>
    <x v="1"/>
    <n v="428542.99999999098"/>
    <n v="2000"/>
    <n v="300"/>
    <x v="0"/>
    <n v="808667.21"/>
    <x v="2368"/>
    <x v="1"/>
  </r>
  <r>
    <n v="33"/>
    <x v="1"/>
    <x v="2"/>
    <n v="2"/>
    <n v="3"/>
    <x v="1"/>
    <n v="762.79999999968595"/>
    <x v="1"/>
    <n v="873103.00000001502"/>
    <n v="2000"/>
    <n v="300"/>
    <x v="0"/>
    <n v="813067.21"/>
    <x v="2369"/>
    <x v="1"/>
  </r>
  <r>
    <n v="34"/>
    <x v="1"/>
    <x v="2"/>
    <n v="2"/>
    <n v="1"/>
    <x v="1"/>
    <n v="563.600000000264"/>
    <x v="1"/>
    <n v="344550.00000002701"/>
    <n v="2000"/>
    <n v="300"/>
    <x v="0"/>
    <n v="819948.81"/>
    <x v="2370"/>
    <x v="1"/>
  </r>
  <r>
    <n v="35"/>
    <x v="1"/>
    <x v="3"/>
    <n v="2"/>
    <n v="1"/>
    <x v="1"/>
    <n v="467.000000000439"/>
    <x v="1"/>
    <n v="1064708.99999999"/>
    <n v="2000"/>
    <n v="300"/>
    <x v="0"/>
    <n v="812267.61"/>
    <x v="2371"/>
    <x v="1"/>
  </r>
  <r>
    <n v="36"/>
    <x v="1"/>
    <x v="3"/>
    <n v="2"/>
    <n v="2"/>
    <x v="1"/>
    <n v="432.59999999953902"/>
    <x v="1"/>
    <n v="657116.99999997101"/>
    <n v="2000"/>
    <n v="300"/>
    <x v="0"/>
    <n v="821148.41"/>
    <x v="2372"/>
    <x v="1"/>
  </r>
  <r>
    <n v="37"/>
    <x v="1"/>
    <x v="3"/>
    <n v="2"/>
    <n v="3"/>
    <x v="1"/>
    <n v="535.40000000005296"/>
    <x v="1"/>
    <n v="638085.99999998696"/>
    <n v="2000"/>
    <n v="300"/>
    <x v="0"/>
    <n v="750666.81"/>
    <x v="2373"/>
    <x v="1"/>
  </r>
  <r>
    <n v="38"/>
    <x v="1"/>
    <x v="3"/>
    <n v="2"/>
    <n v="1"/>
    <x v="1"/>
    <n v="394.79999999976201"/>
    <x v="1"/>
    <n v="402707.00000002101"/>
    <n v="2000"/>
    <n v="300"/>
    <x v="0"/>
    <n v="749147.61"/>
    <x v="2374"/>
    <x v="1"/>
  </r>
  <r>
    <n v="39"/>
    <x v="1"/>
    <x v="4"/>
    <n v="2"/>
    <n v="1"/>
    <x v="1"/>
    <n v="470.600000000232"/>
    <x v="1"/>
    <n v="1193374.00000001"/>
    <n v="2000"/>
    <n v="300"/>
    <x v="0"/>
    <n v="810507.61"/>
    <x v="2375"/>
    <x v="1"/>
  </r>
  <r>
    <n v="40"/>
    <x v="1"/>
    <x v="4"/>
    <n v="2"/>
    <n v="2"/>
    <x v="1"/>
    <n v="455.20000000074401"/>
    <x v="1"/>
    <n v="517399.00000001199"/>
    <n v="2000"/>
    <n v="300"/>
    <x v="0"/>
    <n v="803147.61"/>
    <x v="2376"/>
    <x v="1"/>
  </r>
  <r>
    <n v="41"/>
    <x v="1"/>
    <x v="4"/>
    <n v="2"/>
    <n v="3"/>
    <x v="1"/>
    <n v="556.20000000047298"/>
    <x v="1"/>
    <n v="1178815.99999998"/>
    <n v="2000"/>
    <n v="300"/>
    <x v="0"/>
    <n v="802026.81"/>
    <x v="2377"/>
    <x v="1"/>
  </r>
  <r>
    <n v="42"/>
    <x v="1"/>
    <x v="1"/>
    <n v="2"/>
    <n v="1"/>
    <x v="1"/>
    <n v="288.80000000022198"/>
    <x v="1"/>
    <n v="190006.99999998001"/>
    <n v="2000"/>
    <n v="300"/>
    <x v="0"/>
    <n v="747947.21"/>
    <x v="2378"/>
    <x v="0"/>
  </r>
  <r>
    <n v="43"/>
    <x v="1"/>
    <x v="2"/>
    <n v="2"/>
    <n v="1"/>
    <x v="1"/>
    <n v="340.19999999976801"/>
    <x v="1"/>
    <n v="342902.999999978"/>
    <n v="2000"/>
    <n v="300"/>
    <x v="0"/>
    <n v="749547.61"/>
    <x v="2379"/>
    <x v="1"/>
  </r>
  <r>
    <n v="44"/>
    <x v="1"/>
    <x v="2"/>
    <n v="2"/>
    <n v="2"/>
    <x v="1"/>
    <n v="325.80000000024302"/>
    <x v="1"/>
    <n v="548630.00000000303"/>
    <n v="2000"/>
    <n v="300"/>
    <x v="0"/>
    <n v="811627.21"/>
    <x v="2380"/>
    <x v="1"/>
  </r>
  <r>
    <n v="45"/>
    <x v="1"/>
    <x v="2"/>
    <n v="2"/>
    <n v="3"/>
    <x v="1"/>
    <n v="420.79999999948802"/>
    <x v="1"/>
    <n v="490144.99999998399"/>
    <n v="2000"/>
    <n v="300"/>
    <x v="0"/>
    <n v="801627.21"/>
    <x v="2381"/>
    <x v="1"/>
  </r>
  <r>
    <n v="46"/>
    <x v="1"/>
    <x v="3"/>
    <n v="2"/>
    <n v="1"/>
    <x v="1"/>
    <n v="431.79999999978202"/>
    <x v="1"/>
    <n v="886569.00000000896"/>
    <n v="2000"/>
    <n v="300"/>
    <x v="0"/>
    <n v="812907.61"/>
    <x v="2382"/>
    <x v="1"/>
  </r>
  <r>
    <n v="47"/>
    <x v="1"/>
    <x v="3"/>
    <n v="2"/>
    <n v="2"/>
    <x v="1"/>
    <n v="392.80000000019299"/>
    <x v="1"/>
    <n v="289421.00000000402"/>
    <n v="2000"/>
    <n v="300"/>
    <x v="0"/>
    <n v="747626.81"/>
    <x v="2383"/>
    <x v="1"/>
  </r>
  <r>
    <n v="48"/>
    <x v="1"/>
    <x v="3"/>
    <n v="2"/>
    <n v="3"/>
    <x v="1"/>
    <n v="479.99999999994702"/>
    <x v="1"/>
    <n v="752868.00000003504"/>
    <n v="2000"/>
    <n v="300"/>
    <x v="0"/>
    <n v="804427.21"/>
    <x v="2384"/>
    <x v="1"/>
  </r>
  <r>
    <n v="49"/>
    <x v="1"/>
    <x v="3"/>
    <n v="2"/>
    <n v="1"/>
    <x v="1"/>
    <n v="379.40000000027402"/>
    <x v="1"/>
    <n v="862047.00000001804"/>
    <n v="2000"/>
    <n v="300"/>
    <x v="0"/>
    <n v="776427.61"/>
    <x v="2385"/>
    <x v="1"/>
  </r>
  <r>
    <n v="50"/>
    <x v="1"/>
    <x v="3"/>
    <n v="2"/>
    <n v="2"/>
    <x v="1"/>
    <n v="387.60000000017698"/>
    <x v="1"/>
    <n v="510372.99999995902"/>
    <n v="2000"/>
    <n v="300"/>
    <x v="0"/>
    <n v="817787.21"/>
    <x v="2386"/>
    <x v="1"/>
  </r>
  <r>
    <n v="51"/>
    <x v="1"/>
    <x v="3"/>
    <n v="2"/>
    <n v="3"/>
    <x v="1"/>
    <n v="476.39999999944399"/>
    <x v="1"/>
    <n v="1073153.99999999"/>
    <n v="2000"/>
    <n v="300"/>
    <x v="0"/>
    <n v="822986.81"/>
    <x v="2387"/>
    <x v="1"/>
  </r>
  <r>
    <n v="52"/>
    <x v="1"/>
    <x v="4"/>
    <n v="2"/>
    <n v="1"/>
    <x v="1"/>
    <n v="407.79999999998"/>
    <x v="1"/>
    <n v="757241.000000022"/>
    <n v="2000"/>
    <n v="300"/>
    <x v="0"/>
    <n v="807308.01"/>
    <x v="2388"/>
    <x v="1"/>
  </r>
  <r>
    <n v="53"/>
    <x v="1"/>
    <x v="4"/>
    <n v="2"/>
    <n v="2"/>
    <x v="1"/>
    <n v="396.99999999953701"/>
    <x v="1"/>
    <n v="929575.99999999697"/>
    <n v="2000"/>
    <n v="300"/>
    <x v="0"/>
    <n v="815707.21"/>
    <x v="2389"/>
    <x v="1"/>
  </r>
  <r>
    <n v="54"/>
    <x v="1"/>
    <x v="4"/>
    <n v="2"/>
    <n v="3"/>
    <x v="1"/>
    <n v="497.99999999997601"/>
    <x v="1"/>
    <n v="1425852.99999996"/>
    <n v="2000"/>
    <n v="300"/>
    <x v="0"/>
    <n v="799866.81"/>
    <x v="2390"/>
    <x v="1"/>
  </r>
  <r>
    <n v="55"/>
    <x v="1"/>
    <x v="2"/>
    <n v="2"/>
    <n v="1"/>
    <x v="1"/>
    <n v="289.40000000012799"/>
    <x v="1"/>
    <n v="330494.99999998498"/>
    <n v="2000"/>
    <n v="300"/>
    <x v="0"/>
    <n v="748746.81"/>
    <x v="2391"/>
    <x v="1"/>
  </r>
  <r>
    <n v="56"/>
    <x v="1"/>
    <x v="2"/>
    <n v="2"/>
    <n v="2"/>
    <x v="1"/>
    <n v="287.00000000014802"/>
    <x v="1"/>
    <n v="437728.99999998999"/>
    <n v="2000"/>
    <n v="300"/>
    <x v="0"/>
    <n v="745946.81"/>
    <x v="2392"/>
    <x v="1"/>
  </r>
  <r>
    <n v="57"/>
    <x v="1"/>
    <x v="2"/>
    <n v="2"/>
    <n v="3"/>
    <x v="1"/>
    <n v="362.39999999949703"/>
    <x v="1"/>
    <n v="461844.999999983"/>
    <n v="2000"/>
    <n v="300"/>
    <x v="0"/>
    <n v="779147.61"/>
    <x v="2393"/>
    <x v="1"/>
  </r>
  <r>
    <n v="58"/>
    <x v="1"/>
    <x v="3"/>
    <n v="2"/>
    <n v="1"/>
    <x v="1"/>
    <n v="340.79999999967498"/>
    <x v="1"/>
    <n v="736719.00000005099"/>
    <n v="2000"/>
    <n v="300"/>
    <x v="0"/>
    <n v="808427.21"/>
    <x v="2394"/>
    <x v="1"/>
  </r>
  <r>
    <n v="59"/>
    <x v="1"/>
    <x v="3"/>
    <n v="2"/>
    <n v="2"/>
    <x v="1"/>
    <n v="334.19999999999601"/>
    <x v="1"/>
    <n v="494259"/>
    <n v="2000"/>
    <n v="300"/>
    <x v="0"/>
    <n v="818828.41"/>
    <x v="2395"/>
    <x v="1"/>
  </r>
  <r>
    <n v="60"/>
    <x v="1"/>
    <x v="3"/>
    <n v="2"/>
    <n v="3"/>
    <x v="1"/>
    <n v="401.39999999979602"/>
    <x v="1"/>
    <n v="678708.99999996903"/>
    <n v="2000"/>
    <n v="300"/>
    <x v="0"/>
    <n v="814748.41"/>
    <x v="2396"/>
    <x v="1"/>
  </r>
  <r>
    <n v="61"/>
    <x v="1"/>
    <x v="4"/>
    <n v="2"/>
    <n v="1"/>
    <x v="1"/>
    <n v="364.79999999983198"/>
    <x v="1"/>
    <n v="900666.99999999895"/>
    <n v="2000"/>
    <n v="300"/>
    <x v="0"/>
    <n v="810747.21"/>
    <x v="2397"/>
    <x v="1"/>
  </r>
  <r>
    <n v="62"/>
    <x v="1"/>
    <x v="4"/>
    <n v="2"/>
    <n v="2"/>
    <x v="1"/>
    <n v="382.79999999950599"/>
    <x v="1"/>
    <n v="843414.99999999302"/>
    <n v="2000"/>
    <n v="300"/>
    <x v="0"/>
    <n v="776747.21"/>
    <x v="2398"/>
    <x v="1"/>
  </r>
  <r>
    <n v="63"/>
    <x v="1"/>
    <x v="4"/>
    <n v="2"/>
    <n v="3"/>
    <x v="1"/>
    <n v="469.999999999615"/>
    <x v="1"/>
    <n v="1507850.99999996"/>
    <n v="2000"/>
    <n v="300"/>
    <x v="0"/>
    <n v="798266.81"/>
    <x v="2399"/>
    <x v="1"/>
  </r>
  <r>
    <n v="64"/>
    <x v="1"/>
    <x v="5"/>
    <n v="2"/>
    <n v="1"/>
    <x v="1"/>
    <n v="408.600000000092"/>
    <x v="1"/>
    <n v="1353122.99999998"/>
    <n v="2000"/>
    <n v="300"/>
    <x v="0"/>
    <n v="801386.81"/>
    <x v="2400"/>
    <x v="1"/>
  </r>
  <r>
    <n v="65"/>
    <x v="1"/>
    <x v="5"/>
    <n v="2"/>
    <n v="2"/>
    <x v="1"/>
    <n v="427.200000000383"/>
    <x v="1"/>
    <n v="1920556.00000003"/>
    <n v="2000"/>
    <n v="300"/>
    <x v="0"/>
    <n v="775067.21"/>
    <x v="2401"/>
    <x v="1"/>
  </r>
  <r>
    <n v="66"/>
    <x v="1"/>
    <x v="5"/>
    <n v="2"/>
    <n v="3"/>
    <x v="1"/>
    <n v="553.79999999942697"/>
    <x v="1"/>
    <n v="1980976"/>
    <n v="2000"/>
    <n v="300"/>
    <x v="0"/>
    <n v="820827.61"/>
    <x v="2402"/>
    <x v="1"/>
  </r>
  <r>
    <n v="67"/>
    <x v="1"/>
    <x v="4"/>
    <n v="2"/>
    <n v="1"/>
    <x v="1"/>
    <n v="358.99999999990899"/>
    <x v="1"/>
    <n v="736641.00000002002"/>
    <n v="2000"/>
    <n v="300"/>
    <x v="0"/>
    <n v="795547.61"/>
    <x v="2403"/>
    <x v="1"/>
  </r>
  <r>
    <n v="68"/>
    <x v="1"/>
    <x v="4"/>
    <n v="2"/>
    <n v="2"/>
    <x v="1"/>
    <n v="373.80000000055702"/>
    <x v="1"/>
    <n v="1227076.9999999499"/>
    <n v="2000"/>
    <n v="300"/>
    <x v="0"/>
    <n v="752026.41"/>
    <x v="2404"/>
    <x v="1"/>
  </r>
  <r>
    <n v="69"/>
    <x v="1"/>
    <x v="4"/>
    <n v="2"/>
    <n v="3"/>
    <x v="1"/>
    <n v="458.79999999947103"/>
    <x v="1"/>
    <n v="949294.00000000896"/>
    <n v="2000"/>
    <n v="300"/>
    <x v="0"/>
    <n v="798508.01"/>
    <x v="2405"/>
    <x v="1"/>
  </r>
  <r>
    <n v="28"/>
    <x v="1"/>
    <x v="1"/>
    <n v="2"/>
    <n v="1"/>
    <x v="1"/>
    <n v="901.80000000010796"/>
    <x v="2"/>
    <n v="0"/>
    <n v="0"/>
    <n v="0"/>
    <x v="1"/>
    <n v="134078"/>
    <x v="2406"/>
    <x v="0"/>
  </r>
  <r>
    <n v="29"/>
    <x v="1"/>
    <x v="2"/>
    <n v="2"/>
    <n v="2"/>
    <x v="1"/>
    <n v="926.20000000032098"/>
    <x v="2"/>
    <n v="0"/>
    <n v="0"/>
    <n v="0"/>
    <x v="1"/>
    <n v="143161"/>
    <x v="2407"/>
    <x v="0"/>
  </r>
  <r>
    <n v="30"/>
    <x v="1"/>
    <x v="2"/>
    <n v="2"/>
    <n v="3"/>
    <x v="1"/>
    <n v="922.99999999951899"/>
    <x v="2"/>
    <n v="0"/>
    <n v="0"/>
    <n v="0"/>
    <x v="1"/>
    <n v="151321"/>
    <x v="2408"/>
    <x v="0"/>
  </r>
  <r>
    <n v="31"/>
    <x v="1"/>
    <x v="2"/>
    <n v="2"/>
    <n v="1"/>
    <x v="1"/>
    <n v="780.99999999920999"/>
    <x v="2"/>
    <n v="0"/>
    <n v="0"/>
    <n v="0"/>
    <x v="1"/>
    <n v="166634"/>
    <x v="2409"/>
    <x v="0"/>
  </r>
  <r>
    <n v="32"/>
    <x v="1"/>
    <x v="2"/>
    <n v="2"/>
    <n v="2"/>
    <x v="1"/>
    <n v="720.199999999949"/>
    <x v="2"/>
    <n v="0"/>
    <n v="0"/>
    <n v="0"/>
    <x v="1"/>
    <n v="167289"/>
    <x v="2410"/>
    <x v="0"/>
  </r>
  <r>
    <n v="33"/>
    <x v="1"/>
    <x v="2"/>
    <n v="2"/>
    <n v="3"/>
    <x v="1"/>
    <n v="762.79999999968595"/>
    <x v="2"/>
    <n v="0"/>
    <n v="0"/>
    <n v="0"/>
    <x v="1"/>
    <n v="201693"/>
    <x v="2411"/>
    <x v="0"/>
  </r>
  <r>
    <n v="34"/>
    <x v="1"/>
    <x v="2"/>
    <n v="2"/>
    <n v="1"/>
    <x v="1"/>
    <n v="563.600000000264"/>
    <x v="2"/>
    <n v="0"/>
    <n v="0"/>
    <n v="0"/>
    <x v="1"/>
    <n v="215430"/>
    <x v="2412"/>
    <x v="0"/>
  </r>
  <r>
    <n v="35"/>
    <x v="1"/>
    <x v="3"/>
    <n v="2"/>
    <n v="1"/>
    <x v="1"/>
    <n v="467.000000000439"/>
    <x v="2"/>
    <n v="0"/>
    <n v="0"/>
    <n v="0"/>
    <x v="1"/>
    <n v="171501"/>
    <x v="2413"/>
    <x v="0"/>
  </r>
  <r>
    <n v="36"/>
    <x v="1"/>
    <x v="3"/>
    <n v="2"/>
    <n v="2"/>
    <x v="1"/>
    <n v="432.59999999953902"/>
    <x v="2"/>
    <n v="0"/>
    <n v="0"/>
    <n v="0"/>
    <x v="1"/>
    <n v="123502"/>
    <x v="2414"/>
    <x v="0"/>
  </r>
  <r>
    <n v="37"/>
    <x v="1"/>
    <x v="3"/>
    <n v="2"/>
    <n v="3"/>
    <x v="1"/>
    <n v="535.40000000005296"/>
    <x v="2"/>
    <n v="0"/>
    <n v="0"/>
    <n v="0"/>
    <x v="1"/>
    <n v="157157"/>
    <x v="2415"/>
    <x v="0"/>
  </r>
  <r>
    <n v="38"/>
    <x v="1"/>
    <x v="3"/>
    <n v="2"/>
    <n v="1"/>
    <x v="1"/>
    <n v="394.79999999976201"/>
    <x v="2"/>
    <n v="0"/>
    <n v="0"/>
    <n v="0"/>
    <x v="1"/>
    <n v="147807"/>
    <x v="2416"/>
    <x v="0"/>
  </r>
  <r>
    <n v="39"/>
    <x v="1"/>
    <x v="4"/>
    <n v="2"/>
    <n v="1"/>
    <x v="1"/>
    <n v="470.600000000232"/>
    <x v="2"/>
    <n v="0"/>
    <n v="0"/>
    <n v="0"/>
    <x v="1"/>
    <n v="100417"/>
    <x v="2417"/>
    <x v="0"/>
  </r>
  <r>
    <n v="40"/>
    <x v="1"/>
    <x v="4"/>
    <n v="2"/>
    <n v="2"/>
    <x v="1"/>
    <n v="455.20000000074401"/>
    <x v="2"/>
    <n v="0"/>
    <n v="0"/>
    <n v="0"/>
    <x v="1"/>
    <n v="152638"/>
    <x v="2418"/>
    <x v="0"/>
  </r>
  <r>
    <n v="41"/>
    <x v="1"/>
    <x v="4"/>
    <n v="2"/>
    <n v="3"/>
    <x v="1"/>
    <n v="556.20000000047298"/>
    <x v="2"/>
    <n v="0"/>
    <n v="0"/>
    <n v="0"/>
    <x v="1"/>
    <n v="77136"/>
    <x v="2419"/>
    <x v="0"/>
  </r>
  <r>
    <n v="42"/>
    <x v="1"/>
    <x v="1"/>
    <n v="2"/>
    <n v="1"/>
    <x v="1"/>
    <n v="288.80000000022198"/>
    <x v="2"/>
    <n v="0"/>
    <n v="0"/>
    <n v="0"/>
    <x v="1"/>
    <n v="208656"/>
    <x v="2420"/>
    <x v="0"/>
  </r>
  <r>
    <n v="43"/>
    <x v="1"/>
    <x v="2"/>
    <n v="2"/>
    <n v="1"/>
    <x v="1"/>
    <n v="340.19999999976801"/>
    <x v="2"/>
    <n v="0"/>
    <n v="0"/>
    <n v="0"/>
    <x v="1"/>
    <n v="166564"/>
    <x v="2421"/>
    <x v="0"/>
  </r>
  <r>
    <n v="44"/>
    <x v="1"/>
    <x v="2"/>
    <n v="2"/>
    <n v="2"/>
    <x v="1"/>
    <n v="325.80000000024302"/>
    <x v="2"/>
    <n v="0"/>
    <n v="0"/>
    <n v="0"/>
    <x v="1"/>
    <n v="143691"/>
    <x v="2422"/>
    <x v="0"/>
  </r>
  <r>
    <n v="45"/>
    <x v="1"/>
    <x v="2"/>
    <n v="2"/>
    <n v="3"/>
    <x v="1"/>
    <n v="420.79999999948802"/>
    <x v="2"/>
    <n v="0"/>
    <n v="0"/>
    <n v="0"/>
    <x v="1"/>
    <n v="174813"/>
    <x v="2423"/>
    <x v="0"/>
  </r>
  <r>
    <n v="46"/>
    <x v="1"/>
    <x v="3"/>
    <n v="2"/>
    <n v="1"/>
    <x v="1"/>
    <n v="431.79999999978202"/>
    <x v="2"/>
    <n v="0"/>
    <n v="0"/>
    <n v="0"/>
    <x v="1"/>
    <n v="171831"/>
    <x v="2424"/>
    <x v="0"/>
  </r>
  <r>
    <n v="47"/>
    <x v="1"/>
    <x v="3"/>
    <n v="2"/>
    <n v="2"/>
    <x v="1"/>
    <n v="392.80000000019299"/>
    <x v="2"/>
    <n v="0"/>
    <n v="0"/>
    <n v="0"/>
    <x v="1"/>
    <n v="148913"/>
    <x v="2425"/>
    <x v="0"/>
  </r>
  <r>
    <n v="48"/>
    <x v="1"/>
    <x v="3"/>
    <n v="2"/>
    <n v="3"/>
    <x v="1"/>
    <n v="479.99999999994702"/>
    <x v="2"/>
    <n v="0"/>
    <n v="0"/>
    <n v="0"/>
    <x v="1"/>
    <n v="157815"/>
    <x v="2426"/>
    <x v="0"/>
  </r>
  <r>
    <n v="49"/>
    <x v="1"/>
    <x v="3"/>
    <n v="2"/>
    <n v="1"/>
    <x v="1"/>
    <n v="379.40000000027402"/>
    <x v="2"/>
    <n v="0"/>
    <n v="0"/>
    <n v="0"/>
    <x v="1"/>
    <n v="195619"/>
    <x v="2427"/>
    <x v="0"/>
  </r>
  <r>
    <n v="50"/>
    <x v="1"/>
    <x v="3"/>
    <n v="2"/>
    <n v="2"/>
    <x v="1"/>
    <n v="387.60000000017698"/>
    <x v="2"/>
    <n v="0"/>
    <n v="0"/>
    <n v="0"/>
    <x v="1"/>
    <n v="148134"/>
    <x v="2428"/>
    <x v="0"/>
  </r>
  <r>
    <n v="51"/>
    <x v="1"/>
    <x v="3"/>
    <n v="2"/>
    <n v="3"/>
    <x v="1"/>
    <n v="476.39999999944399"/>
    <x v="2"/>
    <n v="0"/>
    <n v="0"/>
    <n v="0"/>
    <x v="1"/>
    <n v="156835"/>
    <x v="2429"/>
    <x v="0"/>
  </r>
  <r>
    <n v="52"/>
    <x v="1"/>
    <x v="4"/>
    <n v="2"/>
    <n v="1"/>
    <x v="1"/>
    <n v="407.79999999998"/>
    <x v="2"/>
    <n v="0"/>
    <n v="0"/>
    <n v="0"/>
    <x v="1"/>
    <n v="125709"/>
    <x v="2430"/>
    <x v="0"/>
  </r>
  <r>
    <n v="53"/>
    <x v="1"/>
    <x v="4"/>
    <n v="2"/>
    <n v="2"/>
    <x v="1"/>
    <n v="396.99999999953701"/>
    <x v="2"/>
    <n v="0"/>
    <n v="0"/>
    <n v="0"/>
    <x v="1"/>
    <n v="152780"/>
    <x v="2431"/>
    <x v="0"/>
  </r>
  <r>
    <n v="54"/>
    <x v="1"/>
    <x v="4"/>
    <n v="2"/>
    <n v="3"/>
    <x v="1"/>
    <n v="497.99999999997601"/>
    <x v="2"/>
    <n v="0"/>
    <n v="0"/>
    <n v="0"/>
    <x v="1"/>
    <n v="163039"/>
    <x v="2432"/>
    <x v="0"/>
  </r>
  <r>
    <n v="55"/>
    <x v="1"/>
    <x v="2"/>
    <n v="2"/>
    <n v="1"/>
    <x v="1"/>
    <n v="289.40000000012799"/>
    <x v="2"/>
    <n v="0"/>
    <n v="0"/>
    <n v="0"/>
    <x v="1"/>
    <n v="143217"/>
    <x v="2433"/>
    <x v="0"/>
  </r>
  <r>
    <n v="56"/>
    <x v="1"/>
    <x v="2"/>
    <n v="2"/>
    <n v="2"/>
    <x v="1"/>
    <n v="287.00000000014802"/>
    <x v="2"/>
    <n v="0"/>
    <n v="0"/>
    <n v="0"/>
    <x v="1"/>
    <n v="47815"/>
    <x v="2434"/>
    <x v="0"/>
  </r>
  <r>
    <n v="57"/>
    <x v="1"/>
    <x v="2"/>
    <n v="2"/>
    <n v="3"/>
    <x v="1"/>
    <n v="362.39999999949703"/>
    <x v="2"/>
    <n v="0"/>
    <n v="0"/>
    <n v="0"/>
    <x v="1"/>
    <n v="75810"/>
    <x v="2435"/>
    <x v="0"/>
  </r>
  <r>
    <n v="58"/>
    <x v="1"/>
    <x v="3"/>
    <n v="2"/>
    <n v="1"/>
    <x v="1"/>
    <n v="340.79999999967498"/>
    <x v="2"/>
    <n v="0"/>
    <n v="0"/>
    <n v="0"/>
    <x v="1"/>
    <n v="147634"/>
    <x v="2436"/>
    <x v="0"/>
  </r>
  <r>
    <n v="59"/>
    <x v="1"/>
    <x v="3"/>
    <n v="2"/>
    <n v="2"/>
    <x v="1"/>
    <n v="334.19999999999601"/>
    <x v="2"/>
    <n v="0"/>
    <n v="0"/>
    <n v="0"/>
    <x v="1"/>
    <n v="172619"/>
    <x v="2437"/>
    <x v="0"/>
  </r>
  <r>
    <n v="60"/>
    <x v="1"/>
    <x v="3"/>
    <n v="2"/>
    <n v="3"/>
    <x v="1"/>
    <n v="401.39999999979602"/>
    <x v="2"/>
    <n v="0"/>
    <n v="0"/>
    <n v="0"/>
    <x v="1"/>
    <n v="156439"/>
    <x v="2438"/>
    <x v="0"/>
  </r>
  <r>
    <n v="61"/>
    <x v="1"/>
    <x v="4"/>
    <n v="2"/>
    <n v="1"/>
    <x v="1"/>
    <n v="364.79999999983198"/>
    <x v="2"/>
    <n v="0"/>
    <n v="0"/>
    <n v="0"/>
    <x v="1"/>
    <n v="176431"/>
    <x v="2439"/>
    <x v="0"/>
  </r>
  <r>
    <n v="62"/>
    <x v="1"/>
    <x v="4"/>
    <n v="2"/>
    <n v="2"/>
    <x v="1"/>
    <n v="382.79999999950599"/>
    <x v="2"/>
    <n v="0"/>
    <n v="0"/>
    <n v="0"/>
    <x v="1"/>
    <n v="152436"/>
    <x v="2440"/>
    <x v="0"/>
  </r>
  <r>
    <n v="63"/>
    <x v="1"/>
    <x v="4"/>
    <n v="2"/>
    <n v="3"/>
    <x v="1"/>
    <n v="469.999999999615"/>
    <x v="2"/>
    <n v="0"/>
    <n v="0"/>
    <n v="0"/>
    <x v="1"/>
    <n v="146079"/>
    <x v="2441"/>
    <x v="0"/>
  </r>
  <r>
    <n v="64"/>
    <x v="1"/>
    <x v="5"/>
    <n v="2"/>
    <n v="1"/>
    <x v="1"/>
    <n v="408.600000000092"/>
    <x v="2"/>
    <n v="0"/>
    <n v="0"/>
    <n v="0"/>
    <x v="1"/>
    <n v="233419"/>
    <x v="2442"/>
    <x v="0"/>
  </r>
  <r>
    <n v="65"/>
    <x v="1"/>
    <x v="5"/>
    <n v="2"/>
    <n v="2"/>
    <x v="1"/>
    <n v="427.200000000383"/>
    <x v="2"/>
    <n v="0"/>
    <n v="0"/>
    <n v="0"/>
    <x v="1"/>
    <n v="130085"/>
    <x v="2443"/>
    <x v="0"/>
  </r>
  <r>
    <n v="66"/>
    <x v="1"/>
    <x v="5"/>
    <n v="2"/>
    <n v="3"/>
    <x v="1"/>
    <n v="553.79999999942697"/>
    <x v="2"/>
    <n v="0"/>
    <n v="0"/>
    <n v="0"/>
    <x v="1"/>
    <n v="46938"/>
    <x v="2444"/>
    <x v="0"/>
  </r>
  <r>
    <n v="67"/>
    <x v="1"/>
    <x v="4"/>
    <n v="2"/>
    <n v="1"/>
    <x v="1"/>
    <n v="358.99999999990899"/>
    <x v="2"/>
    <n v="0"/>
    <n v="0"/>
    <n v="0"/>
    <x v="1"/>
    <n v="75774"/>
    <x v="2445"/>
    <x v="0"/>
  </r>
  <r>
    <n v="68"/>
    <x v="1"/>
    <x v="4"/>
    <n v="2"/>
    <n v="2"/>
    <x v="1"/>
    <n v="373.80000000055702"/>
    <x v="2"/>
    <n v="0"/>
    <n v="0"/>
    <n v="0"/>
    <x v="1"/>
    <n v="204249"/>
    <x v="2446"/>
    <x v="0"/>
  </r>
  <r>
    <n v="69"/>
    <x v="1"/>
    <x v="4"/>
    <n v="2"/>
    <n v="3"/>
    <x v="1"/>
    <n v="458.79999999947103"/>
    <x v="2"/>
    <n v="0"/>
    <n v="0"/>
    <n v="0"/>
    <x v="1"/>
    <n v="177676"/>
    <x v="2447"/>
    <x v="0"/>
  </r>
  <r>
    <n v="28"/>
    <x v="1"/>
    <x v="1"/>
    <n v="2"/>
    <n v="1"/>
    <x v="1"/>
    <n v="0"/>
    <x v="3"/>
    <n v="0"/>
    <n v="0"/>
    <n v="0"/>
    <x v="0"/>
    <n v="0"/>
    <x v="2448"/>
    <x v="0"/>
  </r>
  <r>
    <n v="29"/>
    <x v="1"/>
    <x v="2"/>
    <n v="2"/>
    <n v="2"/>
    <x v="1"/>
    <n v="0"/>
    <x v="3"/>
    <n v="0"/>
    <n v="0"/>
    <n v="0"/>
    <x v="0"/>
    <n v="0"/>
    <x v="2449"/>
    <x v="0"/>
  </r>
  <r>
    <n v="30"/>
    <x v="1"/>
    <x v="2"/>
    <n v="2"/>
    <n v="3"/>
    <x v="1"/>
    <n v="0"/>
    <x v="3"/>
    <n v="0"/>
    <n v="0"/>
    <n v="0"/>
    <x v="0"/>
    <n v="0"/>
    <x v="2450"/>
    <x v="0"/>
  </r>
  <r>
    <n v="31"/>
    <x v="1"/>
    <x v="2"/>
    <n v="2"/>
    <n v="1"/>
    <x v="1"/>
    <n v="0"/>
    <x v="3"/>
    <n v="0"/>
    <n v="0"/>
    <n v="0"/>
    <x v="0"/>
    <n v="0"/>
    <x v="2451"/>
    <x v="0"/>
  </r>
  <r>
    <n v="32"/>
    <x v="1"/>
    <x v="2"/>
    <n v="2"/>
    <n v="2"/>
    <x v="1"/>
    <n v="0"/>
    <x v="3"/>
    <n v="0"/>
    <n v="0"/>
    <n v="0"/>
    <x v="0"/>
    <n v="0"/>
    <x v="2452"/>
    <x v="0"/>
  </r>
  <r>
    <n v="33"/>
    <x v="1"/>
    <x v="2"/>
    <n v="2"/>
    <n v="3"/>
    <x v="1"/>
    <n v="0"/>
    <x v="3"/>
    <n v="0"/>
    <n v="0"/>
    <n v="0"/>
    <x v="0"/>
    <n v="0"/>
    <x v="2453"/>
    <x v="0"/>
  </r>
  <r>
    <n v="34"/>
    <x v="1"/>
    <x v="2"/>
    <n v="2"/>
    <n v="1"/>
    <x v="1"/>
    <n v="0"/>
    <x v="3"/>
    <n v="0"/>
    <n v="0"/>
    <n v="0"/>
    <x v="0"/>
    <n v="0"/>
    <x v="2454"/>
    <x v="0"/>
  </r>
  <r>
    <n v="35"/>
    <x v="1"/>
    <x v="3"/>
    <n v="2"/>
    <n v="1"/>
    <x v="1"/>
    <n v="0"/>
    <x v="3"/>
    <n v="0"/>
    <n v="0"/>
    <n v="0"/>
    <x v="0"/>
    <n v="0"/>
    <x v="2455"/>
    <x v="0"/>
  </r>
  <r>
    <n v="36"/>
    <x v="1"/>
    <x v="3"/>
    <n v="2"/>
    <n v="2"/>
    <x v="1"/>
    <n v="0"/>
    <x v="3"/>
    <n v="0"/>
    <n v="0"/>
    <n v="0"/>
    <x v="0"/>
    <n v="0"/>
    <x v="2456"/>
    <x v="0"/>
  </r>
  <r>
    <n v="37"/>
    <x v="1"/>
    <x v="3"/>
    <n v="2"/>
    <n v="3"/>
    <x v="1"/>
    <n v="0"/>
    <x v="3"/>
    <n v="0"/>
    <n v="0"/>
    <n v="0"/>
    <x v="0"/>
    <n v="0"/>
    <x v="2457"/>
    <x v="0"/>
  </r>
  <r>
    <n v="38"/>
    <x v="1"/>
    <x v="3"/>
    <n v="2"/>
    <n v="1"/>
    <x v="1"/>
    <n v="0"/>
    <x v="3"/>
    <n v="0"/>
    <n v="0"/>
    <n v="0"/>
    <x v="0"/>
    <n v="0"/>
    <x v="2458"/>
    <x v="0"/>
  </r>
  <r>
    <n v="39"/>
    <x v="1"/>
    <x v="4"/>
    <n v="2"/>
    <n v="1"/>
    <x v="1"/>
    <n v="0"/>
    <x v="3"/>
    <n v="0"/>
    <n v="0"/>
    <n v="0"/>
    <x v="0"/>
    <n v="0"/>
    <x v="2459"/>
    <x v="0"/>
  </r>
  <r>
    <n v="40"/>
    <x v="1"/>
    <x v="4"/>
    <n v="2"/>
    <n v="2"/>
    <x v="1"/>
    <n v="0"/>
    <x v="3"/>
    <n v="0"/>
    <n v="0"/>
    <n v="0"/>
    <x v="0"/>
    <n v="0"/>
    <x v="2460"/>
    <x v="0"/>
  </r>
  <r>
    <n v="41"/>
    <x v="1"/>
    <x v="4"/>
    <n v="2"/>
    <n v="3"/>
    <x v="1"/>
    <n v="0"/>
    <x v="3"/>
    <n v="0"/>
    <n v="0"/>
    <n v="0"/>
    <x v="0"/>
    <n v="0"/>
    <x v="2461"/>
    <x v="0"/>
  </r>
  <r>
    <n v="42"/>
    <x v="1"/>
    <x v="1"/>
    <n v="2"/>
    <n v="1"/>
    <x v="1"/>
    <n v="0"/>
    <x v="3"/>
    <n v="0"/>
    <n v="0"/>
    <n v="0"/>
    <x v="0"/>
    <n v="0"/>
    <x v="2462"/>
    <x v="0"/>
  </r>
  <r>
    <n v="43"/>
    <x v="1"/>
    <x v="2"/>
    <n v="2"/>
    <n v="1"/>
    <x v="1"/>
    <n v="0"/>
    <x v="3"/>
    <n v="0"/>
    <n v="0"/>
    <n v="0"/>
    <x v="0"/>
    <n v="0"/>
    <x v="2463"/>
    <x v="0"/>
  </r>
  <r>
    <n v="44"/>
    <x v="1"/>
    <x v="2"/>
    <n v="2"/>
    <n v="2"/>
    <x v="1"/>
    <n v="0"/>
    <x v="3"/>
    <n v="0"/>
    <n v="0"/>
    <n v="0"/>
    <x v="0"/>
    <n v="0"/>
    <x v="2464"/>
    <x v="0"/>
  </r>
  <r>
    <n v="45"/>
    <x v="1"/>
    <x v="2"/>
    <n v="2"/>
    <n v="3"/>
    <x v="1"/>
    <n v="0"/>
    <x v="3"/>
    <n v="0"/>
    <n v="0"/>
    <n v="0"/>
    <x v="0"/>
    <n v="0"/>
    <x v="2465"/>
    <x v="0"/>
  </r>
  <r>
    <n v="46"/>
    <x v="1"/>
    <x v="3"/>
    <n v="2"/>
    <n v="1"/>
    <x v="1"/>
    <n v="0"/>
    <x v="3"/>
    <n v="0"/>
    <n v="0"/>
    <n v="0"/>
    <x v="0"/>
    <n v="0"/>
    <x v="2466"/>
    <x v="0"/>
  </r>
  <r>
    <n v="47"/>
    <x v="1"/>
    <x v="3"/>
    <n v="2"/>
    <n v="2"/>
    <x v="1"/>
    <n v="0"/>
    <x v="3"/>
    <n v="0"/>
    <n v="0"/>
    <n v="0"/>
    <x v="0"/>
    <n v="0"/>
    <x v="2467"/>
    <x v="0"/>
  </r>
  <r>
    <n v="48"/>
    <x v="1"/>
    <x v="3"/>
    <n v="2"/>
    <n v="3"/>
    <x v="1"/>
    <n v="0"/>
    <x v="3"/>
    <n v="0"/>
    <n v="0"/>
    <n v="0"/>
    <x v="0"/>
    <n v="0"/>
    <x v="2468"/>
    <x v="0"/>
  </r>
  <r>
    <n v="49"/>
    <x v="1"/>
    <x v="3"/>
    <n v="2"/>
    <n v="1"/>
    <x v="1"/>
    <n v="0"/>
    <x v="3"/>
    <n v="0"/>
    <n v="0"/>
    <n v="0"/>
    <x v="0"/>
    <n v="0"/>
    <x v="2469"/>
    <x v="0"/>
  </r>
  <r>
    <n v="50"/>
    <x v="1"/>
    <x v="3"/>
    <n v="2"/>
    <n v="2"/>
    <x v="1"/>
    <n v="0"/>
    <x v="3"/>
    <n v="0"/>
    <n v="0"/>
    <n v="0"/>
    <x v="0"/>
    <n v="0"/>
    <x v="2470"/>
    <x v="0"/>
  </r>
  <r>
    <n v="51"/>
    <x v="1"/>
    <x v="3"/>
    <n v="2"/>
    <n v="3"/>
    <x v="1"/>
    <n v="0"/>
    <x v="3"/>
    <n v="0"/>
    <n v="0"/>
    <n v="0"/>
    <x v="0"/>
    <n v="0"/>
    <x v="2471"/>
    <x v="0"/>
  </r>
  <r>
    <n v="52"/>
    <x v="1"/>
    <x v="4"/>
    <n v="2"/>
    <n v="1"/>
    <x v="1"/>
    <n v="0"/>
    <x v="3"/>
    <n v="0"/>
    <n v="0"/>
    <n v="0"/>
    <x v="0"/>
    <n v="0"/>
    <x v="2472"/>
    <x v="0"/>
  </r>
  <r>
    <n v="53"/>
    <x v="1"/>
    <x v="4"/>
    <n v="2"/>
    <n v="2"/>
    <x v="1"/>
    <n v="0"/>
    <x v="3"/>
    <n v="0"/>
    <n v="0"/>
    <n v="0"/>
    <x v="0"/>
    <n v="0"/>
    <x v="2473"/>
    <x v="0"/>
  </r>
  <r>
    <n v="54"/>
    <x v="1"/>
    <x v="4"/>
    <n v="2"/>
    <n v="3"/>
    <x v="1"/>
    <n v="0"/>
    <x v="3"/>
    <n v="0"/>
    <n v="0"/>
    <n v="0"/>
    <x v="0"/>
    <n v="0"/>
    <x v="2474"/>
    <x v="0"/>
  </r>
  <r>
    <n v="55"/>
    <x v="1"/>
    <x v="2"/>
    <n v="2"/>
    <n v="1"/>
    <x v="1"/>
    <n v="0"/>
    <x v="3"/>
    <n v="0"/>
    <n v="0"/>
    <n v="0"/>
    <x v="0"/>
    <n v="0"/>
    <x v="2475"/>
    <x v="0"/>
  </r>
  <r>
    <n v="56"/>
    <x v="1"/>
    <x v="2"/>
    <n v="2"/>
    <n v="2"/>
    <x v="1"/>
    <n v="0"/>
    <x v="3"/>
    <n v="0"/>
    <n v="0"/>
    <n v="0"/>
    <x v="0"/>
    <n v="0"/>
    <x v="2476"/>
    <x v="0"/>
  </r>
  <r>
    <n v="57"/>
    <x v="1"/>
    <x v="2"/>
    <n v="2"/>
    <n v="3"/>
    <x v="1"/>
    <n v="0"/>
    <x v="3"/>
    <n v="0"/>
    <n v="0"/>
    <n v="0"/>
    <x v="0"/>
    <n v="0"/>
    <x v="2477"/>
    <x v="0"/>
  </r>
  <r>
    <n v="58"/>
    <x v="1"/>
    <x v="3"/>
    <n v="2"/>
    <n v="1"/>
    <x v="1"/>
    <n v="0"/>
    <x v="3"/>
    <n v="0"/>
    <n v="0"/>
    <n v="0"/>
    <x v="0"/>
    <n v="0"/>
    <x v="2478"/>
    <x v="0"/>
  </r>
  <r>
    <n v="59"/>
    <x v="1"/>
    <x v="3"/>
    <n v="2"/>
    <n v="2"/>
    <x v="1"/>
    <n v="0"/>
    <x v="3"/>
    <n v="0"/>
    <n v="0"/>
    <n v="0"/>
    <x v="0"/>
    <n v="0"/>
    <x v="2479"/>
    <x v="0"/>
  </r>
  <r>
    <n v="60"/>
    <x v="1"/>
    <x v="3"/>
    <n v="2"/>
    <n v="3"/>
    <x v="1"/>
    <n v="0"/>
    <x v="3"/>
    <n v="0"/>
    <n v="0"/>
    <n v="0"/>
    <x v="0"/>
    <n v="0"/>
    <x v="2480"/>
    <x v="0"/>
  </r>
  <r>
    <n v="61"/>
    <x v="1"/>
    <x v="4"/>
    <n v="2"/>
    <n v="1"/>
    <x v="1"/>
    <n v="0"/>
    <x v="3"/>
    <n v="0"/>
    <n v="0"/>
    <n v="0"/>
    <x v="0"/>
    <n v="0"/>
    <x v="2481"/>
    <x v="0"/>
  </r>
  <r>
    <n v="62"/>
    <x v="1"/>
    <x v="4"/>
    <n v="2"/>
    <n v="2"/>
    <x v="1"/>
    <n v="0"/>
    <x v="3"/>
    <n v="0"/>
    <n v="0"/>
    <n v="0"/>
    <x v="0"/>
    <n v="0"/>
    <x v="2482"/>
    <x v="0"/>
  </r>
  <r>
    <n v="63"/>
    <x v="1"/>
    <x v="4"/>
    <n v="2"/>
    <n v="3"/>
    <x v="1"/>
    <n v="0"/>
    <x v="3"/>
    <n v="0"/>
    <n v="0"/>
    <n v="0"/>
    <x v="0"/>
    <n v="0"/>
    <x v="2483"/>
    <x v="0"/>
  </r>
  <r>
    <n v="64"/>
    <x v="1"/>
    <x v="5"/>
    <n v="2"/>
    <n v="1"/>
    <x v="1"/>
    <n v="0"/>
    <x v="3"/>
    <n v="0"/>
    <n v="0"/>
    <n v="0"/>
    <x v="0"/>
    <n v="0"/>
    <x v="2484"/>
    <x v="0"/>
  </r>
  <r>
    <n v="65"/>
    <x v="1"/>
    <x v="5"/>
    <n v="2"/>
    <n v="2"/>
    <x v="1"/>
    <n v="0"/>
    <x v="3"/>
    <n v="0"/>
    <n v="0"/>
    <n v="0"/>
    <x v="0"/>
    <n v="0"/>
    <x v="2485"/>
    <x v="0"/>
  </r>
  <r>
    <n v="66"/>
    <x v="1"/>
    <x v="5"/>
    <n v="2"/>
    <n v="3"/>
    <x v="1"/>
    <n v="0"/>
    <x v="3"/>
    <n v="0"/>
    <n v="0"/>
    <n v="0"/>
    <x v="0"/>
    <n v="0"/>
    <x v="2486"/>
    <x v="0"/>
  </r>
  <r>
    <n v="67"/>
    <x v="1"/>
    <x v="4"/>
    <n v="2"/>
    <n v="1"/>
    <x v="1"/>
    <n v="0"/>
    <x v="3"/>
    <n v="0"/>
    <n v="0"/>
    <n v="0"/>
    <x v="0"/>
    <n v="0"/>
    <x v="2487"/>
    <x v="0"/>
  </r>
  <r>
    <n v="68"/>
    <x v="1"/>
    <x v="4"/>
    <n v="2"/>
    <n v="2"/>
    <x v="1"/>
    <n v="0"/>
    <x v="3"/>
    <n v="0"/>
    <n v="0"/>
    <n v="0"/>
    <x v="0"/>
    <n v="0"/>
    <x v="2488"/>
    <x v="0"/>
  </r>
  <r>
    <n v="69"/>
    <x v="1"/>
    <x v="4"/>
    <n v="2"/>
    <n v="3"/>
    <x v="1"/>
    <n v="0"/>
    <x v="3"/>
    <n v="0"/>
    <n v="0"/>
    <n v="0"/>
    <x v="0"/>
    <n v="0"/>
    <x v="2489"/>
    <x v="0"/>
  </r>
  <r>
    <n v="70"/>
    <x v="2"/>
    <x v="3"/>
    <n v="3"/>
    <n v="2"/>
    <x v="0"/>
    <n v="916.60000000004504"/>
    <x v="0"/>
    <n v="169758.00000000201"/>
    <n v="1000"/>
    <n v="20"/>
    <x v="0"/>
    <n v="146585.57"/>
    <x v="2490"/>
    <x v="0"/>
  </r>
  <r>
    <n v="71"/>
    <x v="2"/>
    <x v="4"/>
    <n v="2"/>
    <n v="2"/>
    <x v="0"/>
    <n v="840.79999999993095"/>
    <x v="0"/>
    <n v="333503.99999994802"/>
    <n v="1000"/>
    <n v="20"/>
    <x v="0"/>
    <n v="110605.97"/>
    <x v="2491"/>
    <x v="1"/>
  </r>
  <r>
    <n v="72"/>
    <x v="2"/>
    <x v="4"/>
    <n v="2"/>
    <n v="2"/>
    <x v="0"/>
    <n v="686.80000000043196"/>
    <x v="0"/>
    <n v="475044.99999990902"/>
    <n v="1000"/>
    <n v="20"/>
    <x v="0"/>
    <n v="124043.97"/>
    <x v="2492"/>
    <x v="1"/>
  </r>
  <r>
    <n v="73"/>
    <x v="2"/>
    <x v="4"/>
    <n v="3"/>
    <n v="2"/>
    <x v="0"/>
    <n v="696.99999999990303"/>
    <x v="0"/>
    <n v="533288.00000008405"/>
    <n v="1000"/>
    <n v="20"/>
    <x v="0"/>
    <n v="121265.97"/>
    <x v="2493"/>
    <x v="1"/>
  </r>
  <r>
    <n v="74"/>
    <x v="2"/>
    <x v="6"/>
    <n v="3"/>
    <n v="2"/>
    <x v="0"/>
    <n v="767.00000000009504"/>
    <x v="0"/>
    <n v="792881.99999996298"/>
    <n v="1000"/>
    <n v="20"/>
    <x v="0"/>
    <n v="103744.77"/>
    <x v="2494"/>
    <x v="1"/>
  </r>
  <r>
    <n v="75"/>
    <x v="2"/>
    <x v="4"/>
    <n v="3"/>
    <n v="2"/>
    <x v="0"/>
    <n v="442.80000000007601"/>
    <x v="0"/>
    <n v="267370.99999991199"/>
    <n v="1000"/>
    <n v="20"/>
    <x v="0"/>
    <n v="112084.77"/>
    <x v="2495"/>
    <x v="0"/>
  </r>
  <r>
    <n v="76"/>
    <x v="2"/>
    <x v="5"/>
    <n v="3"/>
    <n v="2"/>
    <x v="0"/>
    <n v="657.20000000020195"/>
    <x v="0"/>
    <n v="367324.99999993702"/>
    <n v="1000"/>
    <n v="20"/>
    <x v="0"/>
    <n v="99805.17"/>
    <x v="2496"/>
    <x v="1"/>
  </r>
  <r>
    <n v="77"/>
    <x v="2"/>
    <x v="5"/>
    <n v="3"/>
    <n v="2"/>
    <x v="0"/>
    <n v="517.59999999951799"/>
    <x v="0"/>
    <n v="424015.00000005402"/>
    <n v="1000"/>
    <n v="20"/>
    <x v="0"/>
    <n v="125085.57"/>
    <x v="2497"/>
    <x v="1"/>
  </r>
  <r>
    <n v="78"/>
    <x v="2"/>
    <x v="5"/>
    <n v="3"/>
    <n v="2"/>
    <x v="0"/>
    <n v="411.19999999992302"/>
    <x v="0"/>
    <n v="421569.00000008999"/>
    <n v="1000"/>
    <n v="20"/>
    <x v="0"/>
    <n v="126225.97"/>
    <x v="2498"/>
    <x v="1"/>
  </r>
  <r>
    <n v="79"/>
    <x v="2"/>
    <x v="5"/>
    <n v="3"/>
    <n v="2"/>
    <x v="0"/>
    <n v="394.20000000021099"/>
    <x v="0"/>
    <n v="507382.00000000698"/>
    <n v="1000"/>
    <n v="20"/>
    <x v="0"/>
    <n v="111344.77"/>
    <x v="2499"/>
    <x v="1"/>
  </r>
  <r>
    <n v="80"/>
    <x v="2"/>
    <x v="4"/>
    <n v="3"/>
    <n v="2"/>
    <x v="0"/>
    <n v="306.60000000004601"/>
    <x v="0"/>
    <n v="217282.00000006799"/>
    <n v="1000"/>
    <n v="20"/>
    <x v="0"/>
    <n v="124484.77"/>
    <x v="2500"/>
    <x v="1"/>
  </r>
  <r>
    <n v="81"/>
    <x v="2"/>
    <x v="5"/>
    <n v="3"/>
    <n v="2"/>
    <x v="0"/>
    <n v="372.600000000389"/>
    <x v="0"/>
    <n v="572054.99999986403"/>
    <n v="1000"/>
    <n v="20"/>
    <x v="0"/>
    <n v="110004.77"/>
    <x v="2501"/>
    <x v="0"/>
  </r>
  <r>
    <n v="82"/>
    <x v="2"/>
    <x v="5"/>
    <n v="2"/>
    <n v="2"/>
    <x v="0"/>
    <n v="377.99999999990098"/>
    <x v="0"/>
    <n v="449708.99999998399"/>
    <n v="1000"/>
    <n v="20"/>
    <x v="0"/>
    <n v="124185.97"/>
    <x v="2502"/>
    <x v="1"/>
  </r>
  <r>
    <n v="83"/>
    <x v="2"/>
    <x v="6"/>
    <n v="2"/>
    <n v="2"/>
    <x v="0"/>
    <n v="451.20000000018501"/>
    <x v="0"/>
    <n v="1278454.00000001"/>
    <n v="1000"/>
    <n v="20"/>
    <x v="0"/>
    <n v="129323.97"/>
    <x v="2503"/>
    <x v="1"/>
  </r>
  <r>
    <n v="84"/>
    <x v="2"/>
    <x v="7"/>
    <n v="2"/>
    <n v="2"/>
    <x v="0"/>
    <n v="503.80000000060897"/>
    <x v="0"/>
    <n v="4835274.0000000298"/>
    <n v="1000"/>
    <n v="20"/>
    <x v="0"/>
    <n v="117743.97"/>
    <x v="2504"/>
    <x v="1"/>
  </r>
  <r>
    <n v="85"/>
    <x v="2"/>
    <x v="5"/>
    <n v="2"/>
    <n v="2"/>
    <x v="0"/>
    <n v="348.000000000326"/>
    <x v="0"/>
    <n v="562017.99999985297"/>
    <n v="1000"/>
    <n v="20"/>
    <x v="0"/>
    <n v="104185.97"/>
    <x v="2505"/>
    <x v="1"/>
  </r>
  <r>
    <n v="86"/>
    <x v="2"/>
    <x v="7"/>
    <n v="3"/>
    <n v="2"/>
    <x v="0"/>
    <n v="468.00000000004599"/>
    <x v="0"/>
    <n v="2626483.9999998901"/>
    <n v="1000"/>
    <n v="20"/>
    <x v="0"/>
    <n v="155846.76999999999"/>
    <x v="2506"/>
    <x v="1"/>
  </r>
  <r>
    <n v="87"/>
    <x v="2"/>
    <x v="7"/>
    <n v="2"/>
    <n v="2"/>
    <x v="0"/>
    <n v="451.39999999968001"/>
    <x v="0"/>
    <n v="2008806.0000000501"/>
    <n v="1000"/>
    <n v="20"/>
    <x v="0"/>
    <n v="162584.37"/>
    <x v="2507"/>
    <x v="1"/>
  </r>
  <r>
    <n v="88"/>
    <x v="2"/>
    <x v="7"/>
    <n v="3"/>
    <n v="2"/>
    <x v="0"/>
    <n v="490.20000000048498"/>
    <x v="0"/>
    <n v="1234313.00000016"/>
    <n v="1000"/>
    <n v="20"/>
    <x v="0"/>
    <n v="161784.76999999999"/>
    <x v="2508"/>
    <x v="1"/>
  </r>
  <r>
    <n v="89"/>
    <x v="2"/>
    <x v="4"/>
    <n v="3"/>
    <n v="2"/>
    <x v="0"/>
    <n v="266.39999999993302"/>
    <x v="0"/>
    <n v="414899.999999989"/>
    <n v="1000"/>
    <n v="20"/>
    <x v="0"/>
    <n v="109104.37"/>
    <x v="2509"/>
    <x v="1"/>
  </r>
  <r>
    <n v="90"/>
    <x v="2"/>
    <x v="5"/>
    <n v="2"/>
    <n v="2"/>
    <x v="0"/>
    <n v="335.79999999986399"/>
    <x v="0"/>
    <n v="636770.00000006997"/>
    <n v="1000"/>
    <n v="20"/>
    <x v="0"/>
    <n v="123585.57"/>
    <x v="2510"/>
    <x v="1"/>
  </r>
  <r>
    <n v="91"/>
    <x v="2"/>
    <x v="5"/>
    <n v="3"/>
    <n v="2"/>
    <x v="0"/>
    <n v="335.59999999930301"/>
    <x v="0"/>
    <n v="411151.00000001799"/>
    <n v="1000"/>
    <n v="20"/>
    <x v="0"/>
    <n v="126566.37"/>
    <x v="2511"/>
    <x v="1"/>
  </r>
  <r>
    <n v="92"/>
    <x v="2"/>
    <x v="5"/>
    <n v="3"/>
    <n v="2"/>
    <x v="0"/>
    <n v="306.40000000019501"/>
    <x v="0"/>
    <n v="326122.99999982503"/>
    <n v="1000"/>
    <n v="20"/>
    <x v="0"/>
    <n v="126565.97"/>
    <x v="2512"/>
    <x v="1"/>
  </r>
  <r>
    <n v="93"/>
    <x v="2"/>
    <x v="8"/>
    <n v="3"/>
    <n v="2"/>
    <x v="0"/>
    <n v="515.79999999979998"/>
    <x v="0"/>
    <n v="2579271.9999999502"/>
    <n v="1000"/>
    <n v="20"/>
    <x v="0"/>
    <n v="152225.17000000001"/>
    <x v="2513"/>
    <x v="1"/>
  </r>
  <r>
    <n v="94"/>
    <x v="2"/>
    <x v="7"/>
    <n v="2"/>
    <n v="2"/>
    <x v="0"/>
    <n v="446.600000000075"/>
    <x v="0"/>
    <n v="2002005.9999999399"/>
    <n v="1000"/>
    <n v="20"/>
    <x v="0"/>
    <n v="121906.77"/>
    <x v="2514"/>
    <x v="1"/>
  </r>
  <r>
    <n v="95"/>
    <x v="2"/>
    <x v="9"/>
    <n v="2"/>
    <n v="2"/>
    <x v="0"/>
    <n v="605.60000000045"/>
    <x v="0"/>
    <n v="5219995.0000001499"/>
    <n v="1000"/>
    <n v="20"/>
    <x v="0"/>
    <n v="136205.17000000001"/>
    <x v="2515"/>
    <x v="1"/>
  </r>
  <r>
    <n v="96"/>
    <x v="2"/>
    <x v="5"/>
    <n v="3"/>
    <n v="2"/>
    <x v="0"/>
    <n v="301.39999999967398"/>
    <x v="0"/>
    <n v="538624.00000002701"/>
    <n v="1000"/>
    <n v="20"/>
    <x v="0"/>
    <n v="125265.17"/>
    <x v="2516"/>
    <x v="1"/>
  </r>
  <r>
    <n v="97"/>
    <x v="2"/>
    <x v="6"/>
    <n v="3"/>
    <n v="2"/>
    <x v="0"/>
    <n v="374.59999999995802"/>
    <x v="0"/>
    <n v="698046.99999985995"/>
    <n v="1000"/>
    <n v="20"/>
    <x v="0"/>
    <n v="128204.77"/>
    <x v="2517"/>
    <x v="1"/>
  </r>
  <r>
    <n v="98"/>
    <x v="2"/>
    <x v="7"/>
    <n v="3"/>
    <n v="2"/>
    <x v="0"/>
    <n v="496.19999999990199"/>
    <x v="0"/>
    <n v="1091490.00000002"/>
    <n v="1000"/>
    <n v="20"/>
    <x v="0"/>
    <n v="132105.57"/>
    <x v="2518"/>
    <x v="1"/>
  </r>
  <r>
    <n v="99"/>
    <x v="2"/>
    <x v="8"/>
    <n v="2"/>
    <n v="2"/>
    <x v="0"/>
    <n v="500.59999999980698"/>
    <x v="0"/>
    <n v="2540038.0000001001"/>
    <n v="1000"/>
    <n v="20"/>
    <x v="0"/>
    <n v="158167.57"/>
    <x v="2519"/>
    <x v="1"/>
  </r>
  <r>
    <n v="70"/>
    <x v="2"/>
    <x v="3"/>
    <n v="3"/>
    <n v="2"/>
    <x v="0"/>
    <n v="916.60000000004504"/>
    <x v="0"/>
    <n v="169758.00000000201"/>
    <n v="2000"/>
    <n v="20"/>
    <x v="0"/>
    <n v="277243.96999999997"/>
    <x v="2520"/>
    <x v="1"/>
  </r>
  <r>
    <n v="71"/>
    <x v="2"/>
    <x v="4"/>
    <n v="2"/>
    <n v="2"/>
    <x v="0"/>
    <n v="840.79999999993095"/>
    <x v="0"/>
    <n v="333503.99999994802"/>
    <n v="2000"/>
    <n v="20"/>
    <x v="0"/>
    <n v="205284.37"/>
    <x v="2521"/>
    <x v="1"/>
  </r>
  <r>
    <n v="72"/>
    <x v="2"/>
    <x v="4"/>
    <n v="2"/>
    <n v="2"/>
    <x v="0"/>
    <n v="686.80000000043196"/>
    <x v="0"/>
    <n v="475044.99999990902"/>
    <n v="2000"/>
    <n v="20"/>
    <x v="0"/>
    <n v="232161.97"/>
    <x v="2522"/>
    <x v="0"/>
  </r>
  <r>
    <n v="73"/>
    <x v="2"/>
    <x v="4"/>
    <n v="3"/>
    <n v="2"/>
    <x v="0"/>
    <n v="696.99999999990303"/>
    <x v="0"/>
    <n v="533288.00000008405"/>
    <n v="2000"/>
    <n v="20"/>
    <x v="0"/>
    <n v="226603.57"/>
    <x v="2523"/>
    <x v="1"/>
  </r>
  <r>
    <n v="74"/>
    <x v="2"/>
    <x v="6"/>
    <n v="3"/>
    <n v="2"/>
    <x v="0"/>
    <n v="767.00000000009504"/>
    <x v="0"/>
    <n v="792881.99999996298"/>
    <n v="2000"/>
    <n v="20"/>
    <x v="0"/>
    <n v="191561.97"/>
    <x v="2524"/>
    <x v="1"/>
  </r>
  <r>
    <n v="75"/>
    <x v="2"/>
    <x v="4"/>
    <n v="3"/>
    <n v="2"/>
    <x v="0"/>
    <n v="442.80000000007601"/>
    <x v="0"/>
    <n v="267370.99999991199"/>
    <n v="2000"/>
    <n v="20"/>
    <x v="0"/>
    <n v="208243.17"/>
    <x v="2525"/>
    <x v="1"/>
  </r>
  <r>
    <n v="76"/>
    <x v="2"/>
    <x v="5"/>
    <n v="3"/>
    <n v="2"/>
    <x v="0"/>
    <n v="657.20000000020195"/>
    <x v="0"/>
    <n v="367324.99999993702"/>
    <n v="2000"/>
    <n v="20"/>
    <x v="0"/>
    <n v="183682.77"/>
    <x v="2526"/>
    <x v="1"/>
  </r>
  <r>
    <n v="77"/>
    <x v="2"/>
    <x v="5"/>
    <n v="3"/>
    <n v="2"/>
    <x v="0"/>
    <n v="517.59999999951799"/>
    <x v="0"/>
    <n v="424015.00000005402"/>
    <n v="2000"/>
    <n v="20"/>
    <x v="0"/>
    <n v="234243.17"/>
    <x v="2527"/>
    <x v="1"/>
  </r>
  <r>
    <n v="78"/>
    <x v="2"/>
    <x v="5"/>
    <n v="3"/>
    <n v="2"/>
    <x v="0"/>
    <n v="411.19999999992302"/>
    <x v="0"/>
    <n v="421569.00000008999"/>
    <n v="2000"/>
    <n v="20"/>
    <x v="0"/>
    <n v="236523.57"/>
    <x v="2528"/>
    <x v="1"/>
  </r>
  <r>
    <n v="79"/>
    <x v="2"/>
    <x v="5"/>
    <n v="3"/>
    <n v="2"/>
    <x v="0"/>
    <n v="394.20000000021099"/>
    <x v="0"/>
    <n v="507382.00000000698"/>
    <n v="2000"/>
    <n v="20"/>
    <x v="0"/>
    <n v="206763.57"/>
    <x v="2529"/>
    <x v="1"/>
  </r>
  <r>
    <n v="80"/>
    <x v="2"/>
    <x v="4"/>
    <n v="3"/>
    <n v="2"/>
    <x v="0"/>
    <n v="306.60000000004601"/>
    <x v="0"/>
    <n v="217282.00000006799"/>
    <n v="2000"/>
    <n v="20"/>
    <x v="0"/>
    <n v="233043.17"/>
    <x v="2530"/>
    <x v="1"/>
  </r>
  <r>
    <n v="81"/>
    <x v="2"/>
    <x v="5"/>
    <n v="3"/>
    <n v="2"/>
    <x v="0"/>
    <n v="372.600000000389"/>
    <x v="0"/>
    <n v="572054.99999986403"/>
    <n v="2000"/>
    <n v="20"/>
    <x v="0"/>
    <n v="204082.77"/>
    <x v="2531"/>
    <x v="1"/>
  </r>
  <r>
    <n v="82"/>
    <x v="2"/>
    <x v="5"/>
    <n v="2"/>
    <n v="2"/>
    <x v="0"/>
    <n v="377.99999999990098"/>
    <x v="0"/>
    <n v="449708.99999998399"/>
    <n v="2000"/>
    <n v="20"/>
    <x v="0"/>
    <n v="232443.17"/>
    <x v="2532"/>
    <x v="0"/>
  </r>
  <r>
    <n v="83"/>
    <x v="2"/>
    <x v="6"/>
    <n v="2"/>
    <n v="2"/>
    <x v="0"/>
    <n v="451.20000000018501"/>
    <x v="0"/>
    <n v="1278454.00000001"/>
    <n v="2000"/>
    <n v="20"/>
    <x v="0"/>
    <n v="242723.17"/>
    <x v="2533"/>
    <x v="1"/>
  </r>
  <r>
    <n v="84"/>
    <x v="2"/>
    <x v="7"/>
    <n v="2"/>
    <n v="2"/>
    <x v="0"/>
    <n v="503.80000000060897"/>
    <x v="0"/>
    <n v="4835274.0000000298"/>
    <n v="2000"/>
    <n v="20"/>
    <x v="0"/>
    <n v="219563.97"/>
    <x v="2534"/>
    <x v="1"/>
  </r>
  <r>
    <n v="85"/>
    <x v="2"/>
    <x v="5"/>
    <n v="2"/>
    <n v="2"/>
    <x v="0"/>
    <n v="348.000000000326"/>
    <x v="0"/>
    <n v="562017.99999985297"/>
    <n v="2000"/>
    <n v="20"/>
    <x v="0"/>
    <n v="192443.97"/>
    <x v="2535"/>
    <x v="1"/>
  </r>
  <r>
    <n v="86"/>
    <x v="2"/>
    <x v="7"/>
    <n v="3"/>
    <n v="2"/>
    <x v="0"/>
    <n v="468.00000000004599"/>
    <x v="0"/>
    <n v="2626483.9999998901"/>
    <n v="2000"/>
    <n v="20"/>
    <x v="0"/>
    <n v="295765.96999999997"/>
    <x v="2536"/>
    <x v="1"/>
  </r>
  <r>
    <n v="87"/>
    <x v="2"/>
    <x v="7"/>
    <n v="2"/>
    <n v="2"/>
    <x v="0"/>
    <n v="451.39999999968001"/>
    <x v="0"/>
    <n v="2008806.0000000501"/>
    <n v="2000"/>
    <n v="20"/>
    <x v="0"/>
    <n v="309243.17"/>
    <x v="2537"/>
    <x v="1"/>
  </r>
  <r>
    <n v="88"/>
    <x v="2"/>
    <x v="7"/>
    <n v="3"/>
    <n v="2"/>
    <x v="0"/>
    <n v="490.20000000048498"/>
    <x v="0"/>
    <n v="1234313.00000016"/>
    <n v="2000"/>
    <n v="20"/>
    <x v="0"/>
    <n v="307643.17"/>
    <x v="2538"/>
    <x v="1"/>
  </r>
  <r>
    <n v="89"/>
    <x v="2"/>
    <x v="4"/>
    <n v="3"/>
    <n v="2"/>
    <x v="0"/>
    <n v="266.39999999993302"/>
    <x v="0"/>
    <n v="414899.999999989"/>
    <n v="2000"/>
    <n v="20"/>
    <x v="0"/>
    <n v="202282.37"/>
    <x v="2539"/>
    <x v="0"/>
  </r>
  <r>
    <n v="90"/>
    <x v="2"/>
    <x v="5"/>
    <n v="2"/>
    <n v="2"/>
    <x v="0"/>
    <n v="335.79999999986399"/>
    <x v="0"/>
    <n v="636770.00000006997"/>
    <n v="2000"/>
    <n v="20"/>
    <x v="0"/>
    <n v="231243.57"/>
    <x v="2540"/>
    <x v="1"/>
  </r>
  <r>
    <n v="91"/>
    <x v="2"/>
    <x v="5"/>
    <n v="3"/>
    <n v="2"/>
    <x v="0"/>
    <n v="335.59999999930301"/>
    <x v="0"/>
    <n v="411151.00000001799"/>
    <n v="2000"/>
    <n v="20"/>
    <x v="0"/>
    <n v="237203.97"/>
    <x v="2541"/>
    <x v="1"/>
  </r>
  <r>
    <n v="92"/>
    <x v="2"/>
    <x v="5"/>
    <n v="3"/>
    <n v="2"/>
    <x v="0"/>
    <n v="306.40000000019501"/>
    <x v="0"/>
    <n v="326122.99999982503"/>
    <n v="2000"/>
    <n v="20"/>
    <x v="0"/>
    <n v="237203.97"/>
    <x v="2542"/>
    <x v="1"/>
  </r>
  <r>
    <n v="93"/>
    <x v="2"/>
    <x v="8"/>
    <n v="3"/>
    <n v="2"/>
    <x v="0"/>
    <n v="515.79999999979998"/>
    <x v="0"/>
    <n v="2579271.9999999502"/>
    <n v="2000"/>
    <n v="20"/>
    <x v="0"/>
    <n v="288524.37"/>
    <x v="2543"/>
    <x v="1"/>
  </r>
  <r>
    <n v="94"/>
    <x v="2"/>
    <x v="7"/>
    <n v="2"/>
    <n v="2"/>
    <x v="0"/>
    <n v="446.600000000075"/>
    <x v="0"/>
    <n v="2002005.9999999399"/>
    <n v="2000"/>
    <n v="20"/>
    <x v="0"/>
    <n v="227885.97"/>
    <x v="2544"/>
    <x v="1"/>
  </r>
  <r>
    <n v="95"/>
    <x v="2"/>
    <x v="9"/>
    <n v="2"/>
    <n v="2"/>
    <x v="0"/>
    <n v="605.60000000045"/>
    <x v="0"/>
    <n v="5219995.0000001499"/>
    <n v="2000"/>
    <n v="20"/>
    <x v="0"/>
    <n v="256482.77"/>
    <x v="2545"/>
    <x v="1"/>
  </r>
  <r>
    <n v="96"/>
    <x v="2"/>
    <x v="5"/>
    <n v="3"/>
    <n v="2"/>
    <x v="0"/>
    <n v="301.39999999967398"/>
    <x v="0"/>
    <n v="538624.00000002701"/>
    <n v="2000"/>
    <n v="20"/>
    <x v="0"/>
    <n v="234603.17"/>
    <x v="2546"/>
    <x v="1"/>
  </r>
  <r>
    <n v="97"/>
    <x v="2"/>
    <x v="6"/>
    <n v="3"/>
    <n v="2"/>
    <x v="0"/>
    <n v="374.59999999995802"/>
    <x v="0"/>
    <n v="698046.99999985995"/>
    <n v="2000"/>
    <n v="20"/>
    <x v="0"/>
    <n v="240482.77"/>
    <x v="2547"/>
    <x v="1"/>
  </r>
  <r>
    <n v="98"/>
    <x v="2"/>
    <x v="7"/>
    <n v="3"/>
    <n v="2"/>
    <x v="0"/>
    <n v="496.19999999990199"/>
    <x v="0"/>
    <n v="1091490.00000002"/>
    <n v="2000"/>
    <n v="20"/>
    <x v="0"/>
    <n v="248284.77"/>
    <x v="2548"/>
    <x v="1"/>
  </r>
  <r>
    <n v="99"/>
    <x v="2"/>
    <x v="8"/>
    <n v="2"/>
    <n v="2"/>
    <x v="0"/>
    <n v="500.59999999980698"/>
    <x v="0"/>
    <n v="2540038.0000001001"/>
    <n v="2000"/>
    <n v="20"/>
    <x v="0"/>
    <n v="300404.77"/>
    <x v="2549"/>
    <x v="1"/>
  </r>
  <r>
    <n v="70"/>
    <x v="2"/>
    <x v="3"/>
    <n v="3"/>
    <n v="2"/>
    <x v="0"/>
    <n v="916.60000000004504"/>
    <x v="0"/>
    <n v="169758.00000000201"/>
    <n v="3000"/>
    <n v="20"/>
    <x v="0"/>
    <n v="407907.97"/>
    <x v="2550"/>
    <x v="0"/>
  </r>
  <r>
    <n v="71"/>
    <x v="2"/>
    <x v="4"/>
    <n v="2"/>
    <n v="2"/>
    <x v="0"/>
    <n v="840.79999999993095"/>
    <x v="0"/>
    <n v="333503.99999994802"/>
    <n v="3000"/>
    <n v="20"/>
    <x v="0"/>
    <n v="299968.77"/>
    <x v="2551"/>
    <x v="0"/>
  </r>
  <r>
    <n v="72"/>
    <x v="2"/>
    <x v="4"/>
    <n v="2"/>
    <n v="2"/>
    <x v="0"/>
    <n v="686.80000000043196"/>
    <x v="0"/>
    <n v="475044.99999990902"/>
    <n v="3000"/>
    <n v="20"/>
    <x v="0"/>
    <n v="340286.37"/>
    <x v="2552"/>
    <x v="0"/>
  </r>
  <r>
    <n v="73"/>
    <x v="2"/>
    <x v="4"/>
    <n v="3"/>
    <n v="2"/>
    <x v="0"/>
    <n v="696.99999999990303"/>
    <x v="0"/>
    <n v="533288.00000008405"/>
    <n v="3000"/>
    <n v="20"/>
    <x v="0"/>
    <n v="331947.57"/>
    <x v="2553"/>
    <x v="1"/>
  </r>
  <r>
    <n v="74"/>
    <x v="2"/>
    <x v="6"/>
    <n v="3"/>
    <n v="2"/>
    <x v="0"/>
    <n v="767.00000000009504"/>
    <x v="0"/>
    <n v="792881.99999996298"/>
    <n v="3000"/>
    <n v="20"/>
    <x v="0"/>
    <n v="279385.96999999997"/>
    <x v="2554"/>
    <x v="1"/>
  </r>
  <r>
    <n v="75"/>
    <x v="2"/>
    <x v="4"/>
    <n v="3"/>
    <n v="2"/>
    <x v="0"/>
    <n v="442.80000000007601"/>
    <x v="0"/>
    <n v="267370.99999991199"/>
    <n v="3000"/>
    <n v="20"/>
    <x v="0"/>
    <n v="304407.17"/>
    <x v="2555"/>
    <x v="1"/>
  </r>
  <r>
    <n v="76"/>
    <x v="2"/>
    <x v="5"/>
    <n v="3"/>
    <n v="2"/>
    <x v="0"/>
    <n v="657.20000000020195"/>
    <x v="0"/>
    <n v="367324.99999993702"/>
    <n v="3000"/>
    <n v="20"/>
    <x v="0"/>
    <n v="267567.17"/>
    <x v="2556"/>
    <x v="0"/>
  </r>
  <r>
    <n v="77"/>
    <x v="2"/>
    <x v="5"/>
    <n v="3"/>
    <n v="2"/>
    <x v="0"/>
    <n v="517.59999999951799"/>
    <x v="0"/>
    <n v="424015.00000005402"/>
    <n v="3000"/>
    <n v="20"/>
    <x v="0"/>
    <n v="343407.17"/>
    <x v="2557"/>
    <x v="1"/>
  </r>
  <r>
    <n v="78"/>
    <x v="2"/>
    <x v="5"/>
    <n v="3"/>
    <n v="2"/>
    <x v="0"/>
    <n v="411.19999999992302"/>
    <x v="0"/>
    <n v="421569.00000008999"/>
    <n v="3000"/>
    <n v="20"/>
    <x v="0"/>
    <n v="346827.57"/>
    <x v="2558"/>
    <x v="1"/>
  </r>
  <r>
    <n v="79"/>
    <x v="2"/>
    <x v="5"/>
    <n v="3"/>
    <n v="2"/>
    <x v="0"/>
    <n v="394.20000000021099"/>
    <x v="0"/>
    <n v="507382.00000000698"/>
    <n v="3000"/>
    <n v="20"/>
    <x v="0"/>
    <n v="302187.17"/>
    <x v="2559"/>
    <x v="1"/>
  </r>
  <r>
    <n v="80"/>
    <x v="2"/>
    <x v="4"/>
    <n v="3"/>
    <n v="2"/>
    <x v="0"/>
    <n v="306.60000000004601"/>
    <x v="0"/>
    <n v="217282.00000006799"/>
    <n v="3000"/>
    <n v="20"/>
    <x v="0"/>
    <n v="341607.17"/>
    <x v="2560"/>
    <x v="1"/>
  </r>
  <r>
    <n v="81"/>
    <x v="2"/>
    <x v="5"/>
    <n v="3"/>
    <n v="2"/>
    <x v="0"/>
    <n v="372.600000000389"/>
    <x v="0"/>
    <n v="572054.99999986403"/>
    <n v="3000"/>
    <n v="20"/>
    <x v="0"/>
    <n v="298167.17"/>
    <x v="2561"/>
    <x v="1"/>
  </r>
  <r>
    <n v="82"/>
    <x v="2"/>
    <x v="5"/>
    <n v="2"/>
    <n v="2"/>
    <x v="0"/>
    <n v="377.99999999990098"/>
    <x v="0"/>
    <n v="449708.99999998399"/>
    <n v="3000"/>
    <n v="20"/>
    <x v="0"/>
    <n v="340706.77"/>
    <x v="2562"/>
    <x v="1"/>
  </r>
  <r>
    <n v="83"/>
    <x v="2"/>
    <x v="6"/>
    <n v="2"/>
    <n v="2"/>
    <x v="0"/>
    <n v="451.20000000018501"/>
    <x v="0"/>
    <n v="1278454.00000001"/>
    <n v="3000"/>
    <n v="20"/>
    <x v="0"/>
    <n v="356125.97"/>
    <x v="2563"/>
    <x v="1"/>
  </r>
  <r>
    <n v="84"/>
    <x v="2"/>
    <x v="7"/>
    <n v="2"/>
    <n v="2"/>
    <x v="0"/>
    <n v="503.80000000060897"/>
    <x v="0"/>
    <n v="4835274.0000000298"/>
    <n v="3000"/>
    <n v="20"/>
    <x v="0"/>
    <n v="321386.77"/>
    <x v="2564"/>
    <x v="1"/>
  </r>
  <r>
    <n v="85"/>
    <x v="2"/>
    <x v="5"/>
    <n v="2"/>
    <n v="2"/>
    <x v="0"/>
    <n v="348.000000000326"/>
    <x v="0"/>
    <n v="562017.99999985297"/>
    <n v="3000"/>
    <n v="20"/>
    <x v="0"/>
    <n v="280708.37"/>
    <x v="2565"/>
    <x v="1"/>
  </r>
  <r>
    <n v="86"/>
    <x v="2"/>
    <x v="7"/>
    <n v="3"/>
    <n v="2"/>
    <x v="0"/>
    <n v="468.00000000004599"/>
    <x v="0"/>
    <n v="2626483.9999998901"/>
    <n v="3000"/>
    <n v="20"/>
    <x v="0"/>
    <n v="435689.17"/>
    <x v="2566"/>
    <x v="1"/>
  </r>
  <r>
    <n v="87"/>
    <x v="2"/>
    <x v="7"/>
    <n v="2"/>
    <n v="2"/>
    <x v="0"/>
    <n v="451.39999999968001"/>
    <x v="0"/>
    <n v="2008806.0000000501"/>
    <n v="3000"/>
    <n v="20"/>
    <x v="0"/>
    <n v="455906.37"/>
    <x v="2567"/>
    <x v="1"/>
  </r>
  <r>
    <n v="88"/>
    <x v="2"/>
    <x v="7"/>
    <n v="3"/>
    <n v="2"/>
    <x v="0"/>
    <n v="490.20000000048498"/>
    <x v="0"/>
    <n v="1234313.00000016"/>
    <n v="3000"/>
    <n v="20"/>
    <x v="0"/>
    <n v="453507.17"/>
    <x v="2568"/>
    <x v="1"/>
  </r>
  <r>
    <n v="89"/>
    <x v="2"/>
    <x v="4"/>
    <n v="3"/>
    <n v="2"/>
    <x v="0"/>
    <n v="266.39999999993302"/>
    <x v="0"/>
    <n v="414899.999999989"/>
    <n v="3000"/>
    <n v="20"/>
    <x v="0"/>
    <n v="295466.37"/>
    <x v="2569"/>
    <x v="1"/>
  </r>
  <r>
    <n v="90"/>
    <x v="2"/>
    <x v="5"/>
    <n v="2"/>
    <n v="2"/>
    <x v="0"/>
    <n v="335.79999999986399"/>
    <x v="0"/>
    <n v="636770.00000006997"/>
    <n v="3000"/>
    <n v="20"/>
    <x v="0"/>
    <n v="338908.37"/>
    <x v="2570"/>
    <x v="1"/>
  </r>
  <r>
    <n v="91"/>
    <x v="2"/>
    <x v="5"/>
    <n v="3"/>
    <n v="2"/>
    <x v="0"/>
    <n v="335.59999999930301"/>
    <x v="0"/>
    <n v="411151.00000001799"/>
    <n v="3000"/>
    <n v="20"/>
    <x v="0"/>
    <n v="347847.57"/>
    <x v="2571"/>
    <x v="1"/>
  </r>
  <r>
    <n v="92"/>
    <x v="2"/>
    <x v="5"/>
    <n v="3"/>
    <n v="2"/>
    <x v="0"/>
    <n v="306.40000000019501"/>
    <x v="0"/>
    <n v="326122.99999982503"/>
    <n v="3000"/>
    <n v="20"/>
    <x v="0"/>
    <n v="347847.17"/>
    <x v="2572"/>
    <x v="1"/>
  </r>
  <r>
    <n v="93"/>
    <x v="2"/>
    <x v="8"/>
    <n v="3"/>
    <n v="2"/>
    <x v="0"/>
    <n v="515.79999999979998"/>
    <x v="0"/>
    <n v="2579271.9999999502"/>
    <n v="3000"/>
    <n v="20"/>
    <x v="0"/>
    <n v="424827.17"/>
    <x v="2573"/>
    <x v="1"/>
  </r>
  <r>
    <n v="94"/>
    <x v="2"/>
    <x v="7"/>
    <n v="2"/>
    <n v="2"/>
    <x v="0"/>
    <n v="446.600000000075"/>
    <x v="0"/>
    <n v="2002005.9999999399"/>
    <n v="3000"/>
    <n v="20"/>
    <x v="0"/>
    <n v="333868.77"/>
    <x v="2574"/>
    <x v="1"/>
  </r>
  <r>
    <n v="95"/>
    <x v="2"/>
    <x v="9"/>
    <n v="2"/>
    <n v="2"/>
    <x v="0"/>
    <n v="605.60000000045"/>
    <x v="0"/>
    <n v="5219995.0000001499"/>
    <n v="3000"/>
    <n v="20"/>
    <x v="0"/>
    <n v="376766.77"/>
    <x v="2575"/>
    <x v="1"/>
  </r>
  <r>
    <n v="96"/>
    <x v="2"/>
    <x v="5"/>
    <n v="3"/>
    <n v="2"/>
    <x v="0"/>
    <n v="301.39999999967398"/>
    <x v="0"/>
    <n v="538624.00000002701"/>
    <n v="3000"/>
    <n v="20"/>
    <x v="0"/>
    <n v="343947.17"/>
    <x v="2576"/>
    <x v="1"/>
  </r>
  <r>
    <n v="97"/>
    <x v="2"/>
    <x v="6"/>
    <n v="3"/>
    <n v="2"/>
    <x v="0"/>
    <n v="374.59999999995802"/>
    <x v="0"/>
    <n v="698046.99999985995"/>
    <n v="3000"/>
    <n v="20"/>
    <x v="0"/>
    <n v="352766.37"/>
    <x v="2577"/>
    <x v="1"/>
  </r>
  <r>
    <n v="98"/>
    <x v="2"/>
    <x v="7"/>
    <n v="3"/>
    <n v="2"/>
    <x v="0"/>
    <n v="496.19999999990199"/>
    <x v="0"/>
    <n v="1091490.00000002"/>
    <n v="3000"/>
    <n v="20"/>
    <x v="0"/>
    <n v="364467.57"/>
    <x v="2578"/>
    <x v="1"/>
  </r>
  <r>
    <n v="99"/>
    <x v="2"/>
    <x v="8"/>
    <n v="2"/>
    <n v="2"/>
    <x v="0"/>
    <n v="500.59999999980698"/>
    <x v="0"/>
    <n v="2540038.0000001001"/>
    <n v="3000"/>
    <n v="20"/>
    <x v="0"/>
    <n v="442647.97"/>
    <x v="2579"/>
    <x v="1"/>
  </r>
  <r>
    <n v="70"/>
    <x v="2"/>
    <x v="3"/>
    <n v="3"/>
    <n v="2"/>
    <x v="0"/>
    <n v="916.60000000004504"/>
    <x v="0"/>
    <n v="169758.00000000201"/>
    <n v="3000"/>
    <n v="100"/>
    <x v="0"/>
    <n v="647908.77"/>
    <x v="2580"/>
    <x v="0"/>
  </r>
  <r>
    <n v="71"/>
    <x v="2"/>
    <x v="4"/>
    <n v="2"/>
    <n v="2"/>
    <x v="0"/>
    <n v="840.79999999993095"/>
    <x v="0"/>
    <n v="333503.99999994802"/>
    <n v="3000"/>
    <n v="100"/>
    <x v="0"/>
    <n v="539968.77"/>
    <x v="2581"/>
    <x v="1"/>
  </r>
  <r>
    <n v="72"/>
    <x v="2"/>
    <x v="4"/>
    <n v="2"/>
    <n v="2"/>
    <x v="0"/>
    <n v="686.80000000043196"/>
    <x v="0"/>
    <n v="475044.99999990902"/>
    <n v="3000"/>
    <n v="100"/>
    <x v="0"/>
    <n v="580287.17000000004"/>
    <x v="2582"/>
    <x v="1"/>
  </r>
  <r>
    <n v="73"/>
    <x v="2"/>
    <x v="4"/>
    <n v="3"/>
    <n v="2"/>
    <x v="0"/>
    <n v="696.99999999990303"/>
    <x v="0"/>
    <n v="533288.00000008405"/>
    <n v="3000"/>
    <n v="100"/>
    <x v="0"/>
    <n v="571948.77"/>
    <x v="2583"/>
    <x v="1"/>
  </r>
  <r>
    <n v="74"/>
    <x v="2"/>
    <x v="6"/>
    <n v="3"/>
    <n v="2"/>
    <x v="0"/>
    <n v="767.00000000009504"/>
    <x v="0"/>
    <n v="792881.99999996298"/>
    <n v="3000"/>
    <n v="100"/>
    <x v="0"/>
    <n v="519387.17"/>
    <x v="2584"/>
    <x v="1"/>
  </r>
  <r>
    <n v="75"/>
    <x v="2"/>
    <x v="4"/>
    <n v="3"/>
    <n v="2"/>
    <x v="0"/>
    <n v="442.80000000007601"/>
    <x v="0"/>
    <n v="267370.99999991199"/>
    <n v="3000"/>
    <n v="100"/>
    <x v="0"/>
    <n v="544408.37"/>
    <x v="2585"/>
    <x v="1"/>
  </r>
  <r>
    <n v="76"/>
    <x v="2"/>
    <x v="5"/>
    <n v="3"/>
    <n v="2"/>
    <x v="0"/>
    <n v="657.20000000020195"/>
    <x v="0"/>
    <n v="367324.99999993702"/>
    <n v="3000"/>
    <n v="100"/>
    <x v="0"/>
    <n v="507568.37"/>
    <x v="2586"/>
    <x v="1"/>
  </r>
  <r>
    <n v="77"/>
    <x v="2"/>
    <x v="5"/>
    <n v="3"/>
    <n v="2"/>
    <x v="0"/>
    <n v="517.59999999951799"/>
    <x v="0"/>
    <n v="424015.00000005402"/>
    <n v="3000"/>
    <n v="100"/>
    <x v="0"/>
    <n v="583408.37"/>
    <x v="2587"/>
    <x v="1"/>
  </r>
  <r>
    <n v="78"/>
    <x v="2"/>
    <x v="5"/>
    <n v="3"/>
    <n v="2"/>
    <x v="0"/>
    <n v="411.19999999992302"/>
    <x v="0"/>
    <n v="421569.00000008999"/>
    <n v="3000"/>
    <n v="100"/>
    <x v="0"/>
    <n v="586827.97"/>
    <x v="2588"/>
    <x v="1"/>
  </r>
  <r>
    <n v="79"/>
    <x v="2"/>
    <x v="5"/>
    <n v="3"/>
    <n v="2"/>
    <x v="0"/>
    <n v="394.20000000021099"/>
    <x v="0"/>
    <n v="507382.00000000698"/>
    <n v="3000"/>
    <n v="100"/>
    <x v="0"/>
    <n v="542187.97"/>
    <x v="2589"/>
    <x v="1"/>
  </r>
  <r>
    <n v="80"/>
    <x v="2"/>
    <x v="4"/>
    <n v="3"/>
    <n v="2"/>
    <x v="0"/>
    <n v="306.60000000004601"/>
    <x v="0"/>
    <n v="217282.00000006799"/>
    <n v="3000"/>
    <n v="100"/>
    <x v="0"/>
    <n v="581607.17000000004"/>
    <x v="2590"/>
    <x v="1"/>
  </r>
  <r>
    <n v="81"/>
    <x v="2"/>
    <x v="5"/>
    <n v="3"/>
    <n v="2"/>
    <x v="0"/>
    <n v="372.600000000389"/>
    <x v="0"/>
    <n v="572054.99999986403"/>
    <n v="3000"/>
    <n v="100"/>
    <x v="0"/>
    <n v="538167.56999999995"/>
    <x v="2591"/>
    <x v="1"/>
  </r>
  <r>
    <n v="82"/>
    <x v="2"/>
    <x v="5"/>
    <n v="2"/>
    <n v="2"/>
    <x v="0"/>
    <n v="377.99999999990098"/>
    <x v="0"/>
    <n v="449708.99999998399"/>
    <n v="3000"/>
    <n v="100"/>
    <x v="0"/>
    <n v="580708.37"/>
    <x v="2592"/>
    <x v="1"/>
  </r>
  <r>
    <n v="83"/>
    <x v="2"/>
    <x v="6"/>
    <n v="2"/>
    <n v="2"/>
    <x v="0"/>
    <n v="451.20000000018501"/>
    <x v="0"/>
    <n v="1278454.00000001"/>
    <n v="3000"/>
    <n v="100"/>
    <x v="0"/>
    <n v="596126.77"/>
    <x v="2593"/>
    <x v="1"/>
  </r>
  <r>
    <n v="84"/>
    <x v="2"/>
    <x v="7"/>
    <n v="2"/>
    <n v="2"/>
    <x v="0"/>
    <n v="503.80000000060897"/>
    <x v="0"/>
    <n v="4835274.0000000298"/>
    <n v="3000"/>
    <n v="100"/>
    <x v="0"/>
    <n v="561386.37"/>
    <x v="2594"/>
    <x v="1"/>
  </r>
  <r>
    <n v="85"/>
    <x v="2"/>
    <x v="5"/>
    <n v="2"/>
    <n v="2"/>
    <x v="0"/>
    <n v="348.000000000326"/>
    <x v="0"/>
    <n v="562017.99999985297"/>
    <n v="3000"/>
    <n v="100"/>
    <x v="0"/>
    <n v="520709.17"/>
    <x v="2595"/>
    <x v="1"/>
  </r>
  <r>
    <n v="86"/>
    <x v="2"/>
    <x v="7"/>
    <n v="3"/>
    <n v="2"/>
    <x v="0"/>
    <n v="468.00000000004599"/>
    <x v="0"/>
    <n v="2626483.9999998901"/>
    <n v="3000"/>
    <n v="100"/>
    <x v="0"/>
    <n v="675689.97"/>
    <x v="2596"/>
    <x v="1"/>
  </r>
  <r>
    <n v="87"/>
    <x v="2"/>
    <x v="7"/>
    <n v="2"/>
    <n v="2"/>
    <x v="0"/>
    <n v="451.39999999968001"/>
    <x v="0"/>
    <n v="2008806.0000000501"/>
    <n v="3000"/>
    <n v="100"/>
    <x v="0"/>
    <n v="695907.57"/>
    <x v="2597"/>
    <x v="1"/>
  </r>
  <r>
    <n v="88"/>
    <x v="2"/>
    <x v="7"/>
    <n v="3"/>
    <n v="2"/>
    <x v="0"/>
    <n v="490.20000000048498"/>
    <x v="0"/>
    <n v="1234313.00000016"/>
    <n v="3000"/>
    <n v="100"/>
    <x v="0"/>
    <n v="693507.57"/>
    <x v="2598"/>
    <x v="1"/>
  </r>
  <r>
    <n v="89"/>
    <x v="2"/>
    <x v="4"/>
    <n v="3"/>
    <n v="2"/>
    <x v="0"/>
    <n v="266.39999999993302"/>
    <x v="0"/>
    <n v="414899.999999989"/>
    <n v="3000"/>
    <n v="100"/>
    <x v="0"/>
    <n v="535467.17000000004"/>
    <x v="2599"/>
    <x v="1"/>
  </r>
  <r>
    <n v="90"/>
    <x v="2"/>
    <x v="5"/>
    <n v="2"/>
    <n v="2"/>
    <x v="0"/>
    <n v="335.79999999986399"/>
    <x v="0"/>
    <n v="636770.00000006997"/>
    <n v="3000"/>
    <n v="100"/>
    <x v="0"/>
    <n v="578907.97"/>
    <x v="2600"/>
    <x v="1"/>
  </r>
  <r>
    <n v="91"/>
    <x v="2"/>
    <x v="5"/>
    <n v="3"/>
    <n v="2"/>
    <x v="0"/>
    <n v="335.59999999930301"/>
    <x v="0"/>
    <n v="411151.00000001799"/>
    <n v="3000"/>
    <n v="100"/>
    <x v="0"/>
    <n v="587848.37"/>
    <x v="2601"/>
    <x v="1"/>
  </r>
  <r>
    <n v="92"/>
    <x v="2"/>
    <x v="5"/>
    <n v="3"/>
    <n v="2"/>
    <x v="0"/>
    <n v="306.40000000019501"/>
    <x v="0"/>
    <n v="326122.99999982503"/>
    <n v="3000"/>
    <n v="100"/>
    <x v="0"/>
    <n v="587847.97"/>
    <x v="2602"/>
    <x v="1"/>
  </r>
  <r>
    <n v="93"/>
    <x v="2"/>
    <x v="8"/>
    <n v="3"/>
    <n v="2"/>
    <x v="0"/>
    <n v="515.79999999979998"/>
    <x v="0"/>
    <n v="2579271.9999999502"/>
    <n v="3000"/>
    <n v="100"/>
    <x v="0"/>
    <n v="664828.37"/>
    <x v="2603"/>
    <x v="1"/>
  </r>
  <r>
    <n v="94"/>
    <x v="2"/>
    <x v="7"/>
    <n v="2"/>
    <n v="2"/>
    <x v="0"/>
    <n v="446.600000000075"/>
    <x v="0"/>
    <n v="2002005.9999999399"/>
    <n v="3000"/>
    <n v="100"/>
    <x v="0"/>
    <n v="573870.37"/>
    <x v="2604"/>
    <x v="1"/>
  </r>
  <r>
    <n v="95"/>
    <x v="2"/>
    <x v="9"/>
    <n v="2"/>
    <n v="2"/>
    <x v="0"/>
    <n v="605.60000000045"/>
    <x v="0"/>
    <n v="5219995.0000001499"/>
    <n v="3000"/>
    <n v="100"/>
    <x v="0"/>
    <n v="616767.56999999995"/>
    <x v="2605"/>
    <x v="1"/>
  </r>
  <r>
    <n v="96"/>
    <x v="2"/>
    <x v="5"/>
    <n v="3"/>
    <n v="2"/>
    <x v="0"/>
    <n v="301.39999999967398"/>
    <x v="0"/>
    <n v="538624.00000002701"/>
    <n v="3000"/>
    <n v="100"/>
    <x v="0"/>
    <n v="583947.97"/>
    <x v="2606"/>
    <x v="1"/>
  </r>
  <r>
    <n v="97"/>
    <x v="2"/>
    <x v="6"/>
    <n v="3"/>
    <n v="2"/>
    <x v="0"/>
    <n v="374.59999999995802"/>
    <x v="0"/>
    <n v="698046.99999985995"/>
    <n v="3000"/>
    <n v="100"/>
    <x v="0"/>
    <n v="592767.56999999995"/>
    <x v="2607"/>
    <x v="1"/>
  </r>
  <r>
    <n v="98"/>
    <x v="2"/>
    <x v="7"/>
    <n v="3"/>
    <n v="2"/>
    <x v="0"/>
    <n v="496.19999999990199"/>
    <x v="0"/>
    <n v="1091490.00000002"/>
    <n v="3000"/>
    <n v="100"/>
    <x v="0"/>
    <n v="604468.37"/>
    <x v="2608"/>
    <x v="1"/>
  </r>
  <r>
    <n v="99"/>
    <x v="2"/>
    <x v="8"/>
    <n v="2"/>
    <n v="2"/>
    <x v="0"/>
    <n v="500.59999999980698"/>
    <x v="0"/>
    <n v="2540038.0000001001"/>
    <n v="3000"/>
    <n v="100"/>
    <x v="0"/>
    <n v="682649.17"/>
    <x v="2609"/>
    <x v="1"/>
  </r>
  <r>
    <n v="70"/>
    <x v="2"/>
    <x v="3"/>
    <n v="3"/>
    <n v="2"/>
    <x v="0"/>
    <n v="916.60000000004504"/>
    <x v="0"/>
    <n v="169758.00000000201"/>
    <n v="5000"/>
    <n v="20"/>
    <x v="0"/>
    <n v="669226.77"/>
    <x v="2610"/>
    <x v="0"/>
  </r>
  <r>
    <n v="71"/>
    <x v="2"/>
    <x v="4"/>
    <n v="2"/>
    <n v="2"/>
    <x v="0"/>
    <n v="840.79999999993095"/>
    <x v="0"/>
    <n v="333503.99999994802"/>
    <n v="5000"/>
    <n v="20"/>
    <x v="0"/>
    <n v="489327.17"/>
    <x v="2611"/>
    <x v="1"/>
  </r>
  <r>
    <n v="72"/>
    <x v="2"/>
    <x v="4"/>
    <n v="2"/>
    <n v="2"/>
    <x v="0"/>
    <n v="686.80000000043196"/>
    <x v="0"/>
    <n v="475044.99999990902"/>
    <n v="5000"/>
    <n v="20"/>
    <x v="0"/>
    <n v="556525.56999999995"/>
    <x v="2612"/>
    <x v="0"/>
  </r>
  <r>
    <n v="73"/>
    <x v="2"/>
    <x v="4"/>
    <n v="3"/>
    <n v="2"/>
    <x v="0"/>
    <n v="696.99999999990303"/>
    <x v="0"/>
    <n v="533288.00000008405"/>
    <n v="5000"/>
    <n v="20"/>
    <x v="0"/>
    <n v="542626.77"/>
    <x v="2613"/>
    <x v="0"/>
  </r>
  <r>
    <n v="74"/>
    <x v="2"/>
    <x v="6"/>
    <n v="3"/>
    <n v="2"/>
    <x v="0"/>
    <n v="767.00000000009504"/>
    <x v="0"/>
    <n v="792881.99999996298"/>
    <n v="5000"/>
    <n v="20"/>
    <x v="0"/>
    <n v="455025.17"/>
    <x v="2614"/>
    <x v="1"/>
  </r>
  <r>
    <n v="75"/>
    <x v="2"/>
    <x v="4"/>
    <n v="3"/>
    <n v="2"/>
    <x v="0"/>
    <n v="442.80000000007601"/>
    <x v="0"/>
    <n v="267370.99999991199"/>
    <n v="5000"/>
    <n v="20"/>
    <x v="0"/>
    <n v="496725.97"/>
    <x v="2615"/>
    <x v="0"/>
  </r>
  <r>
    <n v="76"/>
    <x v="2"/>
    <x v="5"/>
    <n v="3"/>
    <n v="2"/>
    <x v="0"/>
    <n v="657.20000000020195"/>
    <x v="0"/>
    <n v="367324.99999993702"/>
    <n v="5000"/>
    <n v="20"/>
    <x v="0"/>
    <n v="435325.97"/>
    <x v="2616"/>
    <x v="1"/>
  </r>
  <r>
    <n v="77"/>
    <x v="2"/>
    <x v="5"/>
    <n v="3"/>
    <n v="2"/>
    <x v="0"/>
    <n v="517.59999999951799"/>
    <x v="0"/>
    <n v="424015.00000005402"/>
    <n v="5000"/>
    <n v="20"/>
    <x v="0"/>
    <n v="561726.37"/>
    <x v="2617"/>
    <x v="1"/>
  </r>
  <r>
    <n v="78"/>
    <x v="2"/>
    <x v="5"/>
    <n v="3"/>
    <n v="2"/>
    <x v="0"/>
    <n v="411.19999999992302"/>
    <x v="0"/>
    <n v="421569.00000008999"/>
    <n v="5000"/>
    <n v="20"/>
    <x v="0"/>
    <n v="567426.37"/>
    <x v="2618"/>
    <x v="1"/>
  </r>
  <r>
    <n v="79"/>
    <x v="2"/>
    <x v="5"/>
    <n v="3"/>
    <n v="2"/>
    <x v="0"/>
    <n v="394.20000000021099"/>
    <x v="0"/>
    <n v="507382.00000000698"/>
    <n v="5000"/>
    <n v="20"/>
    <x v="0"/>
    <n v="493025.97"/>
    <x v="2619"/>
    <x v="1"/>
  </r>
  <r>
    <n v="80"/>
    <x v="2"/>
    <x v="4"/>
    <n v="3"/>
    <n v="2"/>
    <x v="0"/>
    <n v="306.60000000004601"/>
    <x v="0"/>
    <n v="217282.00000006799"/>
    <n v="5000"/>
    <n v="20"/>
    <x v="0"/>
    <n v="558725.56999999995"/>
    <x v="2620"/>
    <x v="1"/>
  </r>
  <r>
    <n v="81"/>
    <x v="2"/>
    <x v="5"/>
    <n v="3"/>
    <n v="2"/>
    <x v="0"/>
    <n v="372.600000000389"/>
    <x v="0"/>
    <n v="572054.99999986403"/>
    <n v="5000"/>
    <n v="20"/>
    <x v="0"/>
    <n v="486325.57"/>
    <x v="2621"/>
    <x v="1"/>
  </r>
  <r>
    <n v="82"/>
    <x v="2"/>
    <x v="5"/>
    <n v="2"/>
    <n v="2"/>
    <x v="0"/>
    <n v="377.99999999990098"/>
    <x v="0"/>
    <n v="449708.99999998399"/>
    <n v="5000"/>
    <n v="20"/>
    <x v="0"/>
    <n v="557226.37"/>
    <x v="2622"/>
    <x v="1"/>
  </r>
  <r>
    <n v="83"/>
    <x v="2"/>
    <x v="6"/>
    <n v="2"/>
    <n v="2"/>
    <x v="0"/>
    <n v="451.20000000018501"/>
    <x v="0"/>
    <n v="1278454.00000001"/>
    <n v="5000"/>
    <n v="20"/>
    <x v="0"/>
    <n v="582924.77"/>
    <x v="2623"/>
    <x v="1"/>
  </r>
  <r>
    <n v="84"/>
    <x v="2"/>
    <x v="7"/>
    <n v="2"/>
    <n v="2"/>
    <x v="0"/>
    <n v="503.80000000060897"/>
    <x v="0"/>
    <n v="4835274.0000000298"/>
    <n v="5000"/>
    <n v="20"/>
    <x v="0"/>
    <n v="525025.17000000004"/>
    <x v="2624"/>
    <x v="1"/>
  </r>
  <r>
    <n v="85"/>
    <x v="2"/>
    <x v="5"/>
    <n v="2"/>
    <n v="2"/>
    <x v="0"/>
    <n v="348.000000000326"/>
    <x v="0"/>
    <n v="562017.99999985297"/>
    <n v="5000"/>
    <n v="20"/>
    <x v="0"/>
    <n v="457227.17"/>
    <x v="2625"/>
    <x v="1"/>
  </r>
  <r>
    <n v="86"/>
    <x v="2"/>
    <x v="7"/>
    <n v="3"/>
    <n v="2"/>
    <x v="0"/>
    <n v="468.00000000004599"/>
    <x v="0"/>
    <n v="2626483.9999998901"/>
    <n v="5000"/>
    <n v="20"/>
    <x v="0"/>
    <n v="715527.57"/>
    <x v="2626"/>
    <x v="1"/>
  </r>
  <r>
    <n v="87"/>
    <x v="2"/>
    <x v="7"/>
    <n v="2"/>
    <n v="2"/>
    <x v="0"/>
    <n v="451.39999999968001"/>
    <x v="0"/>
    <n v="2008806.0000000501"/>
    <n v="5000"/>
    <n v="20"/>
    <x v="0"/>
    <n v="749225.57"/>
    <x v="2627"/>
    <x v="1"/>
  </r>
  <r>
    <n v="88"/>
    <x v="2"/>
    <x v="7"/>
    <n v="3"/>
    <n v="2"/>
    <x v="0"/>
    <n v="490.20000000048498"/>
    <x v="0"/>
    <n v="1234313.00000016"/>
    <n v="5000"/>
    <n v="20"/>
    <x v="0"/>
    <n v="745225.57"/>
    <x v="2628"/>
    <x v="1"/>
  </r>
  <r>
    <n v="89"/>
    <x v="2"/>
    <x v="4"/>
    <n v="3"/>
    <n v="2"/>
    <x v="0"/>
    <n v="266.39999999993302"/>
    <x v="0"/>
    <n v="414899.999999989"/>
    <n v="5000"/>
    <n v="20"/>
    <x v="0"/>
    <n v="481825.57"/>
    <x v="2629"/>
    <x v="1"/>
  </r>
  <r>
    <n v="90"/>
    <x v="2"/>
    <x v="5"/>
    <n v="2"/>
    <n v="2"/>
    <x v="0"/>
    <n v="335.79999999986399"/>
    <x v="0"/>
    <n v="636770.00000006997"/>
    <n v="5000"/>
    <n v="20"/>
    <x v="0"/>
    <n v="554226.37"/>
    <x v="2630"/>
    <x v="1"/>
  </r>
  <r>
    <n v="91"/>
    <x v="2"/>
    <x v="5"/>
    <n v="3"/>
    <n v="2"/>
    <x v="0"/>
    <n v="335.59999999930301"/>
    <x v="0"/>
    <n v="411151.00000001799"/>
    <n v="5000"/>
    <n v="20"/>
    <x v="0"/>
    <n v="569127.17000000004"/>
    <x v="2631"/>
    <x v="1"/>
  </r>
  <r>
    <n v="92"/>
    <x v="2"/>
    <x v="5"/>
    <n v="3"/>
    <n v="2"/>
    <x v="0"/>
    <n v="306.40000000019501"/>
    <x v="0"/>
    <n v="326122.99999982503"/>
    <n v="5000"/>
    <n v="20"/>
    <x v="0"/>
    <n v="569127.17000000004"/>
    <x v="2632"/>
    <x v="1"/>
  </r>
  <r>
    <n v="93"/>
    <x v="2"/>
    <x v="8"/>
    <n v="3"/>
    <n v="2"/>
    <x v="0"/>
    <n v="515.79999999979998"/>
    <x v="0"/>
    <n v="2579271.9999999502"/>
    <n v="5000"/>
    <n v="20"/>
    <x v="0"/>
    <n v="697428.37"/>
    <x v="2633"/>
    <x v="1"/>
  </r>
  <r>
    <n v="94"/>
    <x v="2"/>
    <x v="7"/>
    <n v="2"/>
    <n v="2"/>
    <x v="0"/>
    <n v="446.600000000075"/>
    <x v="0"/>
    <n v="2002005.9999999399"/>
    <n v="5000"/>
    <n v="20"/>
    <x v="0"/>
    <n v="545827.56999999995"/>
    <x v="2634"/>
    <x v="1"/>
  </r>
  <r>
    <n v="95"/>
    <x v="2"/>
    <x v="9"/>
    <n v="2"/>
    <n v="2"/>
    <x v="0"/>
    <n v="605.60000000045"/>
    <x v="0"/>
    <n v="5219995.0000001499"/>
    <n v="5000"/>
    <n v="20"/>
    <x v="0"/>
    <n v="617325.56999999995"/>
    <x v="2635"/>
    <x v="1"/>
  </r>
  <r>
    <n v="96"/>
    <x v="2"/>
    <x v="5"/>
    <n v="3"/>
    <n v="2"/>
    <x v="0"/>
    <n v="301.39999999967398"/>
    <x v="0"/>
    <n v="538624.00000002701"/>
    <n v="5000"/>
    <n v="20"/>
    <x v="0"/>
    <n v="562625.97"/>
    <x v="2636"/>
    <x v="1"/>
  </r>
  <r>
    <n v="97"/>
    <x v="2"/>
    <x v="6"/>
    <n v="3"/>
    <n v="2"/>
    <x v="0"/>
    <n v="374.59999999995802"/>
    <x v="0"/>
    <n v="698046.99999985995"/>
    <n v="5000"/>
    <n v="20"/>
    <x v="0"/>
    <n v="577325.56999999995"/>
    <x v="2637"/>
    <x v="1"/>
  </r>
  <r>
    <n v="98"/>
    <x v="2"/>
    <x v="7"/>
    <n v="3"/>
    <n v="2"/>
    <x v="0"/>
    <n v="496.19999999990199"/>
    <x v="0"/>
    <n v="1091490.00000002"/>
    <n v="5000"/>
    <n v="20"/>
    <x v="0"/>
    <n v="596826.77"/>
    <x v="2638"/>
    <x v="1"/>
  </r>
  <r>
    <n v="99"/>
    <x v="2"/>
    <x v="8"/>
    <n v="2"/>
    <n v="2"/>
    <x v="0"/>
    <n v="500.59999999980698"/>
    <x v="0"/>
    <n v="2540038.0000001001"/>
    <n v="5000"/>
    <n v="20"/>
    <x v="0"/>
    <n v="727128.77"/>
    <x v="2639"/>
    <x v="1"/>
  </r>
  <r>
    <n v="70"/>
    <x v="2"/>
    <x v="3"/>
    <n v="3"/>
    <n v="2"/>
    <x v="0"/>
    <n v="916.60000000004504"/>
    <x v="0"/>
    <n v="169758.00000000201"/>
    <n v="2000"/>
    <n v="100"/>
    <x v="0"/>
    <n v="437248.77"/>
    <x v="2640"/>
    <x v="1"/>
  </r>
  <r>
    <n v="71"/>
    <x v="2"/>
    <x v="4"/>
    <n v="2"/>
    <n v="2"/>
    <x v="0"/>
    <n v="840.79999999993095"/>
    <x v="0"/>
    <n v="333503.99999994802"/>
    <n v="2000"/>
    <n v="100"/>
    <x v="0"/>
    <n v="365288.77"/>
    <x v="2641"/>
    <x v="1"/>
  </r>
  <r>
    <n v="72"/>
    <x v="2"/>
    <x v="4"/>
    <n v="2"/>
    <n v="2"/>
    <x v="0"/>
    <n v="686.80000000043196"/>
    <x v="0"/>
    <n v="475044.99999990902"/>
    <n v="2000"/>
    <n v="100"/>
    <x v="0"/>
    <n v="392167.17"/>
    <x v="2642"/>
    <x v="1"/>
  </r>
  <r>
    <n v="73"/>
    <x v="2"/>
    <x v="4"/>
    <n v="3"/>
    <n v="2"/>
    <x v="0"/>
    <n v="696.99999999990303"/>
    <x v="0"/>
    <n v="533288.00000008405"/>
    <n v="2000"/>
    <n v="100"/>
    <x v="0"/>
    <n v="386608.77"/>
    <x v="2643"/>
    <x v="1"/>
  </r>
  <r>
    <n v="74"/>
    <x v="2"/>
    <x v="6"/>
    <n v="3"/>
    <n v="2"/>
    <x v="0"/>
    <n v="767.00000000009504"/>
    <x v="0"/>
    <n v="792881.99999996298"/>
    <n v="2000"/>
    <n v="100"/>
    <x v="0"/>
    <n v="351567.17"/>
    <x v="2644"/>
    <x v="1"/>
  </r>
  <r>
    <n v="75"/>
    <x v="2"/>
    <x v="4"/>
    <n v="3"/>
    <n v="2"/>
    <x v="0"/>
    <n v="442.80000000007601"/>
    <x v="0"/>
    <n v="267370.99999991199"/>
    <n v="2000"/>
    <n v="100"/>
    <x v="0"/>
    <n v="368248.37"/>
    <x v="2645"/>
    <x v="1"/>
  </r>
  <r>
    <n v="76"/>
    <x v="2"/>
    <x v="5"/>
    <n v="3"/>
    <n v="2"/>
    <x v="0"/>
    <n v="657.20000000020195"/>
    <x v="0"/>
    <n v="367324.99999993702"/>
    <n v="2000"/>
    <n v="100"/>
    <x v="0"/>
    <n v="343688.37"/>
    <x v="2646"/>
    <x v="1"/>
  </r>
  <r>
    <n v="77"/>
    <x v="2"/>
    <x v="5"/>
    <n v="3"/>
    <n v="2"/>
    <x v="0"/>
    <n v="517.59999999951799"/>
    <x v="0"/>
    <n v="424015.00000005402"/>
    <n v="2000"/>
    <n v="100"/>
    <x v="0"/>
    <n v="394248.37"/>
    <x v="2647"/>
    <x v="1"/>
  </r>
  <r>
    <n v="78"/>
    <x v="2"/>
    <x v="5"/>
    <n v="3"/>
    <n v="2"/>
    <x v="0"/>
    <n v="411.19999999992302"/>
    <x v="0"/>
    <n v="421569.00000008999"/>
    <n v="2000"/>
    <n v="100"/>
    <x v="0"/>
    <n v="396527.97"/>
    <x v="2648"/>
    <x v="1"/>
  </r>
  <r>
    <n v="79"/>
    <x v="2"/>
    <x v="5"/>
    <n v="3"/>
    <n v="2"/>
    <x v="0"/>
    <n v="394.20000000021099"/>
    <x v="0"/>
    <n v="507382.00000000698"/>
    <n v="2000"/>
    <n v="100"/>
    <x v="0"/>
    <n v="366767.97"/>
    <x v="2649"/>
    <x v="1"/>
  </r>
  <r>
    <n v="80"/>
    <x v="2"/>
    <x v="4"/>
    <n v="3"/>
    <n v="2"/>
    <x v="0"/>
    <n v="306.60000000004601"/>
    <x v="0"/>
    <n v="217282.00000006799"/>
    <n v="2000"/>
    <n v="100"/>
    <x v="0"/>
    <n v="393047.17"/>
    <x v="2650"/>
    <x v="1"/>
  </r>
  <r>
    <n v="81"/>
    <x v="2"/>
    <x v="5"/>
    <n v="3"/>
    <n v="2"/>
    <x v="0"/>
    <n v="372.600000000389"/>
    <x v="0"/>
    <n v="572054.99999986403"/>
    <n v="2000"/>
    <n v="100"/>
    <x v="0"/>
    <n v="364087.57"/>
    <x v="2651"/>
    <x v="1"/>
  </r>
  <r>
    <n v="82"/>
    <x v="2"/>
    <x v="5"/>
    <n v="2"/>
    <n v="2"/>
    <x v="0"/>
    <n v="377.99999999990098"/>
    <x v="0"/>
    <n v="449708.99999998399"/>
    <n v="2000"/>
    <n v="100"/>
    <x v="0"/>
    <n v="392448.37"/>
    <x v="2652"/>
    <x v="1"/>
  </r>
  <r>
    <n v="83"/>
    <x v="2"/>
    <x v="6"/>
    <n v="2"/>
    <n v="2"/>
    <x v="0"/>
    <n v="451.20000000018501"/>
    <x v="0"/>
    <n v="1278454.00000001"/>
    <n v="2000"/>
    <n v="100"/>
    <x v="0"/>
    <n v="402726.77"/>
    <x v="2653"/>
    <x v="1"/>
  </r>
  <r>
    <n v="84"/>
    <x v="2"/>
    <x v="7"/>
    <n v="2"/>
    <n v="2"/>
    <x v="0"/>
    <n v="503.80000000060897"/>
    <x v="0"/>
    <n v="4835274.0000000298"/>
    <n v="2000"/>
    <n v="100"/>
    <x v="0"/>
    <n v="379566.37"/>
    <x v="2654"/>
    <x v="1"/>
  </r>
  <r>
    <n v="85"/>
    <x v="2"/>
    <x v="5"/>
    <n v="2"/>
    <n v="2"/>
    <x v="0"/>
    <n v="348.000000000326"/>
    <x v="0"/>
    <n v="562017.99999985297"/>
    <n v="2000"/>
    <n v="100"/>
    <x v="0"/>
    <n v="352449.17"/>
    <x v="2655"/>
    <x v="1"/>
  </r>
  <r>
    <n v="86"/>
    <x v="2"/>
    <x v="7"/>
    <n v="3"/>
    <n v="2"/>
    <x v="0"/>
    <n v="468.00000000004599"/>
    <x v="0"/>
    <n v="2626483.9999998901"/>
    <n v="2000"/>
    <n v="100"/>
    <x v="0"/>
    <n v="455769.97"/>
    <x v="2656"/>
    <x v="1"/>
  </r>
  <r>
    <n v="87"/>
    <x v="2"/>
    <x v="7"/>
    <n v="2"/>
    <n v="2"/>
    <x v="0"/>
    <n v="451.39999999968001"/>
    <x v="0"/>
    <n v="2008806.0000000501"/>
    <n v="2000"/>
    <n v="100"/>
    <x v="0"/>
    <n v="469247.57"/>
    <x v="2657"/>
    <x v="1"/>
  </r>
  <r>
    <n v="88"/>
    <x v="2"/>
    <x v="7"/>
    <n v="3"/>
    <n v="2"/>
    <x v="0"/>
    <n v="490.20000000048498"/>
    <x v="0"/>
    <n v="1234313.00000016"/>
    <n v="2000"/>
    <n v="100"/>
    <x v="0"/>
    <n v="467647.57"/>
    <x v="2658"/>
    <x v="1"/>
  </r>
  <r>
    <n v="89"/>
    <x v="2"/>
    <x v="4"/>
    <n v="3"/>
    <n v="2"/>
    <x v="0"/>
    <n v="266.39999999993302"/>
    <x v="0"/>
    <n v="414899.999999989"/>
    <n v="2000"/>
    <n v="100"/>
    <x v="0"/>
    <n v="362287.17"/>
    <x v="2659"/>
    <x v="1"/>
  </r>
  <r>
    <n v="90"/>
    <x v="2"/>
    <x v="5"/>
    <n v="2"/>
    <n v="2"/>
    <x v="0"/>
    <n v="335.79999999986399"/>
    <x v="0"/>
    <n v="636770.00000006997"/>
    <n v="2000"/>
    <n v="100"/>
    <x v="0"/>
    <n v="391247.97"/>
    <x v="2660"/>
    <x v="1"/>
  </r>
  <r>
    <n v="91"/>
    <x v="2"/>
    <x v="5"/>
    <n v="3"/>
    <n v="2"/>
    <x v="0"/>
    <n v="335.59999999930301"/>
    <x v="0"/>
    <n v="411151.00000001799"/>
    <n v="2000"/>
    <n v="100"/>
    <x v="0"/>
    <n v="397208.37"/>
    <x v="2661"/>
    <x v="1"/>
  </r>
  <r>
    <n v="92"/>
    <x v="2"/>
    <x v="5"/>
    <n v="3"/>
    <n v="2"/>
    <x v="0"/>
    <n v="306.40000000019501"/>
    <x v="0"/>
    <n v="326122.99999982503"/>
    <n v="2000"/>
    <n v="100"/>
    <x v="0"/>
    <n v="397207.97"/>
    <x v="2662"/>
    <x v="1"/>
  </r>
  <r>
    <n v="93"/>
    <x v="2"/>
    <x v="8"/>
    <n v="3"/>
    <n v="2"/>
    <x v="0"/>
    <n v="515.79999999979998"/>
    <x v="0"/>
    <n v="2579271.9999999502"/>
    <n v="2000"/>
    <n v="100"/>
    <x v="0"/>
    <n v="448528.37"/>
    <x v="2663"/>
    <x v="1"/>
  </r>
  <r>
    <n v="94"/>
    <x v="2"/>
    <x v="7"/>
    <n v="2"/>
    <n v="2"/>
    <x v="0"/>
    <n v="446.600000000075"/>
    <x v="0"/>
    <n v="2002005.9999999399"/>
    <n v="2000"/>
    <n v="100"/>
    <x v="0"/>
    <n v="387890.37"/>
    <x v="2664"/>
    <x v="1"/>
  </r>
  <r>
    <n v="95"/>
    <x v="2"/>
    <x v="9"/>
    <n v="2"/>
    <n v="2"/>
    <x v="0"/>
    <n v="605.60000000045"/>
    <x v="0"/>
    <n v="5219995.0000001499"/>
    <n v="2000"/>
    <n v="100"/>
    <x v="0"/>
    <n v="416487.57"/>
    <x v="2665"/>
    <x v="1"/>
  </r>
  <r>
    <n v="96"/>
    <x v="2"/>
    <x v="5"/>
    <n v="3"/>
    <n v="2"/>
    <x v="0"/>
    <n v="301.39999999967398"/>
    <x v="0"/>
    <n v="538624.00000002701"/>
    <n v="2000"/>
    <n v="100"/>
    <x v="0"/>
    <n v="394607.97"/>
    <x v="2666"/>
    <x v="1"/>
  </r>
  <r>
    <n v="97"/>
    <x v="2"/>
    <x v="6"/>
    <n v="3"/>
    <n v="2"/>
    <x v="0"/>
    <n v="374.59999999995802"/>
    <x v="0"/>
    <n v="698046.99999985995"/>
    <n v="2000"/>
    <n v="100"/>
    <x v="0"/>
    <n v="400487.57"/>
    <x v="2667"/>
    <x v="1"/>
  </r>
  <r>
    <n v="98"/>
    <x v="2"/>
    <x v="7"/>
    <n v="3"/>
    <n v="2"/>
    <x v="0"/>
    <n v="496.19999999990199"/>
    <x v="0"/>
    <n v="1091490.00000002"/>
    <n v="2000"/>
    <n v="100"/>
    <x v="0"/>
    <n v="408288.37"/>
    <x v="2668"/>
    <x v="1"/>
  </r>
  <r>
    <n v="99"/>
    <x v="2"/>
    <x v="8"/>
    <n v="2"/>
    <n v="2"/>
    <x v="0"/>
    <n v="500.59999999980698"/>
    <x v="0"/>
    <n v="2540038.0000001001"/>
    <n v="2000"/>
    <n v="100"/>
    <x v="0"/>
    <n v="460409.17"/>
    <x v="2669"/>
    <x v="1"/>
  </r>
  <r>
    <n v="70"/>
    <x v="2"/>
    <x v="3"/>
    <n v="3"/>
    <n v="2"/>
    <x v="0"/>
    <n v="916.60000000004504"/>
    <x v="0"/>
    <n v="169758.00000000201"/>
    <n v="1000"/>
    <n v="100"/>
    <x v="0"/>
    <n v="226588.77"/>
    <x v="2670"/>
    <x v="1"/>
  </r>
  <r>
    <n v="71"/>
    <x v="2"/>
    <x v="4"/>
    <n v="2"/>
    <n v="2"/>
    <x v="0"/>
    <n v="840.79999999993095"/>
    <x v="0"/>
    <n v="333503.99999994802"/>
    <n v="1000"/>
    <n v="100"/>
    <x v="0"/>
    <n v="190608.77"/>
    <x v="2671"/>
    <x v="1"/>
  </r>
  <r>
    <n v="72"/>
    <x v="2"/>
    <x v="4"/>
    <n v="2"/>
    <n v="2"/>
    <x v="0"/>
    <n v="686.80000000043196"/>
    <x v="0"/>
    <n v="475044.99999990902"/>
    <n v="1000"/>
    <n v="100"/>
    <x v="0"/>
    <n v="204047.17"/>
    <x v="2672"/>
    <x v="1"/>
  </r>
  <r>
    <n v="73"/>
    <x v="2"/>
    <x v="4"/>
    <n v="3"/>
    <n v="2"/>
    <x v="0"/>
    <n v="696.99999999990303"/>
    <x v="0"/>
    <n v="533288.00000008405"/>
    <n v="1000"/>
    <n v="100"/>
    <x v="0"/>
    <n v="201269.17"/>
    <x v="2673"/>
    <x v="1"/>
  </r>
  <r>
    <n v="74"/>
    <x v="2"/>
    <x v="6"/>
    <n v="3"/>
    <n v="2"/>
    <x v="0"/>
    <n v="767.00000000009504"/>
    <x v="0"/>
    <n v="792881.99999996298"/>
    <n v="1000"/>
    <n v="100"/>
    <x v="0"/>
    <n v="183747.17"/>
    <x v="2674"/>
    <x v="1"/>
  </r>
  <r>
    <n v="75"/>
    <x v="2"/>
    <x v="4"/>
    <n v="3"/>
    <n v="2"/>
    <x v="0"/>
    <n v="442.80000000007601"/>
    <x v="0"/>
    <n v="267370.99999991199"/>
    <n v="1000"/>
    <n v="100"/>
    <x v="0"/>
    <n v="192087.97"/>
    <x v="2675"/>
    <x v="1"/>
  </r>
  <r>
    <n v="76"/>
    <x v="2"/>
    <x v="5"/>
    <n v="3"/>
    <n v="2"/>
    <x v="0"/>
    <n v="657.20000000020195"/>
    <x v="0"/>
    <n v="367324.99999993702"/>
    <n v="1000"/>
    <n v="100"/>
    <x v="0"/>
    <n v="179807.57"/>
    <x v="2676"/>
    <x v="1"/>
  </r>
  <r>
    <n v="77"/>
    <x v="2"/>
    <x v="5"/>
    <n v="3"/>
    <n v="2"/>
    <x v="0"/>
    <n v="517.59999999951799"/>
    <x v="0"/>
    <n v="424015.00000005402"/>
    <n v="1000"/>
    <n v="100"/>
    <x v="0"/>
    <n v="205088.37"/>
    <x v="2677"/>
    <x v="1"/>
  </r>
  <r>
    <n v="78"/>
    <x v="2"/>
    <x v="5"/>
    <n v="3"/>
    <n v="2"/>
    <x v="0"/>
    <n v="411.19999999992302"/>
    <x v="0"/>
    <n v="421569.00000008999"/>
    <n v="1000"/>
    <n v="100"/>
    <x v="0"/>
    <n v="206228.77"/>
    <x v="2678"/>
    <x v="1"/>
  </r>
  <r>
    <n v="79"/>
    <x v="2"/>
    <x v="5"/>
    <n v="3"/>
    <n v="2"/>
    <x v="0"/>
    <n v="394.20000000021099"/>
    <x v="0"/>
    <n v="507382.00000000698"/>
    <n v="1000"/>
    <n v="100"/>
    <x v="0"/>
    <n v="191347.97"/>
    <x v="2679"/>
    <x v="1"/>
  </r>
  <r>
    <n v="80"/>
    <x v="2"/>
    <x v="4"/>
    <n v="3"/>
    <n v="2"/>
    <x v="0"/>
    <n v="306.60000000004601"/>
    <x v="0"/>
    <n v="217282.00000006799"/>
    <n v="1000"/>
    <n v="100"/>
    <x v="0"/>
    <n v="204487.97"/>
    <x v="2680"/>
    <x v="1"/>
  </r>
  <r>
    <n v="81"/>
    <x v="2"/>
    <x v="5"/>
    <n v="3"/>
    <n v="2"/>
    <x v="0"/>
    <n v="372.600000000389"/>
    <x v="0"/>
    <n v="572054.99999986403"/>
    <n v="1000"/>
    <n v="100"/>
    <x v="0"/>
    <n v="190007.97"/>
    <x v="2681"/>
    <x v="1"/>
  </r>
  <r>
    <n v="82"/>
    <x v="2"/>
    <x v="5"/>
    <n v="2"/>
    <n v="2"/>
    <x v="0"/>
    <n v="377.99999999990098"/>
    <x v="0"/>
    <n v="449708.99999998399"/>
    <n v="1000"/>
    <n v="100"/>
    <x v="0"/>
    <n v="204187.97"/>
    <x v="2682"/>
    <x v="1"/>
  </r>
  <r>
    <n v="83"/>
    <x v="2"/>
    <x v="6"/>
    <n v="2"/>
    <n v="2"/>
    <x v="0"/>
    <n v="451.20000000018501"/>
    <x v="0"/>
    <n v="1278454.00000001"/>
    <n v="1000"/>
    <n v="100"/>
    <x v="0"/>
    <n v="209326.77"/>
    <x v="2683"/>
    <x v="1"/>
  </r>
  <r>
    <n v="84"/>
    <x v="2"/>
    <x v="7"/>
    <n v="2"/>
    <n v="2"/>
    <x v="0"/>
    <n v="503.80000000060897"/>
    <x v="0"/>
    <n v="4835274.0000000298"/>
    <n v="1000"/>
    <n v="100"/>
    <x v="0"/>
    <n v="197747.97"/>
    <x v="2684"/>
    <x v="1"/>
  </r>
  <r>
    <n v="85"/>
    <x v="2"/>
    <x v="5"/>
    <n v="2"/>
    <n v="2"/>
    <x v="0"/>
    <n v="348.000000000326"/>
    <x v="0"/>
    <n v="562017.99999985297"/>
    <n v="1000"/>
    <n v="100"/>
    <x v="0"/>
    <n v="184188.37"/>
    <x v="2685"/>
    <x v="1"/>
  </r>
  <r>
    <n v="86"/>
    <x v="2"/>
    <x v="7"/>
    <n v="3"/>
    <n v="2"/>
    <x v="0"/>
    <n v="468.00000000004599"/>
    <x v="0"/>
    <n v="2626483.9999998901"/>
    <n v="1000"/>
    <n v="100"/>
    <x v="0"/>
    <n v="235849.97"/>
    <x v="2686"/>
    <x v="1"/>
  </r>
  <r>
    <n v="87"/>
    <x v="2"/>
    <x v="7"/>
    <n v="2"/>
    <n v="2"/>
    <x v="0"/>
    <n v="451.39999999968001"/>
    <x v="0"/>
    <n v="2008806.0000000501"/>
    <n v="1000"/>
    <n v="100"/>
    <x v="0"/>
    <n v="242587.17"/>
    <x v="2687"/>
    <x v="1"/>
  </r>
  <r>
    <n v="88"/>
    <x v="2"/>
    <x v="7"/>
    <n v="3"/>
    <n v="2"/>
    <x v="0"/>
    <n v="490.20000000048498"/>
    <x v="0"/>
    <n v="1234313.00000016"/>
    <n v="1000"/>
    <n v="100"/>
    <x v="0"/>
    <n v="241787.97"/>
    <x v="2688"/>
    <x v="1"/>
  </r>
  <r>
    <n v="89"/>
    <x v="2"/>
    <x v="4"/>
    <n v="3"/>
    <n v="2"/>
    <x v="0"/>
    <n v="266.39999999993302"/>
    <x v="0"/>
    <n v="414899.999999989"/>
    <n v="1000"/>
    <n v="100"/>
    <x v="0"/>
    <n v="189107.17"/>
    <x v="2689"/>
    <x v="1"/>
  </r>
  <r>
    <n v="90"/>
    <x v="2"/>
    <x v="5"/>
    <n v="2"/>
    <n v="2"/>
    <x v="0"/>
    <n v="335.79999999986399"/>
    <x v="0"/>
    <n v="636770.00000006997"/>
    <n v="1000"/>
    <n v="100"/>
    <x v="0"/>
    <n v="203588.37"/>
    <x v="2690"/>
    <x v="1"/>
  </r>
  <r>
    <n v="91"/>
    <x v="2"/>
    <x v="5"/>
    <n v="3"/>
    <n v="2"/>
    <x v="0"/>
    <n v="335.59999999930301"/>
    <x v="0"/>
    <n v="411151.00000001799"/>
    <n v="1000"/>
    <n v="100"/>
    <x v="0"/>
    <n v="206569.17"/>
    <x v="2691"/>
    <x v="1"/>
  </r>
  <r>
    <n v="92"/>
    <x v="2"/>
    <x v="5"/>
    <n v="3"/>
    <n v="2"/>
    <x v="0"/>
    <n v="306.40000000019501"/>
    <x v="0"/>
    <n v="326122.99999982503"/>
    <n v="1000"/>
    <n v="100"/>
    <x v="0"/>
    <n v="206567.57"/>
    <x v="2692"/>
    <x v="1"/>
  </r>
  <r>
    <n v="93"/>
    <x v="2"/>
    <x v="8"/>
    <n v="3"/>
    <n v="2"/>
    <x v="0"/>
    <n v="515.79999999979998"/>
    <x v="0"/>
    <n v="2579271.9999999502"/>
    <n v="1000"/>
    <n v="100"/>
    <x v="0"/>
    <n v="232228.37"/>
    <x v="2693"/>
    <x v="1"/>
  </r>
  <r>
    <n v="94"/>
    <x v="2"/>
    <x v="7"/>
    <n v="2"/>
    <n v="2"/>
    <x v="0"/>
    <n v="446.600000000075"/>
    <x v="0"/>
    <n v="2002005.9999999399"/>
    <n v="1000"/>
    <n v="100"/>
    <x v="0"/>
    <n v="201909.97"/>
    <x v="2694"/>
    <x v="1"/>
  </r>
  <r>
    <n v="95"/>
    <x v="2"/>
    <x v="9"/>
    <n v="2"/>
    <n v="2"/>
    <x v="0"/>
    <n v="605.60000000045"/>
    <x v="0"/>
    <n v="5219995.0000001499"/>
    <n v="1000"/>
    <n v="100"/>
    <x v="0"/>
    <n v="216207.97"/>
    <x v="2695"/>
    <x v="1"/>
  </r>
  <r>
    <n v="96"/>
    <x v="2"/>
    <x v="5"/>
    <n v="3"/>
    <n v="2"/>
    <x v="0"/>
    <n v="301.39999999967398"/>
    <x v="0"/>
    <n v="538624.00000002701"/>
    <n v="1000"/>
    <n v="100"/>
    <x v="0"/>
    <n v="205267.97"/>
    <x v="2696"/>
    <x v="1"/>
  </r>
  <r>
    <n v="97"/>
    <x v="2"/>
    <x v="6"/>
    <n v="3"/>
    <n v="2"/>
    <x v="0"/>
    <n v="374.59999999995802"/>
    <x v="0"/>
    <n v="698046.99999985995"/>
    <n v="1000"/>
    <n v="100"/>
    <x v="0"/>
    <n v="208207.97"/>
    <x v="2697"/>
    <x v="1"/>
  </r>
  <r>
    <n v="98"/>
    <x v="2"/>
    <x v="7"/>
    <n v="3"/>
    <n v="2"/>
    <x v="0"/>
    <n v="496.19999999990199"/>
    <x v="0"/>
    <n v="1091490.00000002"/>
    <n v="1000"/>
    <n v="100"/>
    <x v="0"/>
    <n v="212107.57"/>
    <x v="2698"/>
    <x v="1"/>
  </r>
  <r>
    <n v="99"/>
    <x v="2"/>
    <x v="8"/>
    <n v="2"/>
    <n v="2"/>
    <x v="0"/>
    <n v="500.59999999980698"/>
    <x v="0"/>
    <n v="2540038.0000001001"/>
    <n v="1000"/>
    <n v="100"/>
    <x v="0"/>
    <n v="238169.97"/>
    <x v="2699"/>
    <x v="1"/>
  </r>
  <r>
    <n v="70"/>
    <x v="2"/>
    <x v="3"/>
    <n v="3"/>
    <n v="2"/>
    <x v="0"/>
    <n v="916.60000000004504"/>
    <x v="0"/>
    <n v="169758.00000000201"/>
    <n v="1000"/>
    <n v="500"/>
    <x v="0"/>
    <n v="626588.77"/>
    <x v="2700"/>
    <x v="1"/>
  </r>
  <r>
    <n v="71"/>
    <x v="2"/>
    <x v="4"/>
    <n v="2"/>
    <n v="2"/>
    <x v="0"/>
    <n v="840.79999999993095"/>
    <x v="0"/>
    <n v="333503.99999994802"/>
    <n v="1000"/>
    <n v="500"/>
    <x v="0"/>
    <n v="590608.77"/>
    <x v="2701"/>
    <x v="1"/>
  </r>
  <r>
    <n v="72"/>
    <x v="2"/>
    <x v="4"/>
    <n v="2"/>
    <n v="2"/>
    <x v="0"/>
    <n v="686.80000000043196"/>
    <x v="0"/>
    <n v="475044.99999990902"/>
    <n v="1000"/>
    <n v="500"/>
    <x v="0"/>
    <n v="604047.17000000004"/>
    <x v="2702"/>
    <x v="1"/>
  </r>
  <r>
    <n v="73"/>
    <x v="2"/>
    <x v="4"/>
    <n v="3"/>
    <n v="2"/>
    <x v="0"/>
    <n v="696.99999999990303"/>
    <x v="0"/>
    <n v="533288.00000008405"/>
    <n v="1000"/>
    <n v="500"/>
    <x v="0"/>
    <n v="601269.17000000004"/>
    <x v="2703"/>
    <x v="1"/>
  </r>
  <r>
    <n v="74"/>
    <x v="2"/>
    <x v="6"/>
    <n v="3"/>
    <n v="2"/>
    <x v="0"/>
    <n v="767.00000000009504"/>
    <x v="0"/>
    <n v="792881.99999996298"/>
    <n v="1000"/>
    <n v="500"/>
    <x v="0"/>
    <n v="583747.17000000004"/>
    <x v="2704"/>
    <x v="1"/>
  </r>
  <r>
    <n v="75"/>
    <x v="2"/>
    <x v="4"/>
    <n v="3"/>
    <n v="2"/>
    <x v="0"/>
    <n v="442.80000000007601"/>
    <x v="0"/>
    <n v="267370.99999991199"/>
    <n v="1000"/>
    <n v="500"/>
    <x v="0"/>
    <n v="592087.97"/>
    <x v="2705"/>
    <x v="1"/>
  </r>
  <r>
    <n v="76"/>
    <x v="2"/>
    <x v="5"/>
    <n v="3"/>
    <n v="2"/>
    <x v="0"/>
    <n v="657.20000000020195"/>
    <x v="0"/>
    <n v="367324.99999993702"/>
    <n v="1000"/>
    <n v="500"/>
    <x v="0"/>
    <n v="579807.56999999995"/>
    <x v="2706"/>
    <x v="1"/>
  </r>
  <r>
    <n v="77"/>
    <x v="2"/>
    <x v="5"/>
    <n v="3"/>
    <n v="2"/>
    <x v="0"/>
    <n v="517.59999999951799"/>
    <x v="0"/>
    <n v="424015.00000005402"/>
    <n v="1000"/>
    <n v="500"/>
    <x v="0"/>
    <n v="605088.37"/>
    <x v="2707"/>
    <x v="1"/>
  </r>
  <r>
    <n v="78"/>
    <x v="2"/>
    <x v="5"/>
    <n v="3"/>
    <n v="2"/>
    <x v="0"/>
    <n v="411.19999999992302"/>
    <x v="0"/>
    <n v="421569.00000008999"/>
    <n v="1000"/>
    <n v="500"/>
    <x v="0"/>
    <n v="606228.77"/>
    <x v="2708"/>
    <x v="1"/>
  </r>
  <r>
    <n v="79"/>
    <x v="2"/>
    <x v="5"/>
    <n v="3"/>
    <n v="2"/>
    <x v="0"/>
    <n v="394.20000000021099"/>
    <x v="0"/>
    <n v="507382.00000000698"/>
    <n v="1000"/>
    <n v="500"/>
    <x v="0"/>
    <n v="591347.97"/>
    <x v="2709"/>
    <x v="1"/>
  </r>
  <r>
    <n v="80"/>
    <x v="2"/>
    <x v="4"/>
    <n v="3"/>
    <n v="2"/>
    <x v="0"/>
    <n v="306.60000000004601"/>
    <x v="0"/>
    <n v="217282.00000006799"/>
    <n v="1000"/>
    <n v="500"/>
    <x v="0"/>
    <n v="604487.97"/>
    <x v="2710"/>
    <x v="1"/>
  </r>
  <r>
    <n v="81"/>
    <x v="2"/>
    <x v="5"/>
    <n v="3"/>
    <n v="2"/>
    <x v="0"/>
    <n v="372.600000000389"/>
    <x v="0"/>
    <n v="572054.99999986403"/>
    <n v="1000"/>
    <n v="500"/>
    <x v="0"/>
    <n v="590007.97"/>
    <x v="2711"/>
    <x v="1"/>
  </r>
  <r>
    <n v="82"/>
    <x v="2"/>
    <x v="5"/>
    <n v="2"/>
    <n v="2"/>
    <x v="0"/>
    <n v="377.99999999990098"/>
    <x v="0"/>
    <n v="449708.99999998399"/>
    <n v="1000"/>
    <n v="500"/>
    <x v="0"/>
    <n v="604187.97"/>
    <x v="2712"/>
    <x v="1"/>
  </r>
  <r>
    <n v="83"/>
    <x v="2"/>
    <x v="6"/>
    <n v="2"/>
    <n v="2"/>
    <x v="0"/>
    <n v="451.20000000018501"/>
    <x v="0"/>
    <n v="1278454.00000001"/>
    <n v="1000"/>
    <n v="500"/>
    <x v="0"/>
    <n v="609326.77"/>
    <x v="2713"/>
    <x v="1"/>
  </r>
  <r>
    <n v="84"/>
    <x v="2"/>
    <x v="7"/>
    <n v="2"/>
    <n v="2"/>
    <x v="0"/>
    <n v="503.80000000060897"/>
    <x v="0"/>
    <n v="4835274.0000000298"/>
    <n v="1000"/>
    <n v="500"/>
    <x v="0"/>
    <n v="597747.97"/>
    <x v="2714"/>
    <x v="1"/>
  </r>
  <r>
    <n v="85"/>
    <x v="2"/>
    <x v="5"/>
    <n v="2"/>
    <n v="2"/>
    <x v="0"/>
    <n v="348.000000000326"/>
    <x v="0"/>
    <n v="562017.99999985297"/>
    <n v="1000"/>
    <n v="500"/>
    <x v="0"/>
    <n v="584188.37"/>
    <x v="2715"/>
    <x v="1"/>
  </r>
  <r>
    <n v="86"/>
    <x v="2"/>
    <x v="7"/>
    <n v="3"/>
    <n v="2"/>
    <x v="0"/>
    <n v="468.00000000004599"/>
    <x v="0"/>
    <n v="2626483.9999998901"/>
    <n v="1000"/>
    <n v="500"/>
    <x v="0"/>
    <n v="635849.97"/>
    <x v="2716"/>
    <x v="1"/>
  </r>
  <r>
    <n v="87"/>
    <x v="2"/>
    <x v="7"/>
    <n v="2"/>
    <n v="2"/>
    <x v="0"/>
    <n v="451.39999999968001"/>
    <x v="0"/>
    <n v="2008806.0000000501"/>
    <n v="1000"/>
    <n v="500"/>
    <x v="0"/>
    <n v="642587.17000000004"/>
    <x v="2717"/>
    <x v="1"/>
  </r>
  <r>
    <n v="88"/>
    <x v="2"/>
    <x v="7"/>
    <n v="3"/>
    <n v="2"/>
    <x v="0"/>
    <n v="490.20000000048498"/>
    <x v="0"/>
    <n v="1234313.00000016"/>
    <n v="1000"/>
    <n v="500"/>
    <x v="0"/>
    <n v="641787.97"/>
    <x v="2718"/>
    <x v="1"/>
  </r>
  <r>
    <n v="89"/>
    <x v="2"/>
    <x v="4"/>
    <n v="3"/>
    <n v="2"/>
    <x v="0"/>
    <n v="266.39999999993302"/>
    <x v="0"/>
    <n v="414899.999999989"/>
    <n v="1000"/>
    <n v="500"/>
    <x v="0"/>
    <n v="589107.17000000004"/>
    <x v="2719"/>
    <x v="1"/>
  </r>
  <r>
    <n v="90"/>
    <x v="2"/>
    <x v="5"/>
    <n v="2"/>
    <n v="2"/>
    <x v="0"/>
    <n v="335.79999999986399"/>
    <x v="0"/>
    <n v="636770.00000006997"/>
    <n v="1000"/>
    <n v="500"/>
    <x v="0"/>
    <n v="603588.37"/>
    <x v="2720"/>
    <x v="1"/>
  </r>
  <r>
    <n v="91"/>
    <x v="2"/>
    <x v="5"/>
    <n v="3"/>
    <n v="2"/>
    <x v="0"/>
    <n v="335.59999999930301"/>
    <x v="0"/>
    <n v="411151.00000001799"/>
    <n v="1000"/>
    <n v="500"/>
    <x v="0"/>
    <n v="606569.17000000004"/>
    <x v="2721"/>
    <x v="1"/>
  </r>
  <r>
    <n v="92"/>
    <x v="2"/>
    <x v="5"/>
    <n v="3"/>
    <n v="2"/>
    <x v="0"/>
    <n v="306.40000000019501"/>
    <x v="0"/>
    <n v="326122.99999982503"/>
    <n v="1000"/>
    <n v="500"/>
    <x v="0"/>
    <n v="606567.56999999995"/>
    <x v="2722"/>
    <x v="1"/>
  </r>
  <r>
    <n v="93"/>
    <x v="2"/>
    <x v="8"/>
    <n v="3"/>
    <n v="2"/>
    <x v="0"/>
    <n v="515.79999999979998"/>
    <x v="0"/>
    <n v="2579271.9999999502"/>
    <n v="1000"/>
    <n v="500"/>
    <x v="0"/>
    <n v="632228.37"/>
    <x v="2723"/>
    <x v="1"/>
  </r>
  <r>
    <n v="94"/>
    <x v="2"/>
    <x v="7"/>
    <n v="2"/>
    <n v="2"/>
    <x v="0"/>
    <n v="446.600000000075"/>
    <x v="0"/>
    <n v="2002005.9999999399"/>
    <n v="1000"/>
    <n v="500"/>
    <x v="0"/>
    <n v="601909.97"/>
    <x v="2724"/>
    <x v="1"/>
  </r>
  <r>
    <n v="95"/>
    <x v="2"/>
    <x v="9"/>
    <n v="2"/>
    <n v="2"/>
    <x v="0"/>
    <n v="605.60000000045"/>
    <x v="0"/>
    <n v="5219995.0000001499"/>
    <n v="1000"/>
    <n v="500"/>
    <x v="0"/>
    <n v="616207.97"/>
    <x v="2725"/>
    <x v="1"/>
  </r>
  <r>
    <n v="96"/>
    <x v="2"/>
    <x v="5"/>
    <n v="3"/>
    <n v="2"/>
    <x v="0"/>
    <n v="301.39999999967398"/>
    <x v="0"/>
    <n v="538624.00000002701"/>
    <n v="1000"/>
    <n v="500"/>
    <x v="0"/>
    <n v="605267.97"/>
    <x v="2726"/>
    <x v="0"/>
  </r>
  <r>
    <n v="97"/>
    <x v="2"/>
    <x v="6"/>
    <n v="3"/>
    <n v="2"/>
    <x v="0"/>
    <n v="374.59999999995802"/>
    <x v="0"/>
    <n v="698046.99999985995"/>
    <n v="1000"/>
    <n v="500"/>
    <x v="0"/>
    <n v="608207.97"/>
    <x v="2727"/>
    <x v="1"/>
  </r>
  <r>
    <n v="98"/>
    <x v="2"/>
    <x v="7"/>
    <n v="3"/>
    <n v="2"/>
    <x v="0"/>
    <n v="496.19999999990199"/>
    <x v="0"/>
    <n v="1091490.00000002"/>
    <n v="1000"/>
    <n v="500"/>
    <x v="0"/>
    <n v="612107.56999999995"/>
    <x v="2728"/>
    <x v="1"/>
  </r>
  <r>
    <n v="99"/>
    <x v="2"/>
    <x v="8"/>
    <n v="2"/>
    <n v="2"/>
    <x v="0"/>
    <n v="500.59999999980698"/>
    <x v="0"/>
    <n v="2540038.0000001001"/>
    <n v="1000"/>
    <n v="500"/>
    <x v="0"/>
    <n v="638169.97"/>
    <x v="2729"/>
    <x v="1"/>
  </r>
  <r>
    <n v="70"/>
    <x v="2"/>
    <x v="3"/>
    <n v="3"/>
    <n v="2"/>
    <x v="0"/>
    <n v="916.60000000004504"/>
    <x v="0"/>
    <n v="169758.00000000201"/>
    <n v="1000"/>
    <n v="300"/>
    <x v="0"/>
    <n v="426586.77"/>
    <x v="2730"/>
    <x v="1"/>
  </r>
  <r>
    <n v="71"/>
    <x v="2"/>
    <x v="4"/>
    <n v="2"/>
    <n v="2"/>
    <x v="0"/>
    <n v="840.79999999993095"/>
    <x v="0"/>
    <n v="333503.99999994802"/>
    <n v="1000"/>
    <n v="300"/>
    <x v="0"/>
    <n v="390606.37"/>
    <x v="2731"/>
    <x v="1"/>
  </r>
  <r>
    <n v="72"/>
    <x v="2"/>
    <x v="4"/>
    <n v="2"/>
    <n v="2"/>
    <x v="0"/>
    <n v="686.80000000043196"/>
    <x v="0"/>
    <n v="475044.99999990902"/>
    <n v="1000"/>
    <n v="300"/>
    <x v="0"/>
    <n v="404044.77"/>
    <x v="2732"/>
    <x v="1"/>
  </r>
  <r>
    <n v="73"/>
    <x v="2"/>
    <x v="4"/>
    <n v="3"/>
    <n v="2"/>
    <x v="0"/>
    <n v="696.99999999990303"/>
    <x v="0"/>
    <n v="533288.00000008405"/>
    <n v="1000"/>
    <n v="300"/>
    <x v="0"/>
    <n v="401265.97"/>
    <x v="2733"/>
    <x v="0"/>
  </r>
  <r>
    <n v="74"/>
    <x v="2"/>
    <x v="6"/>
    <n v="3"/>
    <n v="2"/>
    <x v="0"/>
    <n v="767.00000000009504"/>
    <x v="0"/>
    <n v="792881.99999996298"/>
    <n v="1000"/>
    <n v="300"/>
    <x v="0"/>
    <n v="383744.77"/>
    <x v="2734"/>
    <x v="1"/>
  </r>
  <r>
    <n v="75"/>
    <x v="2"/>
    <x v="4"/>
    <n v="3"/>
    <n v="2"/>
    <x v="0"/>
    <n v="442.80000000007601"/>
    <x v="0"/>
    <n v="267370.99999991199"/>
    <n v="1000"/>
    <n v="300"/>
    <x v="0"/>
    <n v="392085.17"/>
    <x v="2735"/>
    <x v="1"/>
  </r>
  <r>
    <n v="76"/>
    <x v="2"/>
    <x v="5"/>
    <n v="3"/>
    <n v="2"/>
    <x v="0"/>
    <n v="657.20000000020195"/>
    <x v="0"/>
    <n v="367324.99999993702"/>
    <n v="1000"/>
    <n v="300"/>
    <x v="0"/>
    <n v="379804.77"/>
    <x v="2736"/>
    <x v="1"/>
  </r>
  <r>
    <n v="77"/>
    <x v="2"/>
    <x v="5"/>
    <n v="3"/>
    <n v="2"/>
    <x v="0"/>
    <n v="517.59999999951799"/>
    <x v="0"/>
    <n v="424015.00000005402"/>
    <n v="1000"/>
    <n v="300"/>
    <x v="0"/>
    <n v="405085.97"/>
    <x v="2737"/>
    <x v="1"/>
  </r>
  <r>
    <n v="78"/>
    <x v="2"/>
    <x v="5"/>
    <n v="3"/>
    <n v="2"/>
    <x v="0"/>
    <n v="411.19999999992302"/>
    <x v="0"/>
    <n v="421569.00000008999"/>
    <n v="1000"/>
    <n v="300"/>
    <x v="0"/>
    <n v="406225.97"/>
    <x v="2738"/>
    <x v="1"/>
  </r>
  <r>
    <n v="79"/>
    <x v="2"/>
    <x v="5"/>
    <n v="3"/>
    <n v="2"/>
    <x v="0"/>
    <n v="394.20000000021099"/>
    <x v="0"/>
    <n v="507382.00000000698"/>
    <n v="1000"/>
    <n v="300"/>
    <x v="0"/>
    <n v="391345.97"/>
    <x v="2739"/>
    <x v="1"/>
  </r>
  <r>
    <n v="80"/>
    <x v="2"/>
    <x v="4"/>
    <n v="3"/>
    <n v="2"/>
    <x v="0"/>
    <n v="306.60000000004601"/>
    <x v="0"/>
    <n v="217282.00000006799"/>
    <n v="1000"/>
    <n v="300"/>
    <x v="0"/>
    <n v="404484.77"/>
    <x v="2740"/>
    <x v="1"/>
  </r>
  <r>
    <n v="81"/>
    <x v="2"/>
    <x v="5"/>
    <n v="3"/>
    <n v="2"/>
    <x v="0"/>
    <n v="372.600000000389"/>
    <x v="0"/>
    <n v="572054.99999986403"/>
    <n v="1000"/>
    <n v="300"/>
    <x v="0"/>
    <n v="390005.17"/>
    <x v="2741"/>
    <x v="1"/>
  </r>
  <r>
    <n v="82"/>
    <x v="2"/>
    <x v="5"/>
    <n v="2"/>
    <n v="2"/>
    <x v="0"/>
    <n v="377.99999999990098"/>
    <x v="0"/>
    <n v="449708.99999998399"/>
    <n v="1000"/>
    <n v="300"/>
    <x v="0"/>
    <n v="404185.17"/>
    <x v="2742"/>
    <x v="1"/>
  </r>
  <r>
    <n v="83"/>
    <x v="2"/>
    <x v="6"/>
    <n v="2"/>
    <n v="2"/>
    <x v="0"/>
    <n v="451.20000000018501"/>
    <x v="0"/>
    <n v="1278454.00000001"/>
    <n v="1000"/>
    <n v="300"/>
    <x v="0"/>
    <n v="409325.17"/>
    <x v="2743"/>
    <x v="1"/>
  </r>
  <r>
    <n v="84"/>
    <x v="2"/>
    <x v="7"/>
    <n v="2"/>
    <n v="2"/>
    <x v="0"/>
    <n v="503.80000000060897"/>
    <x v="0"/>
    <n v="4835274.0000000298"/>
    <n v="1000"/>
    <n v="300"/>
    <x v="0"/>
    <n v="397745.17"/>
    <x v="2744"/>
    <x v="1"/>
  </r>
  <r>
    <n v="85"/>
    <x v="2"/>
    <x v="5"/>
    <n v="2"/>
    <n v="2"/>
    <x v="0"/>
    <n v="348.000000000326"/>
    <x v="0"/>
    <n v="562017.99999985297"/>
    <n v="1000"/>
    <n v="300"/>
    <x v="0"/>
    <n v="384186.77"/>
    <x v="2745"/>
    <x v="1"/>
  </r>
  <r>
    <n v="86"/>
    <x v="2"/>
    <x v="7"/>
    <n v="3"/>
    <n v="2"/>
    <x v="0"/>
    <n v="468.00000000004599"/>
    <x v="0"/>
    <n v="2626483.9999998901"/>
    <n v="1000"/>
    <n v="300"/>
    <x v="0"/>
    <n v="435847.57"/>
    <x v="2746"/>
    <x v="1"/>
  </r>
  <r>
    <n v="87"/>
    <x v="2"/>
    <x v="7"/>
    <n v="2"/>
    <n v="2"/>
    <x v="0"/>
    <n v="451.39999999968001"/>
    <x v="0"/>
    <n v="2008806.0000000501"/>
    <n v="1000"/>
    <n v="300"/>
    <x v="0"/>
    <n v="442585.17"/>
    <x v="2747"/>
    <x v="1"/>
  </r>
  <r>
    <n v="88"/>
    <x v="2"/>
    <x v="7"/>
    <n v="3"/>
    <n v="2"/>
    <x v="0"/>
    <n v="490.20000000048498"/>
    <x v="0"/>
    <n v="1234313.00000016"/>
    <n v="1000"/>
    <n v="300"/>
    <x v="0"/>
    <n v="441785.57"/>
    <x v="2748"/>
    <x v="1"/>
  </r>
  <r>
    <n v="89"/>
    <x v="2"/>
    <x v="4"/>
    <n v="3"/>
    <n v="2"/>
    <x v="0"/>
    <n v="266.39999999993302"/>
    <x v="0"/>
    <n v="414899.999999989"/>
    <n v="1000"/>
    <n v="300"/>
    <x v="0"/>
    <n v="389105.17"/>
    <x v="2749"/>
    <x v="1"/>
  </r>
  <r>
    <n v="90"/>
    <x v="2"/>
    <x v="5"/>
    <n v="2"/>
    <n v="2"/>
    <x v="0"/>
    <n v="335.79999999986399"/>
    <x v="0"/>
    <n v="636770.00000006997"/>
    <n v="1000"/>
    <n v="300"/>
    <x v="0"/>
    <n v="403585.97"/>
    <x v="2750"/>
    <x v="1"/>
  </r>
  <r>
    <n v="91"/>
    <x v="2"/>
    <x v="5"/>
    <n v="3"/>
    <n v="2"/>
    <x v="0"/>
    <n v="335.59999999930301"/>
    <x v="0"/>
    <n v="411151.00000001799"/>
    <n v="1000"/>
    <n v="300"/>
    <x v="0"/>
    <n v="406566.37"/>
    <x v="2751"/>
    <x v="1"/>
  </r>
  <r>
    <n v="92"/>
    <x v="2"/>
    <x v="5"/>
    <n v="3"/>
    <n v="2"/>
    <x v="0"/>
    <n v="306.40000000019501"/>
    <x v="0"/>
    <n v="326122.99999982503"/>
    <n v="1000"/>
    <n v="300"/>
    <x v="0"/>
    <n v="406565.97"/>
    <x v="2752"/>
    <x v="1"/>
  </r>
  <r>
    <n v="93"/>
    <x v="2"/>
    <x v="8"/>
    <n v="3"/>
    <n v="2"/>
    <x v="0"/>
    <n v="515.79999999979998"/>
    <x v="0"/>
    <n v="2579271.9999999502"/>
    <n v="1000"/>
    <n v="300"/>
    <x v="0"/>
    <n v="432226.77"/>
    <x v="2753"/>
    <x v="1"/>
  </r>
  <r>
    <n v="94"/>
    <x v="2"/>
    <x v="7"/>
    <n v="2"/>
    <n v="2"/>
    <x v="0"/>
    <n v="446.600000000075"/>
    <x v="0"/>
    <n v="2002005.9999999399"/>
    <n v="1000"/>
    <n v="300"/>
    <x v="0"/>
    <n v="401906.77"/>
    <x v="2754"/>
    <x v="1"/>
  </r>
  <r>
    <n v="95"/>
    <x v="2"/>
    <x v="9"/>
    <n v="2"/>
    <n v="2"/>
    <x v="0"/>
    <n v="605.60000000045"/>
    <x v="0"/>
    <n v="5219995.0000001499"/>
    <n v="1000"/>
    <n v="300"/>
    <x v="0"/>
    <n v="416204.77"/>
    <x v="2755"/>
    <x v="1"/>
  </r>
  <r>
    <n v="96"/>
    <x v="2"/>
    <x v="5"/>
    <n v="3"/>
    <n v="2"/>
    <x v="0"/>
    <n v="301.39999999967398"/>
    <x v="0"/>
    <n v="538624.00000002701"/>
    <n v="1000"/>
    <n v="300"/>
    <x v="0"/>
    <n v="405265.57"/>
    <x v="2756"/>
    <x v="1"/>
  </r>
  <r>
    <n v="97"/>
    <x v="2"/>
    <x v="6"/>
    <n v="3"/>
    <n v="2"/>
    <x v="0"/>
    <n v="374.59999999995802"/>
    <x v="0"/>
    <n v="698046.99999985995"/>
    <n v="1000"/>
    <n v="300"/>
    <x v="0"/>
    <n v="408205.97"/>
    <x v="2757"/>
    <x v="1"/>
  </r>
  <r>
    <n v="98"/>
    <x v="2"/>
    <x v="7"/>
    <n v="3"/>
    <n v="2"/>
    <x v="0"/>
    <n v="496.19999999990199"/>
    <x v="0"/>
    <n v="1091490.00000002"/>
    <n v="1000"/>
    <n v="300"/>
    <x v="0"/>
    <n v="412106.77"/>
    <x v="2758"/>
    <x v="1"/>
  </r>
  <r>
    <n v="99"/>
    <x v="2"/>
    <x v="8"/>
    <n v="2"/>
    <n v="2"/>
    <x v="0"/>
    <n v="500.59999999980698"/>
    <x v="0"/>
    <n v="2540038.0000001001"/>
    <n v="1000"/>
    <n v="300"/>
    <x v="0"/>
    <n v="438167.17"/>
    <x v="2759"/>
    <x v="1"/>
  </r>
  <r>
    <n v="70"/>
    <x v="2"/>
    <x v="3"/>
    <n v="3"/>
    <n v="2"/>
    <x v="0"/>
    <n v="916.60000000004504"/>
    <x v="0"/>
    <n v="169758.00000000201"/>
    <n v="1000"/>
    <n v="700"/>
    <x v="0"/>
    <n v="826586.77"/>
    <x v="2760"/>
    <x v="1"/>
  </r>
  <r>
    <n v="71"/>
    <x v="2"/>
    <x v="4"/>
    <n v="2"/>
    <n v="2"/>
    <x v="0"/>
    <n v="840.79999999993095"/>
    <x v="0"/>
    <n v="333503.99999994802"/>
    <n v="1000"/>
    <n v="700"/>
    <x v="0"/>
    <n v="790606.37"/>
    <x v="2761"/>
    <x v="1"/>
  </r>
  <r>
    <n v="72"/>
    <x v="2"/>
    <x v="4"/>
    <n v="2"/>
    <n v="2"/>
    <x v="0"/>
    <n v="686.80000000043196"/>
    <x v="0"/>
    <n v="475044.99999990902"/>
    <n v="1000"/>
    <n v="700"/>
    <x v="0"/>
    <n v="804044.77"/>
    <x v="2762"/>
    <x v="1"/>
  </r>
  <r>
    <n v="73"/>
    <x v="2"/>
    <x v="4"/>
    <n v="3"/>
    <n v="2"/>
    <x v="0"/>
    <n v="696.99999999990303"/>
    <x v="0"/>
    <n v="533288.00000008405"/>
    <n v="1000"/>
    <n v="700"/>
    <x v="0"/>
    <n v="801265.97"/>
    <x v="2763"/>
    <x v="0"/>
  </r>
  <r>
    <n v="74"/>
    <x v="2"/>
    <x v="6"/>
    <n v="3"/>
    <n v="2"/>
    <x v="0"/>
    <n v="767.00000000009504"/>
    <x v="0"/>
    <n v="792881.99999996298"/>
    <n v="1000"/>
    <n v="700"/>
    <x v="0"/>
    <n v="783744.77"/>
    <x v="2764"/>
    <x v="1"/>
  </r>
  <r>
    <n v="75"/>
    <x v="2"/>
    <x v="4"/>
    <n v="3"/>
    <n v="2"/>
    <x v="0"/>
    <n v="442.80000000007601"/>
    <x v="0"/>
    <n v="267370.99999991199"/>
    <n v="1000"/>
    <n v="700"/>
    <x v="0"/>
    <n v="792085.17"/>
    <x v="2765"/>
    <x v="1"/>
  </r>
  <r>
    <n v="76"/>
    <x v="2"/>
    <x v="5"/>
    <n v="3"/>
    <n v="2"/>
    <x v="0"/>
    <n v="657.20000000020195"/>
    <x v="0"/>
    <n v="367324.99999993702"/>
    <n v="1000"/>
    <n v="700"/>
    <x v="0"/>
    <n v="779804.77"/>
    <x v="2766"/>
    <x v="1"/>
  </r>
  <r>
    <n v="77"/>
    <x v="2"/>
    <x v="5"/>
    <n v="3"/>
    <n v="2"/>
    <x v="0"/>
    <n v="517.59999999951799"/>
    <x v="0"/>
    <n v="424015.00000005402"/>
    <n v="1000"/>
    <n v="700"/>
    <x v="0"/>
    <n v="805085.97"/>
    <x v="2767"/>
    <x v="1"/>
  </r>
  <r>
    <n v="78"/>
    <x v="2"/>
    <x v="5"/>
    <n v="3"/>
    <n v="2"/>
    <x v="0"/>
    <n v="411.19999999992302"/>
    <x v="0"/>
    <n v="421569.00000008999"/>
    <n v="1000"/>
    <n v="700"/>
    <x v="0"/>
    <n v="806225.97"/>
    <x v="2768"/>
    <x v="1"/>
  </r>
  <r>
    <n v="79"/>
    <x v="2"/>
    <x v="5"/>
    <n v="3"/>
    <n v="2"/>
    <x v="0"/>
    <n v="394.20000000021099"/>
    <x v="0"/>
    <n v="507382.00000000698"/>
    <n v="1000"/>
    <n v="700"/>
    <x v="0"/>
    <n v="791345.97"/>
    <x v="2769"/>
    <x v="1"/>
  </r>
  <r>
    <n v="80"/>
    <x v="2"/>
    <x v="4"/>
    <n v="3"/>
    <n v="2"/>
    <x v="0"/>
    <n v="306.60000000004601"/>
    <x v="0"/>
    <n v="217282.00000006799"/>
    <n v="1000"/>
    <n v="700"/>
    <x v="0"/>
    <n v="804484.77"/>
    <x v="2770"/>
    <x v="1"/>
  </r>
  <r>
    <n v="81"/>
    <x v="2"/>
    <x v="5"/>
    <n v="3"/>
    <n v="2"/>
    <x v="0"/>
    <n v="372.600000000389"/>
    <x v="0"/>
    <n v="572054.99999986403"/>
    <n v="1000"/>
    <n v="700"/>
    <x v="0"/>
    <n v="790005.17"/>
    <x v="2771"/>
    <x v="1"/>
  </r>
  <r>
    <n v="82"/>
    <x v="2"/>
    <x v="5"/>
    <n v="2"/>
    <n v="2"/>
    <x v="0"/>
    <n v="377.99999999990098"/>
    <x v="0"/>
    <n v="449708.99999998399"/>
    <n v="1000"/>
    <n v="700"/>
    <x v="0"/>
    <n v="804185.17"/>
    <x v="2772"/>
    <x v="1"/>
  </r>
  <r>
    <n v="83"/>
    <x v="2"/>
    <x v="6"/>
    <n v="2"/>
    <n v="2"/>
    <x v="0"/>
    <n v="451.20000000018501"/>
    <x v="0"/>
    <n v="1278454.00000001"/>
    <n v="1000"/>
    <n v="700"/>
    <x v="0"/>
    <n v="809325.17"/>
    <x v="2773"/>
    <x v="1"/>
  </r>
  <r>
    <n v="84"/>
    <x v="2"/>
    <x v="7"/>
    <n v="2"/>
    <n v="2"/>
    <x v="0"/>
    <n v="503.80000000060897"/>
    <x v="0"/>
    <n v="4835274.0000000298"/>
    <n v="1000"/>
    <n v="700"/>
    <x v="0"/>
    <n v="797745.17"/>
    <x v="2774"/>
    <x v="1"/>
  </r>
  <r>
    <n v="85"/>
    <x v="2"/>
    <x v="5"/>
    <n v="2"/>
    <n v="2"/>
    <x v="0"/>
    <n v="348.000000000326"/>
    <x v="0"/>
    <n v="562017.99999985297"/>
    <n v="1000"/>
    <n v="700"/>
    <x v="0"/>
    <n v="784186.77"/>
    <x v="2775"/>
    <x v="1"/>
  </r>
  <r>
    <n v="86"/>
    <x v="2"/>
    <x v="7"/>
    <n v="3"/>
    <n v="2"/>
    <x v="0"/>
    <n v="468.00000000004599"/>
    <x v="0"/>
    <n v="2626483.9999998901"/>
    <n v="1000"/>
    <n v="700"/>
    <x v="0"/>
    <n v="835847.57"/>
    <x v="2776"/>
    <x v="1"/>
  </r>
  <r>
    <n v="87"/>
    <x v="2"/>
    <x v="7"/>
    <n v="2"/>
    <n v="2"/>
    <x v="0"/>
    <n v="451.39999999968001"/>
    <x v="0"/>
    <n v="2008806.0000000501"/>
    <n v="1000"/>
    <n v="700"/>
    <x v="0"/>
    <n v="842585.17"/>
    <x v="2777"/>
    <x v="1"/>
  </r>
  <r>
    <n v="88"/>
    <x v="2"/>
    <x v="7"/>
    <n v="3"/>
    <n v="2"/>
    <x v="0"/>
    <n v="490.20000000048498"/>
    <x v="0"/>
    <n v="1234313.00000016"/>
    <n v="1000"/>
    <n v="700"/>
    <x v="0"/>
    <n v="841785.57"/>
    <x v="2778"/>
    <x v="1"/>
  </r>
  <r>
    <n v="89"/>
    <x v="2"/>
    <x v="4"/>
    <n v="3"/>
    <n v="2"/>
    <x v="0"/>
    <n v="266.39999999993302"/>
    <x v="0"/>
    <n v="414899.999999989"/>
    <n v="1000"/>
    <n v="700"/>
    <x v="0"/>
    <n v="789105.17"/>
    <x v="2779"/>
    <x v="1"/>
  </r>
  <r>
    <n v="90"/>
    <x v="2"/>
    <x v="5"/>
    <n v="2"/>
    <n v="2"/>
    <x v="0"/>
    <n v="335.79999999986399"/>
    <x v="0"/>
    <n v="636770.00000006997"/>
    <n v="1000"/>
    <n v="700"/>
    <x v="0"/>
    <n v="803585.97"/>
    <x v="2780"/>
    <x v="1"/>
  </r>
  <r>
    <n v="91"/>
    <x v="2"/>
    <x v="5"/>
    <n v="3"/>
    <n v="2"/>
    <x v="0"/>
    <n v="335.59999999930301"/>
    <x v="0"/>
    <n v="411151.00000001799"/>
    <n v="1000"/>
    <n v="700"/>
    <x v="0"/>
    <n v="806566.37"/>
    <x v="2781"/>
    <x v="1"/>
  </r>
  <r>
    <n v="92"/>
    <x v="2"/>
    <x v="5"/>
    <n v="3"/>
    <n v="2"/>
    <x v="0"/>
    <n v="306.40000000019501"/>
    <x v="0"/>
    <n v="326122.99999982503"/>
    <n v="1000"/>
    <n v="700"/>
    <x v="0"/>
    <n v="806565.97"/>
    <x v="2782"/>
    <x v="1"/>
  </r>
  <r>
    <n v="93"/>
    <x v="2"/>
    <x v="8"/>
    <n v="3"/>
    <n v="2"/>
    <x v="0"/>
    <n v="515.79999999979998"/>
    <x v="0"/>
    <n v="2579271.9999999502"/>
    <n v="1000"/>
    <n v="700"/>
    <x v="0"/>
    <n v="832226.77"/>
    <x v="2783"/>
    <x v="1"/>
  </r>
  <r>
    <n v="94"/>
    <x v="2"/>
    <x v="7"/>
    <n v="2"/>
    <n v="2"/>
    <x v="0"/>
    <n v="446.600000000075"/>
    <x v="0"/>
    <n v="2002005.9999999399"/>
    <n v="1000"/>
    <n v="700"/>
    <x v="0"/>
    <n v="801906.77"/>
    <x v="2784"/>
    <x v="1"/>
  </r>
  <r>
    <n v="95"/>
    <x v="2"/>
    <x v="9"/>
    <n v="2"/>
    <n v="2"/>
    <x v="0"/>
    <n v="605.60000000045"/>
    <x v="0"/>
    <n v="5219995.0000001499"/>
    <n v="1000"/>
    <n v="700"/>
    <x v="0"/>
    <n v="816204.77"/>
    <x v="2785"/>
    <x v="1"/>
  </r>
  <r>
    <n v="96"/>
    <x v="2"/>
    <x v="5"/>
    <n v="3"/>
    <n v="2"/>
    <x v="0"/>
    <n v="301.39999999967398"/>
    <x v="0"/>
    <n v="538624.00000002701"/>
    <n v="1000"/>
    <n v="700"/>
    <x v="0"/>
    <n v="805265.57"/>
    <x v="2786"/>
    <x v="1"/>
  </r>
  <r>
    <n v="97"/>
    <x v="2"/>
    <x v="6"/>
    <n v="3"/>
    <n v="2"/>
    <x v="0"/>
    <n v="374.59999999995802"/>
    <x v="0"/>
    <n v="698046.99999985995"/>
    <n v="1000"/>
    <n v="700"/>
    <x v="0"/>
    <n v="808205.97"/>
    <x v="2787"/>
    <x v="1"/>
  </r>
  <r>
    <n v="98"/>
    <x v="2"/>
    <x v="7"/>
    <n v="3"/>
    <n v="2"/>
    <x v="0"/>
    <n v="496.19999999990199"/>
    <x v="0"/>
    <n v="1091490.00000002"/>
    <n v="1000"/>
    <n v="700"/>
    <x v="0"/>
    <n v="812106.77"/>
    <x v="2788"/>
    <x v="1"/>
  </r>
  <r>
    <n v="99"/>
    <x v="2"/>
    <x v="8"/>
    <n v="2"/>
    <n v="2"/>
    <x v="0"/>
    <n v="500.59999999980698"/>
    <x v="0"/>
    <n v="2540038.0000001001"/>
    <n v="1000"/>
    <n v="700"/>
    <x v="0"/>
    <n v="838167.17"/>
    <x v="2789"/>
    <x v="1"/>
  </r>
  <r>
    <n v="70"/>
    <x v="2"/>
    <x v="3"/>
    <n v="3"/>
    <n v="2"/>
    <x v="0"/>
    <n v="916.60000000004504"/>
    <x v="0"/>
    <n v="169758.00000000201"/>
    <n v="2000"/>
    <n v="200"/>
    <x v="0"/>
    <n v="637246.77"/>
    <x v="2790"/>
    <x v="0"/>
  </r>
  <r>
    <n v="71"/>
    <x v="2"/>
    <x v="4"/>
    <n v="2"/>
    <n v="2"/>
    <x v="0"/>
    <n v="840.79999999993095"/>
    <x v="0"/>
    <n v="333503.99999994802"/>
    <n v="2000"/>
    <n v="200"/>
    <x v="0"/>
    <n v="565286.37"/>
    <x v="2791"/>
    <x v="1"/>
  </r>
  <r>
    <n v="72"/>
    <x v="2"/>
    <x v="4"/>
    <n v="2"/>
    <n v="2"/>
    <x v="0"/>
    <n v="686.80000000043196"/>
    <x v="0"/>
    <n v="475044.99999990902"/>
    <n v="2000"/>
    <n v="200"/>
    <x v="0"/>
    <n v="592164.77"/>
    <x v="2792"/>
    <x v="1"/>
  </r>
  <r>
    <n v="73"/>
    <x v="2"/>
    <x v="4"/>
    <n v="3"/>
    <n v="2"/>
    <x v="0"/>
    <n v="696.99999999990303"/>
    <x v="0"/>
    <n v="533288.00000008405"/>
    <n v="2000"/>
    <n v="200"/>
    <x v="0"/>
    <n v="586605.97"/>
    <x v="2793"/>
    <x v="1"/>
  </r>
  <r>
    <n v="74"/>
    <x v="2"/>
    <x v="6"/>
    <n v="3"/>
    <n v="2"/>
    <x v="0"/>
    <n v="767.00000000009504"/>
    <x v="0"/>
    <n v="792881.99999996298"/>
    <n v="2000"/>
    <n v="200"/>
    <x v="0"/>
    <n v="551564.77"/>
    <x v="2794"/>
    <x v="1"/>
  </r>
  <r>
    <n v="75"/>
    <x v="2"/>
    <x v="4"/>
    <n v="3"/>
    <n v="2"/>
    <x v="0"/>
    <n v="442.80000000007601"/>
    <x v="0"/>
    <n v="267370.99999991199"/>
    <n v="2000"/>
    <n v="200"/>
    <x v="0"/>
    <n v="568245.17000000004"/>
    <x v="2795"/>
    <x v="1"/>
  </r>
  <r>
    <n v="76"/>
    <x v="2"/>
    <x v="5"/>
    <n v="3"/>
    <n v="2"/>
    <x v="0"/>
    <n v="657.20000000020195"/>
    <x v="0"/>
    <n v="367324.99999993702"/>
    <n v="2000"/>
    <n v="200"/>
    <x v="0"/>
    <n v="543684.77"/>
    <x v="2796"/>
    <x v="1"/>
  </r>
  <r>
    <n v="77"/>
    <x v="2"/>
    <x v="5"/>
    <n v="3"/>
    <n v="2"/>
    <x v="0"/>
    <n v="517.59999999951799"/>
    <x v="0"/>
    <n v="424015.00000005402"/>
    <n v="2000"/>
    <n v="200"/>
    <x v="0"/>
    <n v="594245.97"/>
    <x v="2797"/>
    <x v="1"/>
  </r>
  <r>
    <n v="78"/>
    <x v="2"/>
    <x v="5"/>
    <n v="3"/>
    <n v="2"/>
    <x v="0"/>
    <n v="411.19999999992302"/>
    <x v="0"/>
    <n v="421569.00000008999"/>
    <n v="2000"/>
    <n v="200"/>
    <x v="0"/>
    <n v="596525.97"/>
    <x v="2798"/>
    <x v="1"/>
  </r>
  <r>
    <n v="79"/>
    <x v="2"/>
    <x v="5"/>
    <n v="3"/>
    <n v="2"/>
    <x v="0"/>
    <n v="394.20000000021099"/>
    <x v="0"/>
    <n v="507382.00000000698"/>
    <n v="2000"/>
    <n v="200"/>
    <x v="0"/>
    <n v="566765.97"/>
    <x v="2799"/>
    <x v="1"/>
  </r>
  <r>
    <n v="80"/>
    <x v="2"/>
    <x v="4"/>
    <n v="3"/>
    <n v="2"/>
    <x v="0"/>
    <n v="306.60000000004601"/>
    <x v="0"/>
    <n v="217282.00000006799"/>
    <n v="2000"/>
    <n v="200"/>
    <x v="0"/>
    <n v="593044.77"/>
    <x v="2800"/>
    <x v="1"/>
  </r>
  <r>
    <n v="81"/>
    <x v="2"/>
    <x v="5"/>
    <n v="3"/>
    <n v="2"/>
    <x v="0"/>
    <n v="372.600000000389"/>
    <x v="0"/>
    <n v="572054.99999986403"/>
    <n v="2000"/>
    <n v="200"/>
    <x v="0"/>
    <n v="564085.17000000004"/>
    <x v="2801"/>
    <x v="0"/>
  </r>
  <r>
    <n v="82"/>
    <x v="2"/>
    <x v="5"/>
    <n v="2"/>
    <n v="2"/>
    <x v="0"/>
    <n v="377.99999999990098"/>
    <x v="0"/>
    <n v="449708.99999998399"/>
    <n v="2000"/>
    <n v="200"/>
    <x v="0"/>
    <n v="592445.17000000004"/>
    <x v="2802"/>
    <x v="1"/>
  </r>
  <r>
    <n v="83"/>
    <x v="2"/>
    <x v="6"/>
    <n v="2"/>
    <n v="2"/>
    <x v="0"/>
    <n v="451.20000000018501"/>
    <x v="0"/>
    <n v="1278454.00000001"/>
    <n v="2000"/>
    <n v="200"/>
    <x v="0"/>
    <n v="602725.17000000004"/>
    <x v="2803"/>
    <x v="1"/>
  </r>
  <r>
    <n v="84"/>
    <x v="2"/>
    <x v="7"/>
    <n v="2"/>
    <n v="2"/>
    <x v="0"/>
    <n v="503.80000000060897"/>
    <x v="0"/>
    <n v="4835274.0000000298"/>
    <n v="2000"/>
    <n v="200"/>
    <x v="0"/>
    <n v="579565.17000000004"/>
    <x v="2804"/>
    <x v="1"/>
  </r>
  <r>
    <n v="85"/>
    <x v="2"/>
    <x v="5"/>
    <n v="2"/>
    <n v="2"/>
    <x v="0"/>
    <n v="348.000000000326"/>
    <x v="0"/>
    <n v="562017.99999985297"/>
    <n v="2000"/>
    <n v="200"/>
    <x v="0"/>
    <n v="552446.77"/>
    <x v="2805"/>
    <x v="1"/>
  </r>
  <r>
    <n v="86"/>
    <x v="2"/>
    <x v="7"/>
    <n v="3"/>
    <n v="2"/>
    <x v="0"/>
    <n v="468.00000000004599"/>
    <x v="0"/>
    <n v="2626483.9999998901"/>
    <n v="2000"/>
    <n v="200"/>
    <x v="0"/>
    <n v="655767.56999999995"/>
    <x v="2806"/>
    <x v="1"/>
  </r>
  <r>
    <n v="87"/>
    <x v="2"/>
    <x v="7"/>
    <n v="2"/>
    <n v="2"/>
    <x v="0"/>
    <n v="451.39999999968001"/>
    <x v="0"/>
    <n v="2008806.0000000501"/>
    <n v="2000"/>
    <n v="200"/>
    <x v="0"/>
    <n v="669245.17000000004"/>
    <x v="2807"/>
    <x v="1"/>
  </r>
  <r>
    <n v="88"/>
    <x v="2"/>
    <x v="7"/>
    <n v="3"/>
    <n v="2"/>
    <x v="0"/>
    <n v="490.20000000048498"/>
    <x v="0"/>
    <n v="1234313.00000016"/>
    <n v="2000"/>
    <n v="200"/>
    <x v="0"/>
    <n v="667645.56999999995"/>
    <x v="2808"/>
    <x v="1"/>
  </r>
  <r>
    <n v="89"/>
    <x v="2"/>
    <x v="4"/>
    <n v="3"/>
    <n v="2"/>
    <x v="0"/>
    <n v="266.39999999993302"/>
    <x v="0"/>
    <n v="414899.999999989"/>
    <n v="2000"/>
    <n v="200"/>
    <x v="0"/>
    <n v="562285.17000000004"/>
    <x v="2809"/>
    <x v="1"/>
  </r>
  <r>
    <n v="90"/>
    <x v="2"/>
    <x v="5"/>
    <n v="2"/>
    <n v="2"/>
    <x v="0"/>
    <n v="335.79999999986399"/>
    <x v="0"/>
    <n v="636770.00000006997"/>
    <n v="2000"/>
    <n v="200"/>
    <x v="0"/>
    <n v="591245.97"/>
    <x v="2810"/>
    <x v="1"/>
  </r>
  <r>
    <n v="91"/>
    <x v="2"/>
    <x v="5"/>
    <n v="3"/>
    <n v="2"/>
    <x v="0"/>
    <n v="335.59999999930301"/>
    <x v="0"/>
    <n v="411151.00000001799"/>
    <n v="2000"/>
    <n v="200"/>
    <x v="0"/>
    <n v="597206.37"/>
    <x v="2811"/>
    <x v="1"/>
  </r>
  <r>
    <n v="92"/>
    <x v="2"/>
    <x v="5"/>
    <n v="3"/>
    <n v="2"/>
    <x v="0"/>
    <n v="306.40000000019501"/>
    <x v="0"/>
    <n v="326122.99999982503"/>
    <n v="2000"/>
    <n v="200"/>
    <x v="0"/>
    <n v="597205.97"/>
    <x v="2812"/>
    <x v="1"/>
  </r>
  <r>
    <n v="93"/>
    <x v="2"/>
    <x v="8"/>
    <n v="3"/>
    <n v="2"/>
    <x v="0"/>
    <n v="515.79999999979998"/>
    <x v="0"/>
    <n v="2579271.9999999502"/>
    <n v="2000"/>
    <n v="200"/>
    <x v="0"/>
    <n v="648526.77"/>
    <x v="2813"/>
    <x v="1"/>
  </r>
  <r>
    <n v="94"/>
    <x v="2"/>
    <x v="7"/>
    <n v="2"/>
    <n v="2"/>
    <x v="0"/>
    <n v="446.600000000075"/>
    <x v="0"/>
    <n v="2002005.9999999399"/>
    <n v="2000"/>
    <n v="200"/>
    <x v="0"/>
    <n v="587886.77"/>
    <x v="2814"/>
    <x v="1"/>
  </r>
  <r>
    <n v="95"/>
    <x v="2"/>
    <x v="9"/>
    <n v="2"/>
    <n v="2"/>
    <x v="0"/>
    <n v="605.60000000045"/>
    <x v="0"/>
    <n v="5219995.0000001499"/>
    <n v="2000"/>
    <n v="200"/>
    <x v="0"/>
    <n v="616484.77"/>
    <x v="2815"/>
    <x v="1"/>
  </r>
  <r>
    <n v="96"/>
    <x v="2"/>
    <x v="5"/>
    <n v="3"/>
    <n v="2"/>
    <x v="0"/>
    <n v="301.39999999967398"/>
    <x v="0"/>
    <n v="538624.00000002701"/>
    <n v="2000"/>
    <n v="200"/>
    <x v="0"/>
    <n v="594605.56999999995"/>
    <x v="2816"/>
    <x v="1"/>
  </r>
  <r>
    <n v="97"/>
    <x v="2"/>
    <x v="6"/>
    <n v="3"/>
    <n v="2"/>
    <x v="0"/>
    <n v="374.59999999995802"/>
    <x v="0"/>
    <n v="698046.99999985995"/>
    <n v="2000"/>
    <n v="200"/>
    <x v="0"/>
    <n v="600485.97"/>
    <x v="2817"/>
    <x v="1"/>
  </r>
  <r>
    <n v="98"/>
    <x v="2"/>
    <x v="7"/>
    <n v="3"/>
    <n v="2"/>
    <x v="0"/>
    <n v="496.19999999990199"/>
    <x v="0"/>
    <n v="1091490.00000002"/>
    <n v="2000"/>
    <n v="200"/>
    <x v="0"/>
    <n v="608286.77"/>
    <x v="2818"/>
    <x v="1"/>
  </r>
  <r>
    <n v="99"/>
    <x v="2"/>
    <x v="8"/>
    <n v="2"/>
    <n v="2"/>
    <x v="0"/>
    <n v="500.59999999980698"/>
    <x v="0"/>
    <n v="2540038.0000001001"/>
    <n v="2000"/>
    <n v="200"/>
    <x v="0"/>
    <n v="660407.17000000004"/>
    <x v="2819"/>
    <x v="1"/>
  </r>
  <r>
    <n v="70"/>
    <x v="2"/>
    <x v="3"/>
    <n v="3"/>
    <n v="2"/>
    <x v="0"/>
    <n v="916.60000000004504"/>
    <x v="0"/>
    <n v="169758.00000000201"/>
    <n v="2000"/>
    <n v="300"/>
    <x v="0"/>
    <n v="837248.37"/>
    <x v="2820"/>
    <x v="1"/>
  </r>
  <r>
    <n v="71"/>
    <x v="2"/>
    <x v="4"/>
    <n v="2"/>
    <n v="2"/>
    <x v="0"/>
    <n v="840.79999999993095"/>
    <x v="0"/>
    <n v="333503.99999994802"/>
    <n v="2000"/>
    <n v="300"/>
    <x v="0"/>
    <n v="765287.97"/>
    <x v="2821"/>
    <x v="1"/>
  </r>
  <r>
    <n v="72"/>
    <x v="2"/>
    <x v="4"/>
    <n v="2"/>
    <n v="2"/>
    <x v="0"/>
    <n v="686.80000000043196"/>
    <x v="0"/>
    <n v="475044.99999990902"/>
    <n v="2000"/>
    <n v="300"/>
    <x v="0"/>
    <n v="792166.37"/>
    <x v="2822"/>
    <x v="1"/>
  </r>
  <r>
    <n v="73"/>
    <x v="2"/>
    <x v="4"/>
    <n v="3"/>
    <n v="2"/>
    <x v="0"/>
    <n v="696.99999999990303"/>
    <x v="0"/>
    <n v="533288.00000008405"/>
    <n v="2000"/>
    <n v="300"/>
    <x v="0"/>
    <n v="786607.57"/>
    <x v="2823"/>
    <x v="1"/>
  </r>
  <r>
    <n v="74"/>
    <x v="2"/>
    <x v="6"/>
    <n v="3"/>
    <n v="2"/>
    <x v="0"/>
    <n v="767.00000000009504"/>
    <x v="0"/>
    <n v="792881.99999996298"/>
    <n v="2000"/>
    <n v="300"/>
    <x v="0"/>
    <n v="751565.57"/>
    <x v="2824"/>
    <x v="1"/>
  </r>
  <r>
    <n v="75"/>
    <x v="2"/>
    <x v="4"/>
    <n v="3"/>
    <n v="2"/>
    <x v="0"/>
    <n v="442.80000000007601"/>
    <x v="0"/>
    <n v="267370.99999991199"/>
    <n v="2000"/>
    <n v="300"/>
    <x v="0"/>
    <n v="768247.17"/>
    <x v="2825"/>
    <x v="0"/>
  </r>
  <r>
    <n v="76"/>
    <x v="2"/>
    <x v="5"/>
    <n v="3"/>
    <n v="2"/>
    <x v="0"/>
    <n v="657.20000000020195"/>
    <x v="0"/>
    <n v="367324.99999993702"/>
    <n v="2000"/>
    <n v="300"/>
    <x v="0"/>
    <n v="743686.77"/>
    <x v="2826"/>
    <x v="1"/>
  </r>
  <r>
    <n v="77"/>
    <x v="2"/>
    <x v="5"/>
    <n v="3"/>
    <n v="2"/>
    <x v="0"/>
    <n v="517.59999999951799"/>
    <x v="0"/>
    <n v="424015.00000005402"/>
    <n v="2000"/>
    <n v="300"/>
    <x v="0"/>
    <n v="794247.57"/>
    <x v="2827"/>
    <x v="1"/>
  </r>
  <r>
    <n v="78"/>
    <x v="2"/>
    <x v="5"/>
    <n v="3"/>
    <n v="2"/>
    <x v="0"/>
    <n v="411.19999999992302"/>
    <x v="0"/>
    <n v="421569.00000008999"/>
    <n v="2000"/>
    <n v="300"/>
    <x v="0"/>
    <n v="796527.57"/>
    <x v="2828"/>
    <x v="1"/>
  </r>
  <r>
    <n v="79"/>
    <x v="2"/>
    <x v="5"/>
    <n v="3"/>
    <n v="2"/>
    <x v="0"/>
    <n v="394.20000000021099"/>
    <x v="0"/>
    <n v="507382.00000000698"/>
    <n v="2000"/>
    <n v="300"/>
    <x v="0"/>
    <n v="766767.17"/>
    <x v="2829"/>
    <x v="1"/>
  </r>
  <r>
    <n v="80"/>
    <x v="2"/>
    <x v="4"/>
    <n v="3"/>
    <n v="2"/>
    <x v="0"/>
    <n v="306.60000000004601"/>
    <x v="0"/>
    <n v="217282.00000006799"/>
    <n v="2000"/>
    <n v="300"/>
    <x v="0"/>
    <n v="793047.17"/>
    <x v="2830"/>
    <x v="1"/>
  </r>
  <r>
    <n v="81"/>
    <x v="2"/>
    <x v="5"/>
    <n v="3"/>
    <n v="2"/>
    <x v="0"/>
    <n v="372.600000000389"/>
    <x v="0"/>
    <n v="572054.99999986403"/>
    <n v="2000"/>
    <n v="300"/>
    <x v="0"/>
    <n v="764087.17"/>
    <x v="2831"/>
    <x v="1"/>
  </r>
  <r>
    <n v="82"/>
    <x v="2"/>
    <x v="5"/>
    <n v="2"/>
    <n v="2"/>
    <x v="0"/>
    <n v="377.99999999990098"/>
    <x v="0"/>
    <n v="449708.99999998399"/>
    <n v="2000"/>
    <n v="300"/>
    <x v="0"/>
    <n v="792447.57"/>
    <x v="2832"/>
    <x v="1"/>
  </r>
  <r>
    <n v="83"/>
    <x v="2"/>
    <x v="6"/>
    <n v="2"/>
    <n v="2"/>
    <x v="0"/>
    <n v="451.20000000018501"/>
    <x v="0"/>
    <n v="1278454.00000001"/>
    <n v="2000"/>
    <n v="300"/>
    <x v="0"/>
    <n v="802725.57"/>
    <x v="2833"/>
    <x v="1"/>
  </r>
  <r>
    <n v="84"/>
    <x v="2"/>
    <x v="7"/>
    <n v="2"/>
    <n v="2"/>
    <x v="0"/>
    <n v="503.80000000060897"/>
    <x v="0"/>
    <n v="4835274.0000000298"/>
    <n v="2000"/>
    <n v="300"/>
    <x v="0"/>
    <n v="779566.77"/>
    <x v="2834"/>
    <x v="1"/>
  </r>
  <r>
    <n v="85"/>
    <x v="2"/>
    <x v="5"/>
    <n v="2"/>
    <n v="2"/>
    <x v="0"/>
    <n v="348.000000000326"/>
    <x v="0"/>
    <n v="562017.99999985297"/>
    <n v="2000"/>
    <n v="300"/>
    <x v="0"/>
    <n v="752447.57"/>
    <x v="2835"/>
    <x v="1"/>
  </r>
  <r>
    <n v="86"/>
    <x v="2"/>
    <x v="7"/>
    <n v="3"/>
    <n v="2"/>
    <x v="0"/>
    <n v="468.00000000004599"/>
    <x v="0"/>
    <n v="2626483.9999998901"/>
    <n v="2000"/>
    <n v="300"/>
    <x v="0"/>
    <n v="855769.17"/>
    <x v="2836"/>
    <x v="1"/>
  </r>
  <r>
    <n v="87"/>
    <x v="2"/>
    <x v="7"/>
    <n v="2"/>
    <n v="2"/>
    <x v="0"/>
    <n v="451.39999999968001"/>
    <x v="0"/>
    <n v="2008806.0000000501"/>
    <n v="2000"/>
    <n v="300"/>
    <x v="0"/>
    <n v="869246.37"/>
    <x v="2837"/>
    <x v="1"/>
  </r>
  <r>
    <n v="88"/>
    <x v="2"/>
    <x v="7"/>
    <n v="3"/>
    <n v="2"/>
    <x v="0"/>
    <n v="490.20000000048498"/>
    <x v="0"/>
    <n v="1234313.00000016"/>
    <n v="2000"/>
    <n v="300"/>
    <x v="0"/>
    <n v="867646.77"/>
    <x v="2838"/>
    <x v="1"/>
  </r>
  <r>
    <n v="89"/>
    <x v="2"/>
    <x v="4"/>
    <n v="3"/>
    <n v="2"/>
    <x v="0"/>
    <n v="266.39999999993302"/>
    <x v="0"/>
    <n v="414899.999999989"/>
    <n v="2000"/>
    <n v="300"/>
    <x v="0"/>
    <n v="762286.37"/>
    <x v="2839"/>
    <x v="1"/>
  </r>
  <r>
    <n v="90"/>
    <x v="2"/>
    <x v="5"/>
    <n v="2"/>
    <n v="2"/>
    <x v="0"/>
    <n v="335.79999999986399"/>
    <x v="0"/>
    <n v="636770.00000006997"/>
    <n v="2000"/>
    <n v="300"/>
    <x v="0"/>
    <n v="791247.57"/>
    <x v="2840"/>
    <x v="1"/>
  </r>
  <r>
    <n v="91"/>
    <x v="2"/>
    <x v="5"/>
    <n v="3"/>
    <n v="2"/>
    <x v="0"/>
    <n v="335.59999999930301"/>
    <x v="0"/>
    <n v="411151.00000001799"/>
    <n v="2000"/>
    <n v="300"/>
    <x v="0"/>
    <n v="797207.57"/>
    <x v="2841"/>
    <x v="1"/>
  </r>
  <r>
    <n v="92"/>
    <x v="2"/>
    <x v="5"/>
    <n v="3"/>
    <n v="2"/>
    <x v="0"/>
    <n v="306.40000000019501"/>
    <x v="0"/>
    <n v="326122.99999982503"/>
    <n v="2000"/>
    <n v="300"/>
    <x v="0"/>
    <n v="797207.17"/>
    <x v="2842"/>
    <x v="1"/>
  </r>
  <r>
    <n v="93"/>
    <x v="2"/>
    <x v="8"/>
    <n v="3"/>
    <n v="2"/>
    <x v="0"/>
    <n v="515.79999999979998"/>
    <x v="0"/>
    <n v="2579271.9999999502"/>
    <n v="2000"/>
    <n v="300"/>
    <x v="0"/>
    <n v="848527.57"/>
    <x v="2843"/>
    <x v="1"/>
  </r>
  <r>
    <n v="94"/>
    <x v="2"/>
    <x v="7"/>
    <n v="2"/>
    <n v="2"/>
    <x v="0"/>
    <n v="446.600000000075"/>
    <x v="0"/>
    <n v="2002005.9999999399"/>
    <n v="2000"/>
    <n v="300"/>
    <x v="0"/>
    <n v="787889.57"/>
    <x v="2844"/>
    <x v="1"/>
  </r>
  <r>
    <n v="95"/>
    <x v="2"/>
    <x v="9"/>
    <n v="2"/>
    <n v="2"/>
    <x v="0"/>
    <n v="605.60000000045"/>
    <x v="0"/>
    <n v="5219995.0000001499"/>
    <n v="2000"/>
    <n v="300"/>
    <x v="0"/>
    <n v="816485.97"/>
    <x v="2845"/>
    <x v="1"/>
  </r>
  <r>
    <n v="96"/>
    <x v="2"/>
    <x v="5"/>
    <n v="3"/>
    <n v="2"/>
    <x v="0"/>
    <n v="301.39999999967398"/>
    <x v="0"/>
    <n v="538624.00000002701"/>
    <n v="2000"/>
    <n v="300"/>
    <x v="0"/>
    <n v="794607.17"/>
    <x v="2846"/>
    <x v="1"/>
  </r>
  <r>
    <n v="97"/>
    <x v="2"/>
    <x v="6"/>
    <n v="3"/>
    <n v="2"/>
    <x v="0"/>
    <n v="374.59999999995802"/>
    <x v="0"/>
    <n v="698046.99999985995"/>
    <n v="2000"/>
    <n v="300"/>
    <x v="0"/>
    <n v="800486.77"/>
    <x v="2847"/>
    <x v="1"/>
  </r>
  <r>
    <n v="98"/>
    <x v="2"/>
    <x v="7"/>
    <n v="3"/>
    <n v="2"/>
    <x v="0"/>
    <n v="496.19999999990199"/>
    <x v="0"/>
    <n v="1091490.00000002"/>
    <n v="2000"/>
    <n v="300"/>
    <x v="0"/>
    <n v="808287.97"/>
    <x v="2848"/>
    <x v="1"/>
  </r>
  <r>
    <n v="99"/>
    <x v="2"/>
    <x v="8"/>
    <n v="2"/>
    <n v="2"/>
    <x v="0"/>
    <n v="500.59999999980698"/>
    <x v="0"/>
    <n v="2540038.0000001001"/>
    <n v="2000"/>
    <n v="300"/>
    <x v="0"/>
    <n v="860408.77"/>
    <x v="2849"/>
    <x v="1"/>
  </r>
  <r>
    <n v="70"/>
    <x v="2"/>
    <x v="3"/>
    <n v="3"/>
    <n v="2"/>
    <x v="0"/>
    <n v="916.60000000004504"/>
    <x v="1"/>
    <n v="68301.999999988504"/>
    <n v="1000"/>
    <n v="20"/>
    <x v="0"/>
    <n v="102828.01"/>
    <x v="2850"/>
    <x v="0"/>
  </r>
  <r>
    <n v="71"/>
    <x v="2"/>
    <x v="4"/>
    <n v="2"/>
    <n v="2"/>
    <x v="0"/>
    <n v="840.79999999993095"/>
    <x v="1"/>
    <n v="212421.000000006"/>
    <n v="1000"/>
    <n v="20"/>
    <x v="0"/>
    <n v="116510.01"/>
    <x v="2851"/>
    <x v="1"/>
  </r>
  <r>
    <n v="72"/>
    <x v="2"/>
    <x v="4"/>
    <n v="2"/>
    <n v="2"/>
    <x v="0"/>
    <n v="686.80000000043196"/>
    <x v="1"/>
    <n v="262078.00000000201"/>
    <n v="1000"/>
    <n v="20"/>
    <x v="0"/>
    <n v="135908.01"/>
    <x v="2852"/>
    <x v="1"/>
  </r>
  <r>
    <n v="73"/>
    <x v="2"/>
    <x v="4"/>
    <n v="3"/>
    <n v="2"/>
    <x v="0"/>
    <n v="696.99999999990303"/>
    <x v="1"/>
    <n v="220828.999999981"/>
    <n v="1000"/>
    <n v="20"/>
    <x v="0"/>
    <n v="103548.41"/>
    <x v="2853"/>
    <x v="1"/>
  </r>
  <r>
    <n v="74"/>
    <x v="2"/>
    <x v="6"/>
    <n v="3"/>
    <n v="2"/>
    <x v="0"/>
    <n v="767.00000000009504"/>
    <x v="1"/>
    <n v="641922.99999999104"/>
    <n v="1000"/>
    <n v="20"/>
    <x v="0"/>
    <n v="129308.81"/>
    <x v="2854"/>
    <x v="1"/>
  </r>
  <r>
    <n v="75"/>
    <x v="2"/>
    <x v="4"/>
    <n v="3"/>
    <n v="2"/>
    <x v="0"/>
    <n v="442.80000000007601"/>
    <x v="1"/>
    <n v="188826.000000006"/>
    <n v="1000"/>
    <n v="20"/>
    <x v="0"/>
    <n v="130229.21"/>
    <x v="2855"/>
    <x v="1"/>
  </r>
  <r>
    <n v="76"/>
    <x v="2"/>
    <x v="5"/>
    <n v="3"/>
    <n v="2"/>
    <x v="0"/>
    <n v="657.20000000020195"/>
    <x v="1"/>
    <n v="207245"/>
    <n v="1000"/>
    <n v="20"/>
    <x v="0"/>
    <n v="105828.81"/>
    <x v="2856"/>
    <x v="1"/>
  </r>
  <r>
    <n v="77"/>
    <x v="2"/>
    <x v="5"/>
    <n v="3"/>
    <n v="2"/>
    <x v="0"/>
    <n v="517.59999999951799"/>
    <x v="1"/>
    <n v="554278.99999997998"/>
    <n v="1000"/>
    <n v="20"/>
    <x v="0"/>
    <n v="102948.01"/>
    <x v="2857"/>
    <x v="1"/>
  </r>
  <r>
    <n v="78"/>
    <x v="2"/>
    <x v="5"/>
    <n v="3"/>
    <n v="2"/>
    <x v="0"/>
    <n v="411.19999999992302"/>
    <x v="1"/>
    <n v="251448.000000011"/>
    <n v="1000"/>
    <n v="20"/>
    <x v="0"/>
    <n v="130188.81"/>
    <x v="2858"/>
    <x v="1"/>
  </r>
  <r>
    <n v="79"/>
    <x v="2"/>
    <x v="5"/>
    <n v="3"/>
    <n v="2"/>
    <x v="0"/>
    <n v="394.20000000021099"/>
    <x v="1"/>
    <n v="178140.00000001301"/>
    <n v="1000"/>
    <n v="20"/>
    <x v="0"/>
    <n v="123148.01"/>
    <x v="2859"/>
    <x v="1"/>
  </r>
  <r>
    <n v="80"/>
    <x v="2"/>
    <x v="4"/>
    <n v="3"/>
    <n v="2"/>
    <x v="0"/>
    <n v="306.60000000004601"/>
    <x v="1"/>
    <n v="148730"/>
    <n v="1000"/>
    <n v="20"/>
    <x v="0"/>
    <n v="132388.01"/>
    <x v="2860"/>
    <x v="1"/>
  </r>
  <r>
    <n v="81"/>
    <x v="2"/>
    <x v="5"/>
    <n v="3"/>
    <n v="2"/>
    <x v="0"/>
    <n v="372.600000000389"/>
    <x v="1"/>
    <n v="307187.99999999598"/>
    <n v="1000"/>
    <n v="20"/>
    <x v="0"/>
    <n v="103548.41"/>
    <x v="2861"/>
    <x v="1"/>
  </r>
  <r>
    <n v="82"/>
    <x v="2"/>
    <x v="5"/>
    <n v="2"/>
    <n v="2"/>
    <x v="0"/>
    <n v="377.99999999990098"/>
    <x v="1"/>
    <n v="516832.99999999098"/>
    <n v="1000"/>
    <n v="20"/>
    <x v="0"/>
    <n v="132747.60999999999"/>
    <x v="2862"/>
    <x v="1"/>
  </r>
  <r>
    <n v="83"/>
    <x v="2"/>
    <x v="6"/>
    <n v="2"/>
    <n v="2"/>
    <x v="0"/>
    <n v="451.20000000018501"/>
    <x v="1"/>
    <n v="413190.00000001403"/>
    <n v="1000"/>
    <n v="20"/>
    <x v="0"/>
    <n v="104428.01"/>
    <x v="2863"/>
    <x v="1"/>
  </r>
  <r>
    <n v="84"/>
    <x v="2"/>
    <x v="7"/>
    <n v="2"/>
    <n v="2"/>
    <x v="0"/>
    <n v="503.80000000060897"/>
    <x v="1"/>
    <n v="474711.999999983"/>
    <n v="1000"/>
    <n v="20"/>
    <x v="0"/>
    <n v="137828.01"/>
    <x v="2864"/>
    <x v="1"/>
  </r>
  <r>
    <n v="85"/>
    <x v="2"/>
    <x v="5"/>
    <n v="2"/>
    <n v="2"/>
    <x v="0"/>
    <n v="348.000000000326"/>
    <x v="1"/>
    <n v="608902.00000000105"/>
    <n v="1000"/>
    <n v="20"/>
    <x v="0"/>
    <n v="133988.41"/>
    <x v="2865"/>
    <x v="1"/>
  </r>
  <r>
    <n v="86"/>
    <x v="2"/>
    <x v="7"/>
    <n v="3"/>
    <n v="2"/>
    <x v="0"/>
    <n v="468.00000000004599"/>
    <x v="1"/>
    <n v="645299.00000002305"/>
    <n v="1000"/>
    <n v="20"/>
    <x v="0"/>
    <n v="110707.21"/>
    <x v="2866"/>
    <x v="1"/>
  </r>
  <r>
    <n v="87"/>
    <x v="2"/>
    <x v="7"/>
    <n v="2"/>
    <n v="2"/>
    <x v="0"/>
    <n v="451.39999999968001"/>
    <x v="1"/>
    <n v="401485.00000000797"/>
    <n v="1000"/>
    <n v="20"/>
    <x v="0"/>
    <n v="138067.21"/>
    <x v="2867"/>
    <x v="1"/>
  </r>
  <r>
    <n v="88"/>
    <x v="2"/>
    <x v="7"/>
    <n v="3"/>
    <n v="2"/>
    <x v="0"/>
    <n v="490.20000000048498"/>
    <x v="1"/>
    <n v="672093.99999998696"/>
    <n v="1000"/>
    <n v="20"/>
    <x v="0"/>
    <n v="105428.41"/>
    <x v="2868"/>
    <x v="1"/>
  </r>
  <r>
    <n v="89"/>
    <x v="2"/>
    <x v="4"/>
    <n v="3"/>
    <n v="2"/>
    <x v="0"/>
    <n v="266.39999999993302"/>
    <x v="1"/>
    <n v="186243.000000019"/>
    <n v="1000"/>
    <n v="20"/>
    <x v="0"/>
    <n v="100788.41"/>
    <x v="2869"/>
    <x v="1"/>
  </r>
  <r>
    <n v="90"/>
    <x v="2"/>
    <x v="5"/>
    <n v="2"/>
    <n v="2"/>
    <x v="0"/>
    <n v="335.79999999986399"/>
    <x v="1"/>
    <n v="399008.00000000902"/>
    <n v="1000"/>
    <n v="20"/>
    <x v="0"/>
    <n v="130308.81"/>
    <x v="2870"/>
    <x v="1"/>
  </r>
  <r>
    <n v="91"/>
    <x v="2"/>
    <x v="5"/>
    <n v="3"/>
    <n v="2"/>
    <x v="0"/>
    <n v="335.59999999930301"/>
    <x v="1"/>
    <n v="151079.00000001001"/>
    <n v="1000"/>
    <n v="20"/>
    <x v="0"/>
    <n v="101467.21"/>
    <x v="2871"/>
    <x v="1"/>
  </r>
  <r>
    <n v="92"/>
    <x v="2"/>
    <x v="5"/>
    <n v="3"/>
    <n v="2"/>
    <x v="0"/>
    <n v="306.40000000019501"/>
    <x v="1"/>
    <n v="288912.000000011"/>
    <n v="1000"/>
    <n v="20"/>
    <x v="0"/>
    <n v="135467.60999999999"/>
    <x v="2872"/>
    <x v="1"/>
  </r>
  <r>
    <n v="93"/>
    <x v="2"/>
    <x v="8"/>
    <n v="3"/>
    <n v="2"/>
    <x v="0"/>
    <n v="515.79999999979998"/>
    <x v="1"/>
    <n v="1416861.00000001"/>
    <n v="1000"/>
    <n v="20"/>
    <x v="0"/>
    <n v="118308.81"/>
    <x v="2873"/>
    <x v="1"/>
  </r>
  <r>
    <n v="94"/>
    <x v="2"/>
    <x v="7"/>
    <n v="2"/>
    <n v="2"/>
    <x v="0"/>
    <n v="446.600000000075"/>
    <x v="1"/>
    <n v="711301.00000002002"/>
    <n v="1000"/>
    <n v="20"/>
    <x v="0"/>
    <n v="104827.61"/>
    <x v="2874"/>
    <x v="1"/>
  </r>
  <r>
    <n v="95"/>
    <x v="2"/>
    <x v="9"/>
    <n v="2"/>
    <n v="2"/>
    <x v="0"/>
    <n v="605.60000000045"/>
    <x v="1"/>
    <n v="1174435.99999999"/>
    <n v="1000"/>
    <n v="20"/>
    <x v="0"/>
    <n v="138989.21"/>
    <x v="2875"/>
    <x v="1"/>
  </r>
  <r>
    <n v="96"/>
    <x v="2"/>
    <x v="5"/>
    <n v="3"/>
    <n v="2"/>
    <x v="0"/>
    <n v="301.39999999967398"/>
    <x v="1"/>
    <n v="267707.00000000099"/>
    <n v="1000"/>
    <n v="20"/>
    <x v="0"/>
    <n v="132548.01"/>
    <x v="2876"/>
    <x v="1"/>
  </r>
  <r>
    <n v="97"/>
    <x v="2"/>
    <x v="6"/>
    <n v="3"/>
    <n v="2"/>
    <x v="0"/>
    <n v="374.59999999995802"/>
    <x v="1"/>
    <n v="460260.00000000501"/>
    <n v="1000"/>
    <n v="20"/>
    <x v="0"/>
    <n v="100987.21"/>
    <x v="2877"/>
    <x v="1"/>
  </r>
  <r>
    <n v="98"/>
    <x v="2"/>
    <x v="7"/>
    <n v="3"/>
    <n v="2"/>
    <x v="0"/>
    <n v="496.19999999990199"/>
    <x v="1"/>
    <n v="385244"/>
    <n v="1000"/>
    <n v="20"/>
    <x v="0"/>
    <n v="129787.21"/>
    <x v="2878"/>
    <x v="1"/>
  </r>
  <r>
    <n v="99"/>
    <x v="2"/>
    <x v="8"/>
    <n v="2"/>
    <n v="2"/>
    <x v="0"/>
    <n v="500.59999999980698"/>
    <x v="1"/>
    <n v="2095169"/>
    <n v="1000"/>
    <n v="20"/>
    <x v="0"/>
    <n v="104828.81"/>
    <x v="2879"/>
    <x v="1"/>
  </r>
  <r>
    <n v="70"/>
    <x v="2"/>
    <x v="3"/>
    <n v="3"/>
    <n v="2"/>
    <x v="0"/>
    <n v="916.60000000004504"/>
    <x v="1"/>
    <n v="68301.999999988504"/>
    <n v="1000"/>
    <n v="100"/>
    <x v="0"/>
    <n v="182827.61"/>
    <x v="2880"/>
    <x v="1"/>
  </r>
  <r>
    <n v="71"/>
    <x v="2"/>
    <x v="4"/>
    <n v="2"/>
    <n v="2"/>
    <x v="0"/>
    <n v="840.79999999993095"/>
    <x v="1"/>
    <n v="212421.000000006"/>
    <n v="1000"/>
    <n v="100"/>
    <x v="0"/>
    <n v="196509.61"/>
    <x v="2881"/>
    <x v="1"/>
  </r>
  <r>
    <n v="72"/>
    <x v="2"/>
    <x v="4"/>
    <n v="2"/>
    <n v="2"/>
    <x v="0"/>
    <n v="686.80000000043196"/>
    <x v="1"/>
    <n v="262078.00000000201"/>
    <n v="1000"/>
    <n v="100"/>
    <x v="0"/>
    <n v="215907.61"/>
    <x v="2882"/>
    <x v="1"/>
  </r>
  <r>
    <n v="73"/>
    <x v="2"/>
    <x v="4"/>
    <n v="3"/>
    <n v="2"/>
    <x v="0"/>
    <n v="696.99999999990303"/>
    <x v="1"/>
    <n v="220828.999999981"/>
    <n v="1000"/>
    <n v="100"/>
    <x v="0"/>
    <n v="183548.01"/>
    <x v="2883"/>
    <x v="1"/>
  </r>
  <r>
    <n v="74"/>
    <x v="2"/>
    <x v="6"/>
    <n v="3"/>
    <n v="2"/>
    <x v="0"/>
    <n v="767.00000000009504"/>
    <x v="1"/>
    <n v="641922.99999999104"/>
    <n v="1000"/>
    <n v="100"/>
    <x v="0"/>
    <n v="209308.41"/>
    <x v="2884"/>
    <x v="1"/>
  </r>
  <r>
    <n v="75"/>
    <x v="2"/>
    <x v="4"/>
    <n v="3"/>
    <n v="2"/>
    <x v="0"/>
    <n v="442.80000000007601"/>
    <x v="1"/>
    <n v="188826.000000006"/>
    <n v="1000"/>
    <n v="100"/>
    <x v="0"/>
    <n v="210228.81"/>
    <x v="2885"/>
    <x v="1"/>
  </r>
  <r>
    <n v="76"/>
    <x v="2"/>
    <x v="5"/>
    <n v="3"/>
    <n v="2"/>
    <x v="0"/>
    <n v="657.20000000020195"/>
    <x v="1"/>
    <n v="207245"/>
    <n v="1000"/>
    <n v="100"/>
    <x v="0"/>
    <n v="185828.41"/>
    <x v="2886"/>
    <x v="1"/>
  </r>
  <r>
    <n v="77"/>
    <x v="2"/>
    <x v="5"/>
    <n v="3"/>
    <n v="2"/>
    <x v="0"/>
    <n v="517.59999999951799"/>
    <x v="1"/>
    <n v="554278.99999997998"/>
    <n v="1000"/>
    <n v="100"/>
    <x v="0"/>
    <n v="182947.61"/>
    <x v="2887"/>
    <x v="1"/>
  </r>
  <r>
    <n v="78"/>
    <x v="2"/>
    <x v="5"/>
    <n v="3"/>
    <n v="2"/>
    <x v="0"/>
    <n v="411.19999999992302"/>
    <x v="1"/>
    <n v="251448.000000011"/>
    <n v="1000"/>
    <n v="100"/>
    <x v="0"/>
    <n v="210188.41"/>
    <x v="2888"/>
    <x v="1"/>
  </r>
  <r>
    <n v="79"/>
    <x v="2"/>
    <x v="5"/>
    <n v="3"/>
    <n v="2"/>
    <x v="0"/>
    <n v="394.20000000021099"/>
    <x v="1"/>
    <n v="178140.00000001301"/>
    <n v="1000"/>
    <n v="100"/>
    <x v="0"/>
    <n v="203147.61"/>
    <x v="2889"/>
    <x v="1"/>
  </r>
  <r>
    <n v="80"/>
    <x v="2"/>
    <x v="4"/>
    <n v="3"/>
    <n v="2"/>
    <x v="0"/>
    <n v="306.60000000004601"/>
    <x v="1"/>
    <n v="148730"/>
    <n v="1000"/>
    <n v="100"/>
    <x v="0"/>
    <n v="212387.61"/>
    <x v="2890"/>
    <x v="1"/>
  </r>
  <r>
    <n v="81"/>
    <x v="2"/>
    <x v="5"/>
    <n v="3"/>
    <n v="2"/>
    <x v="0"/>
    <n v="372.600000000389"/>
    <x v="1"/>
    <n v="307187.99999999598"/>
    <n v="1000"/>
    <n v="100"/>
    <x v="0"/>
    <n v="183548.01"/>
    <x v="2891"/>
    <x v="1"/>
  </r>
  <r>
    <n v="82"/>
    <x v="2"/>
    <x v="5"/>
    <n v="2"/>
    <n v="2"/>
    <x v="0"/>
    <n v="377.99999999990098"/>
    <x v="1"/>
    <n v="516832.99999999098"/>
    <n v="1000"/>
    <n v="100"/>
    <x v="0"/>
    <n v="212747.21"/>
    <x v="2892"/>
    <x v="1"/>
  </r>
  <r>
    <n v="83"/>
    <x v="2"/>
    <x v="6"/>
    <n v="2"/>
    <n v="2"/>
    <x v="0"/>
    <n v="451.20000000018501"/>
    <x v="1"/>
    <n v="413190.00000001403"/>
    <n v="1000"/>
    <n v="100"/>
    <x v="0"/>
    <n v="184427.61"/>
    <x v="2893"/>
    <x v="1"/>
  </r>
  <r>
    <n v="84"/>
    <x v="2"/>
    <x v="7"/>
    <n v="2"/>
    <n v="2"/>
    <x v="0"/>
    <n v="503.80000000060897"/>
    <x v="1"/>
    <n v="474711.999999983"/>
    <n v="1000"/>
    <n v="100"/>
    <x v="0"/>
    <n v="217827.61"/>
    <x v="2894"/>
    <x v="1"/>
  </r>
  <r>
    <n v="85"/>
    <x v="2"/>
    <x v="5"/>
    <n v="2"/>
    <n v="2"/>
    <x v="0"/>
    <n v="348.000000000326"/>
    <x v="1"/>
    <n v="608902.00000000105"/>
    <n v="1000"/>
    <n v="100"/>
    <x v="0"/>
    <n v="213988.01"/>
    <x v="2895"/>
    <x v="1"/>
  </r>
  <r>
    <n v="86"/>
    <x v="2"/>
    <x v="7"/>
    <n v="3"/>
    <n v="2"/>
    <x v="0"/>
    <n v="468.00000000004599"/>
    <x v="1"/>
    <n v="645299.00000002305"/>
    <n v="1000"/>
    <n v="100"/>
    <x v="0"/>
    <n v="190706.81"/>
    <x v="2896"/>
    <x v="1"/>
  </r>
  <r>
    <n v="87"/>
    <x v="2"/>
    <x v="7"/>
    <n v="2"/>
    <n v="2"/>
    <x v="0"/>
    <n v="451.39999999968001"/>
    <x v="1"/>
    <n v="401485.00000000797"/>
    <n v="1000"/>
    <n v="100"/>
    <x v="0"/>
    <n v="218066.81"/>
    <x v="2897"/>
    <x v="1"/>
  </r>
  <r>
    <n v="88"/>
    <x v="2"/>
    <x v="7"/>
    <n v="3"/>
    <n v="2"/>
    <x v="0"/>
    <n v="490.20000000048498"/>
    <x v="1"/>
    <n v="672093.99999998696"/>
    <n v="1000"/>
    <n v="100"/>
    <x v="0"/>
    <n v="185428.01"/>
    <x v="2898"/>
    <x v="1"/>
  </r>
  <r>
    <n v="89"/>
    <x v="2"/>
    <x v="4"/>
    <n v="3"/>
    <n v="2"/>
    <x v="0"/>
    <n v="266.39999999993302"/>
    <x v="1"/>
    <n v="186243.000000019"/>
    <n v="1000"/>
    <n v="100"/>
    <x v="0"/>
    <n v="180788.41"/>
    <x v="2899"/>
    <x v="1"/>
  </r>
  <r>
    <n v="90"/>
    <x v="2"/>
    <x v="5"/>
    <n v="2"/>
    <n v="2"/>
    <x v="0"/>
    <n v="335.79999999986399"/>
    <x v="1"/>
    <n v="399008.00000000902"/>
    <n v="1000"/>
    <n v="100"/>
    <x v="0"/>
    <n v="210308.41"/>
    <x v="2900"/>
    <x v="1"/>
  </r>
  <r>
    <n v="91"/>
    <x v="2"/>
    <x v="5"/>
    <n v="3"/>
    <n v="2"/>
    <x v="0"/>
    <n v="335.59999999930301"/>
    <x v="1"/>
    <n v="151079.00000001001"/>
    <n v="1000"/>
    <n v="100"/>
    <x v="0"/>
    <n v="181466.81"/>
    <x v="2901"/>
    <x v="1"/>
  </r>
  <r>
    <n v="92"/>
    <x v="2"/>
    <x v="5"/>
    <n v="3"/>
    <n v="2"/>
    <x v="0"/>
    <n v="306.40000000019501"/>
    <x v="1"/>
    <n v="288912.000000011"/>
    <n v="1000"/>
    <n v="100"/>
    <x v="0"/>
    <n v="215467.21"/>
    <x v="2902"/>
    <x v="1"/>
  </r>
  <r>
    <n v="93"/>
    <x v="2"/>
    <x v="8"/>
    <n v="3"/>
    <n v="2"/>
    <x v="0"/>
    <n v="515.79999999979998"/>
    <x v="1"/>
    <n v="1416861.00000001"/>
    <n v="1000"/>
    <n v="100"/>
    <x v="0"/>
    <n v="198308.01"/>
    <x v="2903"/>
    <x v="1"/>
  </r>
  <r>
    <n v="94"/>
    <x v="2"/>
    <x v="7"/>
    <n v="2"/>
    <n v="2"/>
    <x v="0"/>
    <n v="446.600000000075"/>
    <x v="1"/>
    <n v="711301.00000002002"/>
    <n v="1000"/>
    <n v="100"/>
    <x v="0"/>
    <n v="184827.21"/>
    <x v="2904"/>
    <x v="1"/>
  </r>
  <r>
    <n v="95"/>
    <x v="2"/>
    <x v="9"/>
    <n v="2"/>
    <n v="2"/>
    <x v="0"/>
    <n v="605.60000000045"/>
    <x v="1"/>
    <n v="1174435.99999999"/>
    <n v="1000"/>
    <n v="100"/>
    <x v="0"/>
    <n v="218988.81"/>
    <x v="2905"/>
    <x v="1"/>
  </r>
  <r>
    <n v="96"/>
    <x v="2"/>
    <x v="5"/>
    <n v="3"/>
    <n v="2"/>
    <x v="0"/>
    <n v="301.39999999967398"/>
    <x v="1"/>
    <n v="267707.00000000099"/>
    <n v="1000"/>
    <n v="100"/>
    <x v="0"/>
    <n v="212547.61"/>
    <x v="2906"/>
    <x v="1"/>
  </r>
  <r>
    <n v="97"/>
    <x v="2"/>
    <x v="6"/>
    <n v="3"/>
    <n v="2"/>
    <x v="0"/>
    <n v="374.59999999995802"/>
    <x v="1"/>
    <n v="460260.00000000501"/>
    <n v="1000"/>
    <n v="100"/>
    <x v="0"/>
    <n v="180986.81"/>
    <x v="2907"/>
    <x v="1"/>
  </r>
  <r>
    <n v="98"/>
    <x v="2"/>
    <x v="7"/>
    <n v="3"/>
    <n v="2"/>
    <x v="0"/>
    <n v="496.19999999990199"/>
    <x v="1"/>
    <n v="385244"/>
    <n v="1000"/>
    <n v="100"/>
    <x v="0"/>
    <n v="209786.41"/>
    <x v="2908"/>
    <x v="1"/>
  </r>
  <r>
    <n v="99"/>
    <x v="2"/>
    <x v="8"/>
    <n v="2"/>
    <n v="2"/>
    <x v="0"/>
    <n v="500.59999999980698"/>
    <x v="1"/>
    <n v="2095169"/>
    <n v="1000"/>
    <n v="100"/>
    <x v="0"/>
    <n v="184828.41"/>
    <x v="2909"/>
    <x v="1"/>
  </r>
  <r>
    <n v="70"/>
    <x v="2"/>
    <x v="3"/>
    <n v="3"/>
    <n v="2"/>
    <x v="0"/>
    <n v="916.60000000004504"/>
    <x v="1"/>
    <n v="68301.999999988504"/>
    <n v="1000"/>
    <n v="300"/>
    <x v="0"/>
    <n v="382827.61"/>
    <x v="2910"/>
    <x v="1"/>
  </r>
  <r>
    <n v="71"/>
    <x v="2"/>
    <x v="4"/>
    <n v="2"/>
    <n v="2"/>
    <x v="0"/>
    <n v="840.79999999993095"/>
    <x v="1"/>
    <n v="212421.000000006"/>
    <n v="1000"/>
    <n v="300"/>
    <x v="0"/>
    <n v="396509.61"/>
    <x v="2911"/>
    <x v="1"/>
  </r>
  <r>
    <n v="72"/>
    <x v="2"/>
    <x v="4"/>
    <n v="2"/>
    <n v="2"/>
    <x v="0"/>
    <n v="686.80000000043196"/>
    <x v="1"/>
    <n v="262078.00000000201"/>
    <n v="1000"/>
    <n v="300"/>
    <x v="0"/>
    <n v="415907.61"/>
    <x v="2912"/>
    <x v="1"/>
  </r>
  <r>
    <n v="73"/>
    <x v="2"/>
    <x v="4"/>
    <n v="3"/>
    <n v="2"/>
    <x v="0"/>
    <n v="696.99999999990303"/>
    <x v="1"/>
    <n v="220828.999999981"/>
    <n v="1000"/>
    <n v="300"/>
    <x v="0"/>
    <n v="383548.01"/>
    <x v="2913"/>
    <x v="1"/>
  </r>
  <r>
    <n v="74"/>
    <x v="2"/>
    <x v="6"/>
    <n v="3"/>
    <n v="2"/>
    <x v="0"/>
    <n v="767.00000000009504"/>
    <x v="1"/>
    <n v="641922.99999999104"/>
    <n v="1000"/>
    <n v="300"/>
    <x v="0"/>
    <n v="409308.41"/>
    <x v="2914"/>
    <x v="1"/>
  </r>
  <r>
    <n v="75"/>
    <x v="2"/>
    <x v="4"/>
    <n v="3"/>
    <n v="2"/>
    <x v="0"/>
    <n v="442.80000000007601"/>
    <x v="1"/>
    <n v="188826.000000006"/>
    <n v="1000"/>
    <n v="300"/>
    <x v="0"/>
    <n v="410228.81"/>
    <x v="2915"/>
    <x v="0"/>
  </r>
  <r>
    <n v="76"/>
    <x v="2"/>
    <x v="5"/>
    <n v="3"/>
    <n v="2"/>
    <x v="0"/>
    <n v="657.20000000020195"/>
    <x v="1"/>
    <n v="207245"/>
    <n v="1000"/>
    <n v="300"/>
    <x v="0"/>
    <n v="385828.41"/>
    <x v="2916"/>
    <x v="1"/>
  </r>
  <r>
    <n v="77"/>
    <x v="2"/>
    <x v="5"/>
    <n v="3"/>
    <n v="2"/>
    <x v="0"/>
    <n v="517.59999999951799"/>
    <x v="1"/>
    <n v="554278.99999997998"/>
    <n v="1000"/>
    <n v="300"/>
    <x v="0"/>
    <n v="382947.61"/>
    <x v="2917"/>
    <x v="0"/>
  </r>
  <r>
    <n v="78"/>
    <x v="2"/>
    <x v="5"/>
    <n v="3"/>
    <n v="2"/>
    <x v="0"/>
    <n v="411.19999999992302"/>
    <x v="1"/>
    <n v="251448.000000011"/>
    <n v="1000"/>
    <n v="300"/>
    <x v="0"/>
    <n v="410188.41"/>
    <x v="2918"/>
    <x v="1"/>
  </r>
  <r>
    <n v="79"/>
    <x v="2"/>
    <x v="5"/>
    <n v="3"/>
    <n v="2"/>
    <x v="0"/>
    <n v="394.20000000021099"/>
    <x v="1"/>
    <n v="178140.00000001301"/>
    <n v="1000"/>
    <n v="300"/>
    <x v="0"/>
    <n v="403147.61"/>
    <x v="2919"/>
    <x v="1"/>
  </r>
  <r>
    <n v="80"/>
    <x v="2"/>
    <x v="4"/>
    <n v="3"/>
    <n v="2"/>
    <x v="0"/>
    <n v="306.60000000004601"/>
    <x v="1"/>
    <n v="148730"/>
    <n v="1000"/>
    <n v="300"/>
    <x v="0"/>
    <n v="412387.61"/>
    <x v="2920"/>
    <x v="1"/>
  </r>
  <r>
    <n v="81"/>
    <x v="2"/>
    <x v="5"/>
    <n v="3"/>
    <n v="2"/>
    <x v="0"/>
    <n v="372.600000000389"/>
    <x v="1"/>
    <n v="307187.99999999598"/>
    <n v="1000"/>
    <n v="300"/>
    <x v="0"/>
    <n v="383548.01"/>
    <x v="2921"/>
    <x v="1"/>
  </r>
  <r>
    <n v="82"/>
    <x v="2"/>
    <x v="5"/>
    <n v="2"/>
    <n v="2"/>
    <x v="0"/>
    <n v="377.99999999990098"/>
    <x v="1"/>
    <n v="516832.99999999098"/>
    <n v="1000"/>
    <n v="300"/>
    <x v="0"/>
    <n v="412747.21"/>
    <x v="2922"/>
    <x v="1"/>
  </r>
  <r>
    <n v="83"/>
    <x v="2"/>
    <x v="6"/>
    <n v="2"/>
    <n v="2"/>
    <x v="0"/>
    <n v="451.20000000018501"/>
    <x v="1"/>
    <n v="413190.00000001403"/>
    <n v="1000"/>
    <n v="300"/>
    <x v="0"/>
    <n v="384427.61"/>
    <x v="2923"/>
    <x v="1"/>
  </r>
  <r>
    <n v="84"/>
    <x v="2"/>
    <x v="7"/>
    <n v="2"/>
    <n v="2"/>
    <x v="0"/>
    <n v="503.80000000060897"/>
    <x v="1"/>
    <n v="474711.999999983"/>
    <n v="1000"/>
    <n v="300"/>
    <x v="0"/>
    <n v="417827.61"/>
    <x v="2924"/>
    <x v="1"/>
  </r>
  <r>
    <n v="85"/>
    <x v="2"/>
    <x v="5"/>
    <n v="2"/>
    <n v="2"/>
    <x v="0"/>
    <n v="348.000000000326"/>
    <x v="1"/>
    <n v="608902.00000000105"/>
    <n v="1000"/>
    <n v="300"/>
    <x v="0"/>
    <n v="413988.01"/>
    <x v="2925"/>
    <x v="1"/>
  </r>
  <r>
    <n v="86"/>
    <x v="2"/>
    <x v="7"/>
    <n v="3"/>
    <n v="2"/>
    <x v="0"/>
    <n v="468.00000000004599"/>
    <x v="1"/>
    <n v="645299.00000002305"/>
    <n v="1000"/>
    <n v="300"/>
    <x v="0"/>
    <n v="390706.81"/>
    <x v="2926"/>
    <x v="1"/>
  </r>
  <r>
    <n v="87"/>
    <x v="2"/>
    <x v="7"/>
    <n v="2"/>
    <n v="2"/>
    <x v="0"/>
    <n v="451.39999999968001"/>
    <x v="1"/>
    <n v="401485.00000000797"/>
    <n v="1000"/>
    <n v="300"/>
    <x v="0"/>
    <n v="418066.81"/>
    <x v="2927"/>
    <x v="1"/>
  </r>
  <r>
    <n v="88"/>
    <x v="2"/>
    <x v="7"/>
    <n v="3"/>
    <n v="2"/>
    <x v="0"/>
    <n v="490.20000000048498"/>
    <x v="1"/>
    <n v="672093.99999998696"/>
    <n v="1000"/>
    <n v="300"/>
    <x v="0"/>
    <n v="385428.01"/>
    <x v="2928"/>
    <x v="1"/>
  </r>
  <r>
    <n v="89"/>
    <x v="2"/>
    <x v="4"/>
    <n v="3"/>
    <n v="2"/>
    <x v="0"/>
    <n v="266.39999999993302"/>
    <x v="1"/>
    <n v="186243.000000019"/>
    <n v="1000"/>
    <n v="300"/>
    <x v="0"/>
    <n v="380788.41"/>
    <x v="2929"/>
    <x v="1"/>
  </r>
  <r>
    <n v="90"/>
    <x v="2"/>
    <x v="5"/>
    <n v="2"/>
    <n v="2"/>
    <x v="0"/>
    <n v="335.79999999986399"/>
    <x v="1"/>
    <n v="399008.00000000902"/>
    <n v="1000"/>
    <n v="300"/>
    <x v="0"/>
    <n v="410308.41"/>
    <x v="2930"/>
    <x v="1"/>
  </r>
  <r>
    <n v="91"/>
    <x v="2"/>
    <x v="5"/>
    <n v="3"/>
    <n v="2"/>
    <x v="0"/>
    <n v="335.59999999930301"/>
    <x v="1"/>
    <n v="151079.00000001001"/>
    <n v="1000"/>
    <n v="300"/>
    <x v="0"/>
    <n v="381466.81"/>
    <x v="2931"/>
    <x v="1"/>
  </r>
  <r>
    <n v="92"/>
    <x v="2"/>
    <x v="5"/>
    <n v="3"/>
    <n v="2"/>
    <x v="0"/>
    <n v="306.40000000019501"/>
    <x v="1"/>
    <n v="288912.000000011"/>
    <n v="1000"/>
    <n v="300"/>
    <x v="0"/>
    <n v="415467.21"/>
    <x v="2932"/>
    <x v="1"/>
  </r>
  <r>
    <n v="93"/>
    <x v="2"/>
    <x v="8"/>
    <n v="3"/>
    <n v="2"/>
    <x v="0"/>
    <n v="515.79999999979998"/>
    <x v="1"/>
    <n v="1416861.00000001"/>
    <n v="1000"/>
    <n v="300"/>
    <x v="0"/>
    <n v="398308.01"/>
    <x v="2933"/>
    <x v="1"/>
  </r>
  <r>
    <n v="94"/>
    <x v="2"/>
    <x v="7"/>
    <n v="2"/>
    <n v="2"/>
    <x v="0"/>
    <n v="446.600000000075"/>
    <x v="1"/>
    <n v="711301.00000002002"/>
    <n v="1000"/>
    <n v="300"/>
    <x v="0"/>
    <n v="384827.21"/>
    <x v="2934"/>
    <x v="1"/>
  </r>
  <r>
    <n v="95"/>
    <x v="2"/>
    <x v="9"/>
    <n v="2"/>
    <n v="2"/>
    <x v="0"/>
    <n v="605.60000000045"/>
    <x v="1"/>
    <n v="1174435.99999999"/>
    <n v="1000"/>
    <n v="300"/>
    <x v="0"/>
    <n v="418988.81"/>
    <x v="2935"/>
    <x v="1"/>
  </r>
  <r>
    <n v="96"/>
    <x v="2"/>
    <x v="5"/>
    <n v="3"/>
    <n v="2"/>
    <x v="0"/>
    <n v="301.39999999967398"/>
    <x v="1"/>
    <n v="267707.00000000099"/>
    <n v="1000"/>
    <n v="300"/>
    <x v="0"/>
    <n v="412547.61"/>
    <x v="2936"/>
    <x v="1"/>
  </r>
  <r>
    <n v="97"/>
    <x v="2"/>
    <x v="6"/>
    <n v="3"/>
    <n v="2"/>
    <x v="0"/>
    <n v="374.59999999995802"/>
    <x v="1"/>
    <n v="460260.00000000501"/>
    <n v="1000"/>
    <n v="300"/>
    <x v="0"/>
    <n v="380986.81"/>
    <x v="2937"/>
    <x v="1"/>
  </r>
  <r>
    <n v="98"/>
    <x v="2"/>
    <x v="7"/>
    <n v="3"/>
    <n v="2"/>
    <x v="0"/>
    <n v="496.19999999990199"/>
    <x v="1"/>
    <n v="385244"/>
    <n v="1000"/>
    <n v="300"/>
    <x v="0"/>
    <n v="409786.41"/>
    <x v="2938"/>
    <x v="1"/>
  </r>
  <r>
    <n v="99"/>
    <x v="2"/>
    <x v="8"/>
    <n v="2"/>
    <n v="2"/>
    <x v="0"/>
    <n v="500.59999999980698"/>
    <x v="1"/>
    <n v="2095169"/>
    <n v="1000"/>
    <n v="300"/>
    <x v="0"/>
    <n v="384828.41"/>
    <x v="2939"/>
    <x v="1"/>
  </r>
  <r>
    <n v="70"/>
    <x v="2"/>
    <x v="3"/>
    <n v="3"/>
    <n v="2"/>
    <x v="0"/>
    <n v="916.60000000004504"/>
    <x v="1"/>
    <n v="68301.999999988504"/>
    <n v="1000"/>
    <n v="500"/>
    <x v="0"/>
    <n v="582827.61"/>
    <x v="2940"/>
    <x v="1"/>
  </r>
  <r>
    <n v="71"/>
    <x v="2"/>
    <x v="4"/>
    <n v="2"/>
    <n v="2"/>
    <x v="0"/>
    <n v="840.79999999993095"/>
    <x v="1"/>
    <n v="212421.000000006"/>
    <n v="1000"/>
    <n v="500"/>
    <x v="0"/>
    <n v="596509.61"/>
    <x v="2941"/>
    <x v="1"/>
  </r>
  <r>
    <n v="72"/>
    <x v="2"/>
    <x v="4"/>
    <n v="2"/>
    <n v="2"/>
    <x v="0"/>
    <n v="686.80000000043196"/>
    <x v="1"/>
    <n v="262078.00000000201"/>
    <n v="1000"/>
    <n v="500"/>
    <x v="0"/>
    <n v="615907.61"/>
    <x v="2942"/>
    <x v="1"/>
  </r>
  <r>
    <n v="73"/>
    <x v="2"/>
    <x v="4"/>
    <n v="3"/>
    <n v="2"/>
    <x v="0"/>
    <n v="696.99999999990303"/>
    <x v="1"/>
    <n v="220828.999999981"/>
    <n v="1000"/>
    <n v="500"/>
    <x v="0"/>
    <n v="583548.01"/>
    <x v="2943"/>
    <x v="1"/>
  </r>
  <r>
    <n v="74"/>
    <x v="2"/>
    <x v="6"/>
    <n v="3"/>
    <n v="2"/>
    <x v="0"/>
    <n v="767.00000000009504"/>
    <x v="1"/>
    <n v="641922.99999999104"/>
    <n v="1000"/>
    <n v="500"/>
    <x v="0"/>
    <n v="609308.41"/>
    <x v="2944"/>
    <x v="1"/>
  </r>
  <r>
    <n v="75"/>
    <x v="2"/>
    <x v="4"/>
    <n v="3"/>
    <n v="2"/>
    <x v="0"/>
    <n v="442.80000000007601"/>
    <x v="1"/>
    <n v="188826.000000006"/>
    <n v="1000"/>
    <n v="500"/>
    <x v="0"/>
    <n v="610228.81000000006"/>
    <x v="2945"/>
    <x v="1"/>
  </r>
  <r>
    <n v="76"/>
    <x v="2"/>
    <x v="5"/>
    <n v="3"/>
    <n v="2"/>
    <x v="0"/>
    <n v="657.20000000020195"/>
    <x v="1"/>
    <n v="207245"/>
    <n v="1000"/>
    <n v="500"/>
    <x v="0"/>
    <n v="585828.41"/>
    <x v="2946"/>
    <x v="1"/>
  </r>
  <r>
    <n v="77"/>
    <x v="2"/>
    <x v="5"/>
    <n v="3"/>
    <n v="2"/>
    <x v="0"/>
    <n v="517.59999999951799"/>
    <x v="1"/>
    <n v="554278.99999997998"/>
    <n v="1000"/>
    <n v="500"/>
    <x v="0"/>
    <n v="582947.61"/>
    <x v="2947"/>
    <x v="1"/>
  </r>
  <r>
    <n v="78"/>
    <x v="2"/>
    <x v="5"/>
    <n v="3"/>
    <n v="2"/>
    <x v="0"/>
    <n v="411.19999999992302"/>
    <x v="1"/>
    <n v="251448.000000011"/>
    <n v="1000"/>
    <n v="500"/>
    <x v="0"/>
    <n v="610188.41"/>
    <x v="2948"/>
    <x v="1"/>
  </r>
  <r>
    <n v="79"/>
    <x v="2"/>
    <x v="5"/>
    <n v="3"/>
    <n v="2"/>
    <x v="0"/>
    <n v="394.20000000021099"/>
    <x v="1"/>
    <n v="178140.00000001301"/>
    <n v="1000"/>
    <n v="500"/>
    <x v="0"/>
    <n v="603147.61"/>
    <x v="2949"/>
    <x v="1"/>
  </r>
  <r>
    <n v="80"/>
    <x v="2"/>
    <x v="4"/>
    <n v="3"/>
    <n v="2"/>
    <x v="0"/>
    <n v="306.60000000004601"/>
    <x v="1"/>
    <n v="148730"/>
    <n v="1000"/>
    <n v="500"/>
    <x v="0"/>
    <n v="612387.61"/>
    <x v="2950"/>
    <x v="1"/>
  </r>
  <r>
    <n v="81"/>
    <x v="2"/>
    <x v="5"/>
    <n v="3"/>
    <n v="2"/>
    <x v="0"/>
    <n v="372.600000000389"/>
    <x v="1"/>
    <n v="307187.99999999598"/>
    <n v="1000"/>
    <n v="500"/>
    <x v="0"/>
    <n v="583548.01"/>
    <x v="2951"/>
    <x v="1"/>
  </r>
  <r>
    <n v="82"/>
    <x v="2"/>
    <x v="5"/>
    <n v="2"/>
    <n v="2"/>
    <x v="0"/>
    <n v="377.99999999990098"/>
    <x v="1"/>
    <n v="516832.99999999098"/>
    <n v="1000"/>
    <n v="500"/>
    <x v="0"/>
    <n v="612747.21"/>
    <x v="2952"/>
    <x v="1"/>
  </r>
  <r>
    <n v="83"/>
    <x v="2"/>
    <x v="6"/>
    <n v="2"/>
    <n v="2"/>
    <x v="0"/>
    <n v="451.20000000018501"/>
    <x v="1"/>
    <n v="413190.00000001403"/>
    <n v="1000"/>
    <n v="500"/>
    <x v="0"/>
    <n v="584427.61"/>
    <x v="2953"/>
    <x v="1"/>
  </r>
  <r>
    <n v="84"/>
    <x v="2"/>
    <x v="7"/>
    <n v="2"/>
    <n v="2"/>
    <x v="0"/>
    <n v="503.80000000060897"/>
    <x v="1"/>
    <n v="474711.999999983"/>
    <n v="1000"/>
    <n v="500"/>
    <x v="0"/>
    <n v="617827.61"/>
    <x v="2954"/>
    <x v="1"/>
  </r>
  <r>
    <n v="85"/>
    <x v="2"/>
    <x v="5"/>
    <n v="2"/>
    <n v="2"/>
    <x v="0"/>
    <n v="348.000000000326"/>
    <x v="1"/>
    <n v="608902.00000000105"/>
    <n v="1000"/>
    <n v="500"/>
    <x v="0"/>
    <n v="613988.01"/>
    <x v="2955"/>
    <x v="1"/>
  </r>
  <r>
    <n v="86"/>
    <x v="2"/>
    <x v="7"/>
    <n v="3"/>
    <n v="2"/>
    <x v="0"/>
    <n v="468.00000000004599"/>
    <x v="1"/>
    <n v="645299.00000002305"/>
    <n v="1000"/>
    <n v="500"/>
    <x v="0"/>
    <n v="590706.81000000006"/>
    <x v="2956"/>
    <x v="1"/>
  </r>
  <r>
    <n v="87"/>
    <x v="2"/>
    <x v="7"/>
    <n v="2"/>
    <n v="2"/>
    <x v="0"/>
    <n v="451.39999999968001"/>
    <x v="1"/>
    <n v="401485.00000000797"/>
    <n v="1000"/>
    <n v="500"/>
    <x v="0"/>
    <n v="618066.81000000006"/>
    <x v="2957"/>
    <x v="1"/>
  </r>
  <r>
    <n v="88"/>
    <x v="2"/>
    <x v="7"/>
    <n v="3"/>
    <n v="2"/>
    <x v="0"/>
    <n v="490.20000000048498"/>
    <x v="1"/>
    <n v="672093.99999998696"/>
    <n v="1000"/>
    <n v="500"/>
    <x v="0"/>
    <n v="585428.01"/>
    <x v="2958"/>
    <x v="1"/>
  </r>
  <r>
    <n v="89"/>
    <x v="2"/>
    <x v="4"/>
    <n v="3"/>
    <n v="2"/>
    <x v="0"/>
    <n v="266.39999999993302"/>
    <x v="1"/>
    <n v="186243.000000019"/>
    <n v="1000"/>
    <n v="500"/>
    <x v="0"/>
    <n v="580788.41"/>
    <x v="2959"/>
    <x v="1"/>
  </r>
  <r>
    <n v="90"/>
    <x v="2"/>
    <x v="5"/>
    <n v="2"/>
    <n v="2"/>
    <x v="0"/>
    <n v="335.79999999986399"/>
    <x v="1"/>
    <n v="399008.00000000902"/>
    <n v="1000"/>
    <n v="500"/>
    <x v="0"/>
    <n v="610308.41"/>
    <x v="2960"/>
    <x v="1"/>
  </r>
  <r>
    <n v="91"/>
    <x v="2"/>
    <x v="5"/>
    <n v="3"/>
    <n v="2"/>
    <x v="0"/>
    <n v="335.59999999930301"/>
    <x v="1"/>
    <n v="151079.00000001001"/>
    <n v="1000"/>
    <n v="500"/>
    <x v="0"/>
    <n v="581466.81000000006"/>
    <x v="2961"/>
    <x v="1"/>
  </r>
  <r>
    <n v="92"/>
    <x v="2"/>
    <x v="5"/>
    <n v="3"/>
    <n v="2"/>
    <x v="0"/>
    <n v="306.40000000019501"/>
    <x v="1"/>
    <n v="288912.000000011"/>
    <n v="1000"/>
    <n v="500"/>
    <x v="0"/>
    <n v="615467.21"/>
    <x v="2962"/>
    <x v="1"/>
  </r>
  <r>
    <n v="93"/>
    <x v="2"/>
    <x v="8"/>
    <n v="3"/>
    <n v="2"/>
    <x v="0"/>
    <n v="515.79999999979998"/>
    <x v="1"/>
    <n v="1416861.00000001"/>
    <n v="1000"/>
    <n v="500"/>
    <x v="0"/>
    <n v="598308.01"/>
    <x v="2963"/>
    <x v="1"/>
  </r>
  <r>
    <n v="94"/>
    <x v="2"/>
    <x v="7"/>
    <n v="2"/>
    <n v="2"/>
    <x v="0"/>
    <n v="446.600000000075"/>
    <x v="1"/>
    <n v="711301.00000002002"/>
    <n v="1000"/>
    <n v="500"/>
    <x v="0"/>
    <n v="584827.21"/>
    <x v="2964"/>
    <x v="1"/>
  </r>
  <r>
    <n v="95"/>
    <x v="2"/>
    <x v="9"/>
    <n v="2"/>
    <n v="2"/>
    <x v="0"/>
    <n v="605.60000000045"/>
    <x v="1"/>
    <n v="1174435.99999999"/>
    <n v="1000"/>
    <n v="500"/>
    <x v="0"/>
    <n v="618988.81000000006"/>
    <x v="2965"/>
    <x v="1"/>
  </r>
  <r>
    <n v="96"/>
    <x v="2"/>
    <x v="5"/>
    <n v="3"/>
    <n v="2"/>
    <x v="0"/>
    <n v="301.39999999967398"/>
    <x v="1"/>
    <n v="267707.00000000099"/>
    <n v="1000"/>
    <n v="500"/>
    <x v="0"/>
    <n v="612547.61"/>
    <x v="2966"/>
    <x v="1"/>
  </r>
  <r>
    <n v="97"/>
    <x v="2"/>
    <x v="6"/>
    <n v="3"/>
    <n v="2"/>
    <x v="0"/>
    <n v="374.59999999995802"/>
    <x v="1"/>
    <n v="460260.00000000501"/>
    <n v="1000"/>
    <n v="500"/>
    <x v="0"/>
    <n v="580986.81000000006"/>
    <x v="2967"/>
    <x v="1"/>
  </r>
  <r>
    <n v="98"/>
    <x v="2"/>
    <x v="7"/>
    <n v="3"/>
    <n v="2"/>
    <x v="0"/>
    <n v="496.19999999990199"/>
    <x v="1"/>
    <n v="385244"/>
    <n v="1000"/>
    <n v="500"/>
    <x v="0"/>
    <n v="609786.41"/>
    <x v="2968"/>
    <x v="1"/>
  </r>
  <r>
    <n v="99"/>
    <x v="2"/>
    <x v="8"/>
    <n v="2"/>
    <n v="2"/>
    <x v="0"/>
    <n v="500.59999999980698"/>
    <x v="1"/>
    <n v="2095169"/>
    <n v="1000"/>
    <n v="500"/>
    <x v="0"/>
    <n v="584828.41"/>
    <x v="2969"/>
    <x v="1"/>
  </r>
  <r>
    <n v="70"/>
    <x v="2"/>
    <x v="3"/>
    <n v="3"/>
    <n v="2"/>
    <x v="0"/>
    <n v="916.60000000004504"/>
    <x v="1"/>
    <n v="68301.999999988504"/>
    <n v="1000"/>
    <n v="700"/>
    <x v="0"/>
    <n v="782827.61"/>
    <x v="2970"/>
    <x v="1"/>
  </r>
  <r>
    <n v="71"/>
    <x v="2"/>
    <x v="4"/>
    <n v="2"/>
    <n v="2"/>
    <x v="0"/>
    <n v="840.79999999993095"/>
    <x v="1"/>
    <n v="212421.000000006"/>
    <n v="1000"/>
    <n v="700"/>
    <x v="0"/>
    <n v="796509.61"/>
    <x v="2971"/>
    <x v="1"/>
  </r>
  <r>
    <n v="72"/>
    <x v="2"/>
    <x v="4"/>
    <n v="2"/>
    <n v="2"/>
    <x v="0"/>
    <n v="686.80000000043196"/>
    <x v="1"/>
    <n v="262078.00000000201"/>
    <n v="1000"/>
    <n v="700"/>
    <x v="0"/>
    <n v="815907.61"/>
    <x v="2972"/>
    <x v="1"/>
  </r>
  <r>
    <n v="73"/>
    <x v="2"/>
    <x v="4"/>
    <n v="3"/>
    <n v="2"/>
    <x v="0"/>
    <n v="696.99999999990303"/>
    <x v="1"/>
    <n v="220828.999999981"/>
    <n v="1000"/>
    <n v="700"/>
    <x v="0"/>
    <n v="783548.01"/>
    <x v="2973"/>
    <x v="1"/>
  </r>
  <r>
    <n v="74"/>
    <x v="2"/>
    <x v="6"/>
    <n v="3"/>
    <n v="2"/>
    <x v="0"/>
    <n v="767.00000000009504"/>
    <x v="1"/>
    <n v="641922.99999999104"/>
    <n v="1000"/>
    <n v="700"/>
    <x v="0"/>
    <n v="809308.41"/>
    <x v="2974"/>
    <x v="1"/>
  </r>
  <r>
    <n v="75"/>
    <x v="2"/>
    <x v="4"/>
    <n v="3"/>
    <n v="2"/>
    <x v="0"/>
    <n v="442.80000000007601"/>
    <x v="1"/>
    <n v="188826.000000006"/>
    <n v="1000"/>
    <n v="700"/>
    <x v="0"/>
    <n v="810228.81"/>
    <x v="2975"/>
    <x v="1"/>
  </r>
  <r>
    <n v="76"/>
    <x v="2"/>
    <x v="5"/>
    <n v="3"/>
    <n v="2"/>
    <x v="0"/>
    <n v="657.20000000020195"/>
    <x v="1"/>
    <n v="207245"/>
    <n v="1000"/>
    <n v="700"/>
    <x v="0"/>
    <n v="785828.41"/>
    <x v="2976"/>
    <x v="1"/>
  </r>
  <r>
    <n v="77"/>
    <x v="2"/>
    <x v="5"/>
    <n v="3"/>
    <n v="2"/>
    <x v="0"/>
    <n v="517.59999999951799"/>
    <x v="1"/>
    <n v="554278.99999997998"/>
    <n v="1000"/>
    <n v="700"/>
    <x v="0"/>
    <n v="782947.61"/>
    <x v="2977"/>
    <x v="1"/>
  </r>
  <r>
    <n v="78"/>
    <x v="2"/>
    <x v="5"/>
    <n v="3"/>
    <n v="2"/>
    <x v="0"/>
    <n v="411.19999999992302"/>
    <x v="1"/>
    <n v="251448.000000011"/>
    <n v="1000"/>
    <n v="700"/>
    <x v="0"/>
    <n v="810188.41"/>
    <x v="2978"/>
    <x v="1"/>
  </r>
  <r>
    <n v="79"/>
    <x v="2"/>
    <x v="5"/>
    <n v="3"/>
    <n v="2"/>
    <x v="0"/>
    <n v="394.20000000021099"/>
    <x v="1"/>
    <n v="178140.00000001301"/>
    <n v="1000"/>
    <n v="700"/>
    <x v="0"/>
    <n v="803147.61"/>
    <x v="2979"/>
    <x v="1"/>
  </r>
  <r>
    <n v="80"/>
    <x v="2"/>
    <x v="4"/>
    <n v="3"/>
    <n v="2"/>
    <x v="0"/>
    <n v="306.60000000004601"/>
    <x v="1"/>
    <n v="148730"/>
    <n v="1000"/>
    <n v="700"/>
    <x v="0"/>
    <n v="812387.61"/>
    <x v="2980"/>
    <x v="1"/>
  </r>
  <r>
    <n v="81"/>
    <x v="2"/>
    <x v="5"/>
    <n v="3"/>
    <n v="2"/>
    <x v="0"/>
    <n v="372.600000000389"/>
    <x v="1"/>
    <n v="307187.99999999598"/>
    <n v="1000"/>
    <n v="700"/>
    <x v="0"/>
    <n v="783548.01"/>
    <x v="2981"/>
    <x v="1"/>
  </r>
  <r>
    <n v="82"/>
    <x v="2"/>
    <x v="5"/>
    <n v="2"/>
    <n v="2"/>
    <x v="0"/>
    <n v="377.99999999990098"/>
    <x v="1"/>
    <n v="516832.99999999098"/>
    <n v="1000"/>
    <n v="700"/>
    <x v="0"/>
    <n v="812747.21"/>
    <x v="2982"/>
    <x v="1"/>
  </r>
  <r>
    <n v="83"/>
    <x v="2"/>
    <x v="6"/>
    <n v="2"/>
    <n v="2"/>
    <x v="0"/>
    <n v="451.20000000018501"/>
    <x v="1"/>
    <n v="413190.00000001403"/>
    <n v="1000"/>
    <n v="700"/>
    <x v="0"/>
    <n v="784427.61"/>
    <x v="2983"/>
    <x v="1"/>
  </r>
  <r>
    <n v="84"/>
    <x v="2"/>
    <x v="7"/>
    <n v="2"/>
    <n v="2"/>
    <x v="0"/>
    <n v="503.80000000060897"/>
    <x v="1"/>
    <n v="474711.999999983"/>
    <n v="1000"/>
    <n v="700"/>
    <x v="0"/>
    <n v="817827.61"/>
    <x v="2984"/>
    <x v="1"/>
  </r>
  <r>
    <n v="85"/>
    <x v="2"/>
    <x v="5"/>
    <n v="2"/>
    <n v="2"/>
    <x v="0"/>
    <n v="348.000000000326"/>
    <x v="1"/>
    <n v="608902.00000000105"/>
    <n v="1000"/>
    <n v="700"/>
    <x v="0"/>
    <n v="813988.01"/>
    <x v="2985"/>
    <x v="1"/>
  </r>
  <r>
    <n v="86"/>
    <x v="2"/>
    <x v="7"/>
    <n v="3"/>
    <n v="2"/>
    <x v="0"/>
    <n v="468.00000000004599"/>
    <x v="1"/>
    <n v="645299.00000002305"/>
    <n v="1000"/>
    <n v="700"/>
    <x v="0"/>
    <n v="790706.81"/>
    <x v="2986"/>
    <x v="1"/>
  </r>
  <r>
    <n v="87"/>
    <x v="2"/>
    <x v="7"/>
    <n v="2"/>
    <n v="2"/>
    <x v="0"/>
    <n v="451.39999999968001"/>
    <x v="1"/>
    <n v="401485.00000000797"/>
    <n v="1000"/>
    <n v="700"/>
    <x v="0"/>
    <n v="818066.81"/>
    <x v="2987"/>
    <x v="1"/>
  </r>
  <r>
    <n v="88"/>
    <x v="2"/>
    <x v="7"/>
    <n v="3"/>
    <n v="2"/>
    <x v="0"/>
    <n v="490.20000000048498"/>
    <x v="1"/>
    <n v="672093.99999998696"/>
    <n v="1000"/>
    <n v="700"/>
    <x v="0"/>
    <n v="785428.01"/>
    <x v="2988"/>
    <x v="1"/>
  </r>
  <r>
    <n v="89"/>
    <x v="2"/>
    <x v="4"/>
    <n v="3"/>
    <n v="2"/>
    <x v="0"/>
    <n v="266.39999999993302"/>
    <x v="1"/>
    <n v="186243.000000019"/>
    <n v="1000"/>
    <n v="700"/>
    <x v="0"/>
    <n v="780788.41"/>
    <x v="2989"/>
    <x v="1"/>
  </r>
  <r>
    <n v="90"/>
    <x v="2"/>
    <x v="5"/>
    <n v="2"/>
    <n v="2"/>
    <x v="0"/>
    <n v="335.79999999986399"/>
    <x v="1"/>
    <n v="399008.00000000902"/>
    <n v="1000"/>
    <n v="700"/>
    <x v="0"/>
    <n v="810308.41"/>
    <x v="2990"/>
    <x v="1"/>
  </r>
  <r>
    <n v="91"/>
    <x v="2"/>
    <x v="5"/>
    <n v="3"/>
    <n v="2"/>
    <x v="0"/>
    <n v="335.59999999930301"/>
    <x v="1"/>
    <n v="151079.00000001001"/>
    <n v="1000"/>
    <n v="700"/>
    <x v="0"/>
    <n v="781466.81"/>
    <x v="2991"/>
    <x v="1"/>
  </r>
  <r>
    <n v="92"/>
    <x v="2"/>
    <x v="5"/>
    <n v="3"/>
    <n v="2"/>
    <x v="0"/>
    <n v="306.40000000019501"/>
    <x v="1"/>
    <n v="288912.000000011"/>
    <n v="1000"/>
    <n v="700"/>
    <x v="0"/>
    <n v="815467.21"/>
    <x v="2992"/>
    <x v="1"/>
  </r>
  <r>
    <n v="93"/>
    <x v="2"/>
    <x v="8"/>
    <n v="3"/>
    <n v="2"/>
    <x v="0"/>
    <n v="515.79999999979998"/>
    <x v="1"/>
    <n v="1416861.00000001"/>
    <n v="1000"/>
    <n v="700"/>
    <x v="0"/>
    <n v="798308.01"/>
    <x v="2993"/>
    <x v="1"/>
  </r>
  <r>
    <n v="94"/>
    <x v="2"/>
    <x v="7"/>
    <n v="2"/>
    <n v="2"/>
    <x v="0"/>
    <n v="446.600000000075"/>
    <x v="1"/>
    <n v="711301.00000002002"/>
    <n v="1000"/>
    <n v="700"/>
    <x v="0"/>
    <n v="784827.21"/>
    <x v="2994"/>
    <x v="1"/>
  </r>
  <r>
    <n v="95"/>
    <x v="2"/>
    <x v="9"/>
    <n v="2"/>
    <n v="2"/>
    <x v="0"/>
    <n v="605.60000000045"/>
    <x v="1"/>
    <n v="1174435.99999999"/>
    <n v="1000"/>
    <n v="700"/>
    <x v="0"/>
    <n v="818988.81"/>
    <x v="2995"/>
    <x v="1"/>
  </r>
  <r>
    <n v="96"/>
    <x v="2"/>
    <x v="5"/>
    <n v="3"/>
    <n v="2"/>
    <x v="0"/>
    <n v="301.39999999967398"/>
    <x v="1"/>
    <n v="267707.00000000099"/>
    <n v="1000"/>
    <n v="700"/>
    <x v="0"/>
    <n v="812547.61"/>
    <x v="2996"/>
    <x v="1"/>
  </r>
  <r>
    <n v="97"/>
    <x v="2"/>
    <x v="6"/>
    <n v="3"/>
    <n v="2"/>
    <x v="0"/>
    <n v="374.59999999995802"/>
    <x v="1"/>
    <n v="460260.00000000501"/>
    <n v="1000"/>
    <n v="700"/>
    <x v="0"/>
    <n v="780986.81"/>
    <x v="2997"/>
    <x v="1"/>
  </r>
  <r>
    <n v="98"/>
    <x v="2"/>
    <x v="7"/>
    <n v="3"/>
    <n v="2"/>
    <x v="0"/>
    <n v="496.19999999990199"/>
    <x v="1"/>
    <n v="385244"/>
    <n v="1000"/>
    <n v="700"/>
    <x v="0"/>
    <n v="809786.41"/>
    <x v="2998"/>
    <x v="1"/>
  </r>
  <r>
    <n v="99"/>
    <x v="2"/>
    <x v="8"/>
    <n v="2"/>
    <n v="2"/>
    <x v="0"/>
    <n v="500.59999999980698"/>
    <x v="1"/>
    <n v="2095169"/>
    <n v="1000"/>
    <n v="700"/>
    <x v="0"/>
    <n v="784828.41"/>
    <x v="2999"/>
    <x v="1"/>
  </r>
  <r>
    <n v="70"/>
    <x v="2"/>
    <x v="3"/>
    <n v="3"/>
    <n v="2"/>
    <x v="0"/>
    <n v="916.60000000004504"/>
    <x v="1"/>
    <n v="68301.999999988504"/>
    <n v="2000"/>
    <n v="20"/>
    <x v="0"/>
    <n v="270028.01"/>
    <x v="3000"/>
    <x v="1"/>
  </r>
  <r>
    <n v="71"/>
    <x v="2"/>
    <x v="4"/>
    <n v="2"/>
    <n v="2"/>
    <x v="0"/>
    <n v="840.79999999993095"/>
    <x v="1"/>
    <n v="212421.000000006"/>
    <n v="2000"/>
    <n v="20"/>
    <x v="0"/>
    <n v="311070.01"/>
    <x v="3001"/>
    <x v="1"/>
  </r>
  <r>
    <n v="72"/>
    <x v="2"/>
    <x v="4"/>
    <n v="2"/>
    <n v="2"/>
    <x v="0"/>
    <n v="686.80000000043196"/>
    <x v="1"/>
    <n v="262078.00000000201"/>
    <n v="2000"/>
    <n v="20"/>
    <x v="0"/>
    <n v="369268.01"/>
    <x v="3002"/>
    <x v="1"/>
  </r>
  <r>
    <n v="73"/>
    <x v="2"/>
    <x v="4"/>
    <n v="3"/>
    <n v="2"/>
    <x v="0"/>
    <n v="696.99999999990303"/>
    <x v="1"/>
    <n v="220828.999999981"/>
    <n v="2000"/>
    <n v="20"/>
    <x v="0"/>
    <n v="272188.40999999997"/>
    <x v="3003"/>
    <x v="1"/>
  </r>
  <r>
    <n v="74"/>
    <x v="2"/>
    <x v="6"/>
    <n v="3"/>
    <n v="2"/>
    <x v="0"/>
    <n v="767.00000000009504"/>
    <x v="1"/>
    <n v="641922.99999999104"/>
    <n v="2000"/>
    <n v="20"/>
    <x v="0"/>
    <n v="349468.81"/>
    <x v="3004"/>
    <x v="1"/>
  </r>
  <r>
    <n v="75"/>
    <x v="2"/>
    <x v="4"/>
    <n v="3"/>
    <n v="2"/>
    <x v="0"/>
    <n v="442.80000000007601"/>
    <x v="1"/>
    <n v="188826.000000006"/>
    <n v="2000"/>
    <n v="20"/>
    <x v="0"/>
    <n v="352229.21"/>
    <x v="3005"/>
    <x v="0"/>
  </r>
  <r>
    <n v="76"/>
    <x v="2"/>
    <x v="5"/>
    <n v="3"/>
    <n v="2"/>
    <x v="0"/>
    <n v="657.20000000020195"/>
    <x v="1"/>
    <n v="207245"/>
    <n v="2000"/>
    <n v="20"/>
    <x v="0"/>
    <n v="279028.81"/>
    <x v="3006"/>
    <x v="1"/>
  </r>
  <r>
    <n v="77"/>
    <x v="2"/>
    <x v="5"/>
    <n v="3"/>
    <n v="2"/>
    <x v="0"/>
    <n v="517.59999999951799"/>
    <x v="1"/>
    <n v="554278.99999997998"/>
    <n v="2000"/>
    <n v="20"/>
    <x v="0"/>
    <n v="270388.01"/>
    <x v="3007"/>
    <x v="1"/>
  </r>
  <r>
    <n v="78"/>
    <x v="2"/>
    <x v="5"/>
    <n v="3"/>
    <n v="2"/>
    <x v="0"/>
    <n v="411.19999999992302"/>
    <x v="1"/>
    <n v="251448.000000011"/>
    <n v="2000"/>
    <n v="20"/>
    <x v="0"/>
    <n v="352108.81"/>
    <x v="3008"/>
    <x v="1"/>
  </r>
  <r>
    <n v="79"/>
    <x v="2"/>
    <x v="5"/>
    <n v="3"/>
    <n v="2"/>
    <x v="0"/>
    <n v="394.20000000021099"/>
    <x v="1"/>
    <n v="178140.00000001301"/>
    <n v="2000"/>
    <n v="20"/>
    <x v="0"/>
    <n v="330988.01"/>
    <x v="3009"/>
    <x v="1"/>
  </r>
  <r>
    <n v="80"/>
    <x v="2"/>
    <x v="4"/>
    <n v="3"/>
    <n v="2"/>
    <x v="0"/>
    <n v="306.60000000004601"/>
    <x v="1"/>
    <n v="148730"/>
    <n v="2000"/>
    <n v="20"/>
    <x v="0"/>
    <n v="358708.01"/>
    <x v="3010"/>
    <x v="1"/>
  </r>
  <r>
    <n v="81"/>
    <x v="2"/>
    <x v="5"/>
    <n v="3"/>
    <n v="2"/>
    <x v="0"/>
    <n v="372.600000000389"/>
    <x v="1"/>
    <n v="307187.99999999598"/>
    <n v="2000"/>
    <n v="20"/>
    <x v="0"/>
    <n v="272188.40999999997"/>
    <x v="3011"/>
    <x v="1"/>
  </r>
  <r>
    <n v="82"/>
    <x v="2"/>
    <x v="5"/>
    <n v="2"/>
    <n v="2"/>
    <x v="0"/>
    <n v="377.99999999990098"/>
    <x v="1"/>
    <n v="516832.99999999098"/>
    <n v="2000"/>
    <n v="20"/>
    <x v="0"/>
    <n v="359787.61"/>
    <x v="3012"/>
    <x v="1"/>
  </r>
  <r>
    <n v="83"/>
    <x v="2"/>
    <x v="6"/>
    <n v="2"/>
    <n v="2"/>
    <x v="0"/>
    <n v="451.20000000018501"/>
    <x v="1"/>
    <n v="413190.00000001403"/>
    <n v="2000"/>
    <n v="20"/>
    <x v="0"/>
    <n v="274828.01"/>
    <x v="3013"/>
    <x v="1"/>
  </r>
  <r>
    <n v="84"/>
    <x v="2"/>
    <x v="7"/>
    <n v="2"/>
    <n v="2"/>
    <x v="0"/>
    <n v="503.80000000060897"/>
    <x v="1"/>
    <n v="474711.999999983"/>
    <n v="2000"/>
    <n v="20"/>
    <x v="0"/>
    <n v="375028.01"/>
    <x v="3014"/>
    <x v="1"/>
  </r>
  <r>
    <n v="85"/>
    <x v="2"/>
    <x v="5"/>
    <n v="2"/>
    <n v="2"/>
    <x v="0"/>
    <n v="348.000000000326"/>
    <x v="1"/>
    <n v="608902.00000000105"/>
    <n v="2000"/>
    <n v="20"/>
    <x v="0"/>
    <n v="363508.41"/>
    <x v="3015"/>
    <x v="1"/>
  </r>
  <r>
    <n v="86"/>
    <x v="2"/>
    <x v="7"/>
    <n v="3"/>
    <n v="2"/>
    <x v="0"/>
    <n v="468.00000000004599"/>
    <x v="1"/>
    <n v="645299.00000002305"/>
    <n v="2000"/>
    <n v="20"/>
    <x v="0"/>
    <n v="293667.21000000002"/>
    <x v="3016"/>
    <x v="1"/>
  </r>
  <r>
    <n v="87"/>
    <x v="2"/>
    <x v="7"/>
    <n v="2"/>
    <n v="2"/>
    <x v="0"/>
    <n v="451.39999999968001"/>
    <x v="1"/>
    <n v="401485.00000000797"/>
    <n v="2000"/>
    <n v="20"/>
    <x v="0"/>
    <n v="375747.21"/>
    <x v="3017"/>
    <x v="1"/>
  </r>
  <r>
    <n v="88"/>
    <x v="2"/>
    <x v="7"/>
    <n v="3"/>
    <n v="2"/>
    <x v="0"/>
    <n v="490.20000000048498"/>
    <x v="1"/>
    <n v="672093.99999998696"/>
    <n v="2000"/>
    <n v="20"/>
    <x v="0"/>
    <n v="277828.40999999997"/>
    <x v="3018"/>
    <x v="1"/>
  </r>
  <r>
    <n v="89"/>
    <x v="2"/>
    <x v="4"/>
    <n v="3"/>
    <n v="2"/>
    <x v="0"/>
    <n v="266.39999999993302"/>
    <x v="1"/>
    <n v="186243.000000019"/>
    <n v="2000"/>
    <n v="20"/>
    <x v="0"/>
    <n v="263908.40999999997"/>
    <x v="3019"/>
    <x v="1"/>
  </r>
  <r>
    <n v="90"/>
    <x v="2"/>
    <x v="5"/>
    <n v="2"/>
    <n v="2"/>
    <x v="0"/>
    <n v="335.79999999986399"/>
    <x v="1"/>
    <n v="399008.00000000902"/>
    <n v="2000"/>
    <n v="20"/>
    <x v="0"/>
    <n v="352468.81"/>
    <x v="3020"/>
    <x v="1"/>
  </r>
  <r>
    <n v="91"/>
    <x v="2"/>
    <x v="5"/>
    <n v="3"/>
    <n v="2"/>
    <x v="0"/>
    <n v="335.59999999930301"/>
    <x v="1"/>
    <n v="151079.00000001001"/>
    <n v="2000"/>
    <n v="20"/>
    <x v="0"/>
    <n v="265947.61"/>
    <x v="3021"/>
    <x v="1"/>
  </r>
  <r>
    <n v="92"/>
    <x v="2"/>
    <x v="5"/>
    <n v="3"/>
    <n v="2"/>
    <x v="0"/>
    <n v="306.40000000019501"/>
    <x v="1"/>
    <n v="288912.000000011"/>
    <n v="2000"/>
    <n v="20"/>
    <x v="0"/>
    <n v="367947.61"/>
    <x v="3022"/>
    <x v="1"/>
  </r>
  <r>
    <n v="93"/>
    <x v="2"/>
    <x v="8"/>
    <n v="3"/>
    <n v="2"/>
    <x v="0"/>
    <n v="515.79999999979998"/>
    <x v="1"/>
    <n v="1416861.00000001"/>
    <n v="2000"/>
    <n v="20"/>
    <x v="0"/>
    <n v="316468.40999999997"/>
    <x v="3023"/>
    <x v="1"/>
  </r>
  <r>
    <n v="94"/>
    <x v="2"/>
    <x v="7"/>
    <n v="2"/>
    <n v="2"/>
    <x v="0"/>
    <n v="446.600000000075"/>
    <x v="1"/>
    <n v="711301.00000002002"/>
    <n v="2000"/>
    <n v="20"/>
    <x v="0"/>
    <n v="276027.61"/>
    <x v="3024"/>
    <x v="1"/>
  </r>
  <r>
    <n v="95"/>
    <x v="2"/>
    <x v="9"/>
    <n v="2"/>
    <n v="2"/>
    <x v="0"/>
    <n v="605.60000000045"/>
    <x v="1"/>
    <n v="1174435.99999999"/>
    <n v="2000"/>
    <n v="20"/>
    <x v="0"/>
    <n v="378508.81"/>
    <x v="3025"/>
    <x v="1"/>
  </r>
  <r>
    <n v="96"/>
    <x v="2"/>
    <x v="5"/>
    <n v="3"/>
    <n v="2"/>
    <x v="0"/>
    <n v="301.39999999967398"/>
    <x v="1"/>
    <n v="267707.00000000099"/>
    <n v="2000"/>
    <n v="20"/>
    <x v="0"/>
    <n v="359188.01"/>
    <x v="3026"/>
    <x v="1"/>
  </r>
  <r>
    <n v="97"/>
    <x v="2"/>
    <x v="6"/>
    <n v="3"/>
    <n v="2"/>
    <x v="0"/>
    <n v="374.59999999995802"/>
    <x v="1"/>
    <n v="460260.00000000501"/>
    <n v="2000"/>
    <n v="20"/>
    <x v="0"/>
    <n v="264507.21000000002"/>
    <x v="3027"/>
    <x v="1"/>
  </r>
  <r>
    <n v="98"/>
    <x v="2"/>
    <x v="7"/>
    <n v="3"/>
    <n v="2"/>
    <x v="0"/>
    <n v="496.19999999990199"/>
    <x v="1"/>
    <n v="385244"/>
    <n v="2000"/>
    <n v="20"/>
    <x v="0"/>
    <n v="350907.21"/>
    <x v="3028"/>
    <x v="1"/>
  </r>
  <r>
    <n v="99"/>
    <x v="2"/>
    <x v="8"/>
    <n v="2"/>
    <n v="2"/>
    <x v="0"/>
    <n v="500.59999999980698"/>
    <x v="1"/>
    <n v="2095169"/>
    <n v="2000"/>
    <n v="20"/>
    <x v="0"/>
    <n v="276028.81"/>
    <x v="3029"/>
    <x v="1"/>
  </r>
  <r>
    <n v="70"/>
    <x v="2"/>
    <x v="3"/>
    <n v="3"/>
    <n v="2"/>
    <x v="0"/>
    <n v="916.60000000004504"/>
    <x v="1"/>
    <n v="68301.999999988504"/>
    <n v="2000"/>
    <n v="100"/>
    <x v="0"/>
    <n v="346427.61"/>
    <x v="3030"/>
    <x v="0"/>
  </r>
  <r>
    <n v="71"/>
    <x v="2"/>
    <x v="4"/>
    <n v="2"/>
    <n v="2"/>
    <x v="0"/>
    <n v="840.79999999993095"/>
    <x v="1"/>
    <n v="212421.000000006"/>
    <n v="2000"/>
    <n v="100"/>
    <x v="0"/>
    <n v="373789.61"/>
    <x v="3031"/>
    <x v="1"/>
  </r>
  <r>
    <n v="72"/>
    <x v="2"/>
    <x v="4"/>
    <n v="2"/>
    <n v="2"/>
    <x v="0"/>
    <n v="686.80000000043196"/>
    <x v="1"/>
    <n v="262078.00000000201"/>
    <n v="2000"/>
    <n v="100"/>
    <x v="0"/>
    <n v="412587.61"/>
    <x v="3032"/>
    <x v="1"/>
  </r>
  <r>
    <n v="73"/>
    <x v="2"/>
    <x v="4"/>
    <n v="3"/>
    <n v="2"/>
    <x v="0"/>
    <n v="696.99999999990303"/>
    <x v="1"/>
    <n v="220828.999999981"/>
    <n v="2000"/>
    <n v="100"/>
    <x v="0"/>
    <n v="347868.01"/>
    <x v="3033"/>
    <x v="1"/>
  </r>
  <r>
    <n v="74"/>
    <x v="2"/>
    <x v="6"/>
    <n v="3"/>
    <n v="2"/>
    <x v="0"/>
    <n v="767.00000000009504"/>
    <x v="1"/>
    <n v="641922.99999999104"/>
    <n v="2000"/>
    <n v="100"/>
    <x v="0"/>
    <n v="399388.41"/>
    <x v="3034"/>
    <x v="1"/>
  </r>
  <r>
    <n v="75"/>
    <x v="2"/>
    <x v="4"/>
    <n v="3"/>
    <n v="2"/>
    <x v="0"/>
    <n v="442.80000000007601"/>
    <x v="1"/>
    <n v="188826.000000006"/>
    <n v="2000"/>
    <n v="100"/>
    <x v="0"/>
    <n v="401228.81"/>
    <x v="3035"/>
    <x v="1"/>
  </r>
  <r>
    <n v="76"/>
    <x v="2"/>
    <x v="5"/>
    <n v="3"/>
    <n v="2"/>
    <x v="0"/>
    <n v="657.20000000020195"/>
    <x v="1"/>
    <n v="207245"/>
    <n v="2000"/>
    <n v="100"/>
    <x v="0"/>
    <n v="352428.41"/>
    <x v="3036"/>
    <x v="1"/>
  </r>
  <r>
    <n v="77"/>
    <x v="2"/>
    <x v="5"/>
    <n v="3"/>
    <n v="2"/>
    <x v="0"/>
    <n v="517.59999999951799"/>
    <x v="1"/>
    <n v="554278.99999997998"/>
    <n v="2000"/>
    <n v="100"/>
    <x v="0"/>
    <n v="346667.61"/>
    <x v="3037"/>
    <x v="1"/>
  </r>
  <r>
    <n v="78"/>
    <x v="2"/>
    <x v="5"/>
    <n v="3"/>
    <n v="2"/>
    <x v="0"/>
    <n v="411.19999999992302"/>
    <x v="1"/>
    <n v="251448.000000011"/>
    <n v="2000"/>
    <n v="100"/>
    <x v="0"/>
    <n v="401148.41"/>
    <x v="3038"/>
    <x v="1"/>
  </r>
  <r>
    <n v="79"/>
    <x v="2"/>
    <x v="5"/>
    <n v="3"/>
    <n v="2"/>
    <x v="0"/>
    <n v="394.20000000021099"/>
    <x v="1"/>
    <n v="178140.00000001301"/>
    <n v="2000"/>
    <n v="100"/>
    <x v="0"/>
    <n v="387067.61"/>
    <x v="3039"/>
    <x v="1"/>
  </r>
  <r>
    <n v="80"/>
    <x v="2"/>
    <x v="4"/>
    <n v="3"/>
    <n v="2"/>
    <x v="0"/>
    <n v="306.60000000004601"/>
    <x v="1"/>
    <n v="148730"/>
    <n v="2000"/>
    <n v="100"/>
    <x v="0"/>
    <n v="405547.61"/>
    <x v="3040"/>
    <x v="1"/>
  </r>
  <r>
    <n v="81"/>
    <x v="2"/>
    <x v="5"/>
    <n v="3"/>
    <n v="2"/>
    <x v="0"/>
    <n v="372.600000000389"/>
    <x v="1"/>
    <n v="307187.99999999598"/>
    <n v="2000"/>
    <n v="100"/>
    <x v="0"/>
    <n v="347868.01"/>
    <x v="3041"/>
    <x v="1"/>
  </r>
  <r>
    <n v="82"/>
    <x v="2"/>
    <x v="5"/>
    <n v="2"/>
    <n v="2"/>
    <x v="0"/>
    <n v="377.99999999990098"/>
    <x v="1"/>
    <n v="516832.99999999098"/>
    <n v="2000"/>
    <n v="100"/>
    <x v="0"/>
    <n v="406267.21"/>
    <x v="3042"/>
    <x v="1"/>
  </r>
  <r>
    <n v="83"/>
    <x v="2"/>
    <x v="6"/>
    <n v="2"/>
    <n v="2"/>
    <x v="0"/>
    <n v="451.20000000018501"/>
    <x v="1"/>
    <n v="413190.00000001403"/>
    <n v="2000"/>
    <n v="100"/>
    <x v="0"/>
    <n v="349627.61"/>
    <x v="3043"/>
    <x v="1"/>
  </r>
  <r>
    <n v="84"/>
    <x v="2"/>
    <x v="7"/>
    <n v="2"/>
    <n v="2"/>
    <x v="0"/>
    <n v="503.80000000060897"/>
    <x v="1"/>
    <n v="474711.999999983"/>
    <n v="2000"/>
    <n v="100"/>
    <x v="0"/>
    <n v="416427.61"/>
    <x v="3044"/>
    <x v="1"/>
  </r>
  <r>
    <n v="85"/>
    <x v="2"/>
    <x v="5"/>
    <n v="2"/>
    <n v="2"/>
    <x v="0"/>
    <n v="348.000000000326"/>
    <x v="1"/>
    <n v="608902.00000000105"/>
    <n v="2000"/>
    <n v="100"/>
    <x v="0"/>
    <n v="408748.01"/>
    <x v="3045"/>
    <x v="1"/>
  </r>
  <r>
    <n v="86"/>
    <x v="2"/>
    <x v="7"/>
    <n v="3"/>
    <n v="2"/>
    <x v="0"/>
    <n v="468.00000000004599"/>
    <x v="1"/>
    <n v="645299.00000002305"/>
    <n v="2000"/>
    <n v="100"/>
    <x v="0"/>
    <n v="362186.81"/>
    <x v="3046"/>
    <x v="1"/>
  </r>
  <r>
    <n v="87"/>
    <x v="2"/>
    <x v="7"/>
    <n v="2"/>
    <n v="2"/>
    <x v="0"/>
    <n v="451.39999999968001"/>
    <x v="1"/>
    <n v="401485.00000000797"/>
    <n v="2000"/>
    <n v="100"/>
    <x v="0"/>
    <n v="416906.81"/>
    <x v="3047"/>
    <x v="1"/>
  </r>
  <r>
    <n v="88"/>
    <x v="2"/>
    <x v="7"/>
    <n v="3"/>
    <n v="2"/>
    <x v="0"/>
    <n v="490.20000000048498"/>
    <x v="1"/>
    <n v="672093.99999998696"/>
    <n v="2000"/>
    <n v="100"/>
    <x v="0"/>
    <n v="351628.01"/>
    <x v="3048"/>
    <x v="1"/>
  </r>
  <r>
    <n v="89"/>
    <x v="2"/>
    <x v="4"/>
    <n v="3"/>
    <n v="2"/>
    <x v="0"/>
    <n v="266.39999999993302"/>
    <x v="1"/>
    <n v="186243.000000019"/>
    <n v="2000"/>
    <n v="100"/>
    <x v="0"/>
    <n v="342348.41"/>
    <x v="3049"/>
    <x v="1"/>
  </r>
  <r>
    <n v="90"/>
    <x v="2"/>
    <x v="5"/>
    <n v="2"/>
    <n v="2"/>
    <x v="0"/>
    <n v="335.79999999986399"/>
    <x v="1"/>
    <n v="399008.00000000902"/>
    <n v="2000"/>
    <n v="100"/>
    <x v="0"/>
    <n v="401388.41"/>
    <x v="3050"/>
    <x v="1"/>
  </r>
  <r>
    <n v="91"/>
    <x v="2"/>
    <x v="5"/>
    <n v="3"/>
    <n v="2"/>
    <x v="0"/>
    <n v="335.59999999930301"/>
    <x v="1"/>
    <n v="151079.00000001001"/>
    <n v="2000"/>
    <n v="100"/>
    <x v="0"/>
    <n v="343706.81"/>
    <x v="3051"/>
    <x v="1"/>
  </r>
  <r>
    <n v="92"/>
    <x v="2"/>
    <x v="5"/>
    <n v="3"/>
    <n v="2"/>
    <x v="0"/>
    <n v="306.40000000019501"/>
    <x v="1"/>
    <n v="288912.000000011"/>
    <n v="2000"/>
    <n v="100"/>
    <x v="0"/>
    <n v="411707.21"/>
    <x v="3052"/>
    <x v="1"/>
  </r>
  <r>
    <n v="93"/>
    <x v="2"/>
    <x v="8"/>
    <n v="3"/>
    <n v="2"/>
    <x v="0"/>
    <n v="515.79999999979998"/>
    <x v="1"/>
    <n v="1416861.00000001"/>
    <n v="2000"/>
    <n v="100"/>
    <x v="0"/>
    <n v="377388.01"/>
    <x v="3053"/>
    <x v="1"/>
  </r>
  <r>
    <n v="94"/>
    <x v="2"/>
    <x v="7"/>
    <n v="2"/>
    <n v="2"/>
    <x v="0"/>
    <n v="446.600000000075"/>
    <x v="1"/>
    <n v="711301.00000002002"/>
    <n v="2000"/>
    <n v="100"/>
    <x v="0"/>
    <n v="350427.21"/>
    <x v="3054"/>
    <x v="1"/>
  </r>
  <r>
    <n v="95"/>
    <x v="2"/>
    <x v="9"/>
    <n v="2"/>
    <n v="2"/>
    <x v="0"/>
    <n v="605.60000000045"/>
    <x v="1"/>
    <n v="1174435.99999999"/>
    <n v="2000"/>
    <n v="100"/>
    <x v="0"/>
    <n v="418748.41"/>
    <x v="3055"/>
    <x v="1"/>
  </r>
  <r>
    <n v="96"/>
    <x v="2"/>
    <x v="5"/>
    <n v="3"/>
    <n v="2"/>
    <x v="0"/>
    <n v="301.39999999967398"/>
    <x v="1"/>
    <n v="267707.00000000099"/>
    <n v="2000"/>
    <n v="100"/>
    <x v="0"/>
    <n v="405867.61"/>
    <x v="3056"/>
    <x v="1"/>
  </r>
  <r>
    <n v="97"/>
    <x v="2"/>
    <x v="6"/>
    <n v="3"/>
    <n v="2"/>
    <x v="0"/>
    <n v="374.59999999995802"/>
    <x v="1"/>
    <n v="460260.00000000501"/>
    <n v="2000"/>
    <n v="100"/>
    <x v="0"/>
    <n v="342746.81"/>
    <x v="3057"/>
    <x v="1"/>
  </r>
  <r>
    <n v="98"/>
    <x v="2"/>
    <x v="7"/>
    <n v="3"/>
    <n v="2"/>
    <x v="0"/>
    <n v="496.19999999990199"/>
    <x v="1"/>
    <n v="385244"/>
    <n v="2000"/>
    <n v="100"/>
    <x v="0"/>
    <n v="400346.81"/>
    <x v="3058"/>
    <x v="1"/>
  </r>
  <r>
    <n v="99"/>
    <x v="2"/>
    <x v="8"/>
    <n v="2"/>
    <n v="2"/>
    <x v="0"/>
    <n v="500.59999999980698"/>
    <x v="1"/>
    <n v="2095169"/>
    <n v="2000"/>
    <n v="100"/>
    <x v="0"/>
    <n v="350428.41"/>
    <x v="3059"/>
    <x v="1"/>
  </r>
  <r>
    <n v="70"/>
    <x v="2"/>
    <x v="3"/>
    <n v="3"/>
    <n v="2"/>
    <x v="0"/>
    <n v="916.60000000004504"/>
    <x v="1"/>
    <n v="68301.999999988504"/>
    <n v="2000"/>
    <n v="200"/>
    <x v="0"/>
    <n v="546427.61"/>
    <x v="3060"/>
    <x v="1"/>
  </r>
  <r>
    <n v="71"/>
    <x v="2"/>
    <x v="4"/>
    <n v="2"/>
    <n v="2"/>
    <x v="0"/>
    <n v="840.79999999993095"/>
    <x v="1"/>
    <n v="212421.000000006"/>
    <n v="2000"/>
    <n v="200"/>
    <x v="0"/>
    <n v="573789.61"/>
    <x v="3061"/>
    <x v="1"/>
  </r>
  <r>
    <n v="72"/>
    <x v="2"/>
    <x v="4"/>
    <n v="2"/>
    <n v="2"/>
    <x v="0"/>
    <n v="686.80000000043196"/>
    <x v="1"/>
    <n v="262078.00000000201"/>
    <n v="2000"/>
    <n v="200"/>
    <x v="0"/>
    <n v="612587.61"/>
    <x v="3062"/>
    <x v="1"/>
  </r>
  <r>
    <n v="73"/>
    <x v="2"/>
    <x v="4"/>
    <n v="3"/>
    <n v="2"/>
    <x v="0"/>
    <n v="696.99999999990303"/>
    <x v="1"/>
    <n v="220828.999999981"/>
    <n v="2000"/>
    <n v="200"/>
    <x v="0"/>
    <n v="547868.01"/>
    <x v="3063"/>
    <x v="1"/>
  </r>
  <r>
    <n v="74"/>
    <x v="2"/>
    <x v="6"/>
    <n v="3"/>
    <n v="2"/>
    <x v="0"/>
    <n v="767.00000000009504"/>
    <x v="1"/>
    <n v="641922.99999999104"/>
    <n v="2000"/>
    <n v="200"/>
    <x v="0"/>
    <n v="599388.41"/>
    <x v="3064"/>
    <x v="1"/>
  </r>
  <r>
    <n v="75"/>
    <x v="2"/>
    <x v="4"/>
    <n v="3"/>
    <n v="2"/>
    <x v="0"/>
    <n v="442.80000000007601"/>
    <x v="1"/>
    <n v="188826.000000006"/>
    <n v="2000"/>
    <n v="200"/>
    <x v="0"/>
    <n v="601228.81000000006"/>
    <x v="3065"/>
    <x v="1"/>
  </r>
  <r>
    <n v="76"/>
    <x v="2"/>
    <x v="5"/>
    <n v="3"/>
    <n v="2"/>
    <x v="0"/>
    <n v="657.20000000020195"/>
    <x v="1"/>
    <n v="207245"/>
    <n v="2000"/>
    <n v="200"/>
    <x v="0"/>
    <n v="552428.41"/>
    <x v="3066"/>
    <x v="1"/>
  </r>
  <r>
    <n v="77"/>
    <x v="2"/>
    <x v="5"/>
    <n v="3"/>
    <n v="2"/>
    <x v="0"/>
    <n v="517.59999999951799"/>
    <x v="1"/>
    <n v="554278.99999997998"/>
    <n v="2000"/>
    <n v="200"/>
    <x v="0"/>
    <n v="546667.61"/>
    <x v="3067"/>
    <x v="1"/>
  </r>
  <r>
    <n v="78"/>
    <x v="2"/>
    <x v="5"/>
    <n v="3"/>
    <n v="2"/>
    <x v="0"/>
    <n v="411.19999999992302"/>
    <x v="1"/>
    <n v="251448.000000011"/>
    <n v="2000"/>
    <n v="200"/>
    <x v="0"/>
    <n v="601148.41"/>
    <x v="3068"/>
    <x v="1"/>
  </r>
  <r>
    <n v="79"/>
    <x v="2"/>
    <x v="5"/>
    <n v="3"/>
    <n v="2"/>
    <x v="0"/>
    <n v="394.20000000021099"/>
    <x v="1"/>
    <n v="178140.00000001301"/>
    <n v="2000"/>
    <n v="200"/>
    <x v="0"/>
    <n v="587067.61"/>
    <x v="3069"/>
    <x v="0"/>
  </r>
  <r>
    <n v="80"/>
    <x v="2"/>
    <x v="4"/>
    <n v="3"/>
    <n v="2"/>
    <x v="0"/>
    <n v="306.60000000004601"/>
    <x v="1"/>
    <n v="148730"/>
    <n v="2000"/>
    <n v="200"/>
    <x v="0"/>
    <n v="605547.61"/>
    <x v="3070"/>
    <x v="1"/>
  </r>
  <r>
    <n v="81"/>
    <x v="2"/>
    <x v="5"/>
    <n v="3"/>
    <n v="2"/>
    <x v="0"/>
    <n v="372.600000000389"/>
    <x v="1"/>
    <n v="307187.99999999598"/>
    <n v="2000"/>
    <n v="200"/>
    <x v="0"/>
    <n v="547868.01"/>
    <x v="3071"/>
    <x v="1"/>
  </r>
  <r>
    <n v="82"/>
    <x v="2"/>
    <x v="5"/>
    <n v="2"/>
    <n v="2"/>
    <x v="0"/>
    <n v="377.99999999990098"/>
    <x v="1"/>
    <n v="516832.99999999098"/>
    <n v="2000"/>
    <n v="200"/>
    <x v="0"/>
    <n v="606267.21"/>
    <x v="3072"/>
    <x v="1"/>
  </r>
  <r>
    <n v="83"/>
    <x v="2"/>
    <x v="6"/>
    <n v="2"/>
    <n v="2"/>
    <x v="0"/>
    <n v="451.20000000018501"/>
    <x v="1"/>
    <n v="413190.00000001403"/>
    <n v="2000"/>
    <n v="200"/>
    <x v="0"/>
    <n v="549627.61"/>
    <x v="3073"/>
    <x v="1"/>
  </r>
  <r>
    <n v="84"/>
    <x v="2"/>
    <x v="7"/>
    <n v="2"/>
    <n v="2"/>
    <x v="0"/>
    <n v="503.80000000060897"/>
    <x v="1"/>
    <n v="474711.999999983"/>
    <n v="2000"/>
    <n v="200"/>
    <x v="0"/>
    <n v="616427.61"/>
    <x v="3074"/>
    <x v="1"/>
  </r>
  <r>
    <n v="85"/>
    <x v="2"/>
    <x v="5"/>
    <n v="2"/>
    <n v="2"/>
    <x v="0"/>
    <n v="348.000000000326"/>
    <x v="1"/>
    <n v="608902.00000000105"/>
    <n v="2000"/>
    <n v="200"/>
    <x v="0"/>
    <n v="608748.01"/>
    <x v="3075"/>
    <x v="1"/>
  </r>
  <r>
    <n v="86"/>
    <x v="2"/>
    <x v="7"/>
    <n v="3"/>
    <n v="2"/>
    <x v="0"/>
    <n v="468.00000000004599"/>
    <x v="1"/>
    <n v="645299.00000002305"/>
    <n v="2000"/>
    <n v="200"/>
    <x v="0"/>
    <n v="562186.81000000006"/>
    <x v="3076"/>
    <x v="1"/>
  </r>
  <r>
    <n v="87"/>
    <x v="2"/>
    <x v="7"/>
    <n v="2"/>
    <n v="2"/>
    <x v="0"/>
    <n v="451.39999999968001"/>
    <x v="1"/>
    <n v="401485.00000000797"/>
    <n v="2000"/>
    <n v="200"/>
    <x v="0"/>
    <n v="616906.81000000006"/>
    <x v="3077"/>
    <x v="1"/>
  </r>
  <r>
    <n v="88"/>
    <x v="2"/>
    <x v="7"/>
    <n v="3"/>
    <n v="2"/>
    <x v="0"/>
    <n v="490.20000000048498"/>
    <x v="1"/>
    <n v="672093.99999998696"/>
    <n v="2000"/>
    <n v="200"/>
    <x v="0"/>
    <n v="551628.01"/>
    <x v="3078"/>
    <x v="1"/>
  </r>
  <r>
    <n v="89"/>
    <x v="2"/>
    <x v="4"/>
    <n v="3"/>
    <n v="2"/>
    <x v="0"/>
    <n v="266.39999999993302"/>
    <x v="1"/>
    <n v="186243.000000019"/>
    <n v="2000"/>
    <n v="200"/>
    <x v="0"/>
    <n v="542348.41"/>
    <x v="3079"/>
    <x v="1"/>
  </r>
  <r>
    <n v="90"/>
    <x v="2"/>
    <x v="5"/>
    <n v="2"/>
    <n v="2"/>
    <x v="0"/>
    <n v="335.79999999986399"/>
    <x v="1"/>
    <n v="399008.00000000902"/>
    <n v="2000"/>
    <n v="200"/>
    <x v="0"/>
    <n v="601388.41"/>
    <x v="3080"/>
    <x v="1"/>
  </r>
  <r>
    <n v="91"/>
    <x v="2"/>
    <x v="5"/>
    <n v="3"/>
    <n v="2"/>
    <x v="0"/>
    <n v="335.59999999930301"/>
    <x v="1"/>
    <n v="151079.00000001001"/>
    <n v="2000"/>
    <n v="200"/>
    <x v="0"/>
    <n v="543706.81000000006"/>
    <x v="3081"/>
    <x v="1"/>
  </r>
  <r>
    <n v="92"/>
    <x v="2"/>
    <x v="5"/>
    <n v="3"/>
    <n v="2"/>
    <x v="0"/>
    <n v="306.40000000019501"/>
    <x v="1"/>
    <n v="288912.000000011"/>
    <n v="2000"/>
    <n v="200"/>
    <x v="0"/>
    <n v="611707.21"/>
    <x v="3082"/>
    <x v="1"/>
  </r>
  <r>
    <n v="93"/>
    <x v="2"/>
    <x v="8"/>
    <n v="3"/>
    <n v="2"/>
    <x v="0"/>
    <n v="515.79999999979998"/>
    <x v="1"/>
    <n v="1416861.00000001"/>
    <n v="2000"/>
    <n v="200"/>
    <x v="0"/>
    <n v="577388.01"/>
    <x v="3083"/>
    <x v="1"/>
  </r>
  <r>
    <n v="94"/>
    <x v="2"/>
    <x v="7"/>
    <n v="2"/>
    <n v="2"/>
    <x v="0"/>
    <n v="446.600000000075"/>
    <x v="1"/>
    <n v="711301.00000002002"/>
    <n v="2000"/>
    <n v="200"/>
    <x v="0"/>
    <n v="550427.21"/>
    <x v="3084"/>
    <x v="1"/>
  </r>
  <r>
    <n v="95"/>
    <x v="2"/>
    <x v="9"/>
    <n v="2"/>
    <n v="2"/>
    <x v="0"/>
    <n v="605.60000000045"/>
    <x v="1"/>
    <n v="1174435.99999999"/>
    <n v="2000"/>
    <n v="200"/>
    <x v="0"/>
    <n v="618748.81000000006"/>
    <x v="3085"/>
    <x v="1"/>
  </r>
  <r>
    <n v="96"/>
    <x v="2"/>
    <x v="5"/>
    <n v="3"/>
    <n v="2"/>
    <x v="0"/>
    <n v="301.39999999967398"/>
    <x v="1"/>
    <n v="267707.00000000099"/>
    <n v="2000"/>
    <n v="200"/>
    <x v="0"/>
    <n v="605867.61"/>
    <x v="3086"/>
    <x v="1"/>
  </r>
  <r>
    <n v="97"/>
    <x v="2"/>
    <x v="6"/>
    <n v="3"/>
    <n v="2"/>
    <x v="0"/>
    <n v="374.59999999995802"/>
    <x v="1"/>
    <n v="460260.00000000501"/>
    <n v="2000"/>
    <n v="200"/>
    <x v="0"/>
    <n v="542746.81000000006"/>
    <x v="3087"/>
    <x v="1"/>
  </r>
  <r>
    <n v="98"/>
    <x v="2"/>
    <x v="7"/>
    <n v="3"/>
    <n v="2"/>
    <x v="0"/>
    <n v="496.19999999990199"/>
    <x v="1"/>
    <n v="385244"/>
    <n v="2000"/>
    <n v="200"/>
    <x v="0"/>
    <n v="600346.41"/>
    <x v="3088"/>
    <x v="1"/>
  </r>
  <r>
    <n v="99"/>
    <x v="2"/>
    <x v="8"/>
    <n v="2"/>
    <n v="2"/>
    <x v="0"/>
    <n v="500.59999999980698"/>
    <x v="1"/>
    <n v="2095169"/>
    <n v="2000"/>
    <n v="200"/>
    <x v="0"/>
    <n v="550428.41"/>
    <x v="3089"/>
    <x v="1"/>
  </r>
  <r>
    <n v="70"/>
    <x v="2"/>
    <x v="3"/>
    <n v="3"/>
    <n v="2"/>
    <x v="0"/>
    <n v="916.60000000004504"/>
    <x v="1"/>
    <n v="68301.999999988504"/>
    <n v="3000"/>
    <n v="20"/>
    <x v="0"/>
    <n v="270028.01"/>
    <x v="3000"/>
    <x v="0"/>
  </r>
  <r>
    <n v="71"/>
    <x v="2"/>
    <x v="4"/>
    <n v="2"/>
    <n v="2"/>
    <x v="0"/>
    <n v="840.79999999993095"/>
    <x v="1"/>
    <n v="212421.000000006"/>
    <n v="3000"/>
    <n v="20"/>
    <x v="0"/>
    <n v="311070.01"/>
    <x v="3001"/>
    <x v="1"/>
  </r>
  <r>
    <n v="72"/>
    <x v="2"/>
    <x v="4"/>
    <n v="2"/>
    <n v="2"/>
    <x v="0"/>
    <n v="686.80000000043196"/>
    <x v="1"/>
    <n v="262078.00000000201"/>
    <n v="3000"/>
    <n v="20"/>
    <x v="0"/>
    <n v="369268.01"/>
    <x v="3002"/>
    <x v="1"/>
  </r>
  <r>
    <n v="73"/>
    <x v="2"/>
    <x v="4"/>
    <n v="3"/>
    <n v="2"/>
    <x v="0"/>
    <n v="696.99999999990303"/>
    <x v="1"/>
    <n v="220828.999999981"/>
    <n v="3000"/>
    <n v="20"/>
    <x v="0"/>
    <n v="272188.40999999997"/>
    <x v="3003"/>
    <x v="1"/>
  </r>
  <r>
    <n v="74"/>
    <x v="2"/>
    <x v="6"/>
    <n v="3"/>
    <n v="2"/>
    <x v="0"/>
    <n v="767.00000000009504"/>
    <x v="1"/>
    <n v="641922.99999999104"/>
    <n v="3000"/>
    <n v="20"/>
    <x v="0"/>
    <n v="349468.81"/>
    <x v="3004"/>
    <x v="1"/>
  </r>
  <r>
    <n v="75"/>
    <x v="2"/>
    <x v="4"/>
    <n v="3"/>
    <n v="2"/>
    <x v="0"/>
    <n v="442.80000000007601"/>
    <x v="1"/>
    <n v="188826.000000006"/>
    <n v="3000"/>
    <n v="20"/>
    <x v="0"/>
    <n v="352229.21"/>
    <x v="3005"/>
    <x v="1"/>
  </r>
  <r>
    <n v="76"/>
    <x v="2"/>
    <x v="5"/>
    <n v="3"/>
    <n v="2"/>
    <x v="0"/>
    <n v="657.20000000020195"/>
    <x v="1"/>
    <n v="207245"/>
    <n v="3000"/>
    <n v="20"/>
    <x v="0"/>
    <n v="279028.81"/>
    <x v="3006"/>
    <x v="1"/>
  </r>
  <r>
    <n v="77"/>
    <x v="2"/>
    <x v="5"/>
    <n v="3"/>
    <n v="2"/>
    <x v="0"/>
    <n v="517.59999999951799"/>
    <x v="1"/>
    <n v="554278.99999997998"/>
    <n v="3000"/>
    <n v="20"/>
    <x v="0"/>
    <n v="270388.01"/>
    <x v="3007"/>
    <x v="1"/>
  </r>
  <r>
    <n v="78"/>
    <x v="2"/>
    <x v="5"/>
    <n v="3"/>
    <n v="2"/>
    <x v="0"/>
    <n v="411.19999999992302"/>
    <x v="1"/>
    <n v="251448.000000011"/>
    <n v="3000"/>
    <n v="20"/>
    <x v="0"/>
    <n v="352108.81"/>
    <x v="3008"/>
    <x v="1"/>
  </r>
  <r>
    <n v="79"/>
    <x v="2"/>
    <x v="5"/>
    <n v="3"/>
    <n v="2"/>
    <x v="0"/>
    <n v="394.20000000021099"/>
    <x v="1"/>
    <n v="178140.00000001301"/>
    <n v="3000"/>
    <n v="20"/>
    <x v="0"/>
    <n v="330988.01"/>
    <x v="3009"/>
    <x v="0"/>
  </r>
  <r>
    <n v="80"/>
    <x v="2"/>
    <x v="4"/>
    <n v="3"/>
    <n v="2"/>
    <x v="0"/>
    <n v="306.60000000004601"/>
    <x v="1"/>
    <n v="148730"/>
    <n v="3000"/>
    <n v="20"/>
    <x v="0"/>
    <n v="358708.01"/>
    <x v="3010"/>
    <x v="1"/>
  </r>
  <r>
    <n v="81"/>
    <x v="2"/>
    <x v="5"/>
    <n v="3"/>
    <n v="2"/>
    <x v="0"/>
    <n v="372.600000000389"/>
    <x v="1"/>
    <n v="307187.99999999598"/>
    <n v="3000"/>
    <n v="20"/>
    <x v="0"/>
    <n v="272188.40999999997"/>
    <x v="3011"/>
    <x v="1"/>
  </r>
  <r>
    <n v="82"/>
    <x v="2"/>
    <x v="5"/>
    <n v="2"/>
    <n v="2"/>
    <x v="0"/>
    <n v="377.99999999990098"/>
    <x v="1"/>
    <n v="516832.99999999098"/>
    <n v="3000"/>
    <n v="20"/>
    <x v="0"/>
    <n v="359787.61"/>
    <x v="3012"/>
    <x v="1"/>
  </r>
  <r>
    <n v="83"/>
    <x v="2"/>
    <x v="6"/>
    <n v="2"/>
    <n v="2"/>
    <x v="0"/>
    <n v="451.20000000018501"/>
    <x v="1"/>
    <n v="413190.00000001403"/>
    <n v="3000"/>
    <n v="20"/>
    <x v="0"/>
    <n v="274828.01"/>
    <x v="3013"/>
    <x v="1"/>
  </r>
  <r>
    <n v="84"/>
    <x v="2"/>
    <x v="7"/>
    <n v="2"/>
    <n v="2"/>
    <x v="0"/>
    <n v="503.80000000060897"/>
    <x v="1"/>
    <n v="474711.999999983"/>
    <n v="3000"/>
    <n v="20"/>
    <x v="0"/>
    <n v="375028.01"/>
    <x v="3014"/>
    <x v="1"/>
  </r>
  <r>
    <n v="85"/>
    <x v="2"/>
    <x v="5"/>
    <n v="2"/>
    <n v="2"/>
    <x v="0"/>
    <n v="348.000000000326"/>
    <x v="1"/>
    <n v="608902.00000000105"/>
    <n v="3000"/>
    <n v="20"/>
    <x v="0"/>
    <n v="363508.41"/>
    <x v="3015"/>
    <x v="1"/>
  </r>
  <r>
    <n v="86"/>
    <x v="2"/>
    <x v="7"/>
    <n v="3"/>
    <n v="2"/>
    <x v="0"/>
    <n v="468.00000000004599"/>
    <x v="1"/>
    <n v="645299.00000002305"/>
    <n v="3000"/>
    <n v="20"/>
    <x v="0"/>
    <n v="293667.21000000002"/>
    <x v="3016"/>
    <x v="1"/>
  </r>
  <r>
    <n v="87"/>
    <x v="2"/>
    <x v="7"/>
    <n v="2"/>
    <n v="2"/>
    <x v="0"/>
    <n v="451.39999999968001"/>
    <x v="1"/>
    <n v="401485.00000000797"/>
    <n v="3000"/>
    <n v="20"/>
    <x v="0"/>
    <n v="375747.21"/>
    <x v="3017"/>
    <x v="1"/>
  </r>
  <r>
    <n v="88"/>
    <x v="2"/>
    <x v="7"/>
    <n v="3"/>
    <n v="2"/>
    <x v="0"/>
    <n v="490.20000000048498"/>
    <x v="1"/>
    <n v="672093.99999998696"/>
    <n v="3000"/>
    <n v="20"/>
    <x v="0"/>
    <n v="277828.40999999997"/>
    <x v="3018"/>
    <x v="1"/>
  </r>
  <r>
    <n v="89"/>
    <x v="2"/>
    <x v="4"/>
    <n v="3"/>
    <n v="2"/>
    <x v="0"/>
    <n v="266.39999999993302"/>
    <x v="1"/>
    <n v="186243.000000019"/>
    <n v="3000"/>
    <n v="20"/>
    <x v="0"/>
    <n v="263908.40999999997"/>
    <x v="3019"/>
    <x v="1"/>
  </r>
  <r>
    <n v="90"/>
    <x v="2"/>
    <x v="5"/>
    <n v="2"/>
    <n v="2"/>
    <x v="0"/>
    <n v="335.79999999986399"/>
    <x v="1"/>
    <n v="399008.00000000902"/>
    <n v="3000"/>
    <n v="20"/>
    <x v="0"/>
    <n v="352468.81"/>
    <x v="3020"/>
    <x v="1"/>
  </r>
  <r>
    <n v="91"/>
    <x v="2"/>
    <x v="5"/>
    <n v="3"/>
    <n v="2"/>
    <x v="0"/>
    <n v="335.59999999930301"/>
    <x v="1"/>
    <n v="151079.00000001001"/>
    <n v="3000"/>
    <n v="20"/>
    <x v="0"/>
    <n v="265947.61"/>
    <x v="3021"/>
    <x v="1"/>
  </r>
  <r>
    <n v="92"/>
    <x v="2"/>
    <x v="5"/>
    <n v="3"/>
    <n v="2"/>
    <x v="0"/>
    <n v="306.40000000019501"/>
    <x v="1"/>
    <n v="288912.000000011"/>
    <n v="3000"/>
    <n v="20"/>
    <x v="0"/>
    <n v="367947.61"/>
    <x v="3022"/>
    <x v="1"/>
  </r>
  <r>
    <n v="93"/>
    <x v="2"/>
    <x v="8"/>
    <n v="3"/>
    <n v="2"/>
    <x v="0"/>
    <n v="515.79999999979998"/>
    <x v="1"/>
    <n v="1416861.00000001"/>
    <n v="3000"/>
    <n v="20"/>
    <x v="0"/>
    <n v="316468.40999999997"/>
    <x v="3023"/>
    <x v="1"/>
  </r>
  <r>
    <n v="94"/>
    <x v="2"/>
    <x v="7"/>
    <n v="2"/>
    <n v="2"/>
    <x v="0"/>
    <n v="446.600000000075"/>
    <x v="1"/>
    <n v="711301.00000002002"/>
    <n v="3000"/>
    <n v="20"/>
    <x v="0"/>
    <n v="276027.61"/>
    <x v="3024"/>
    <x v="1"/>
  </r>
  <r>
    <n v="95"/>
    <x v="2"/>
    <x v="9"/>
    <n v="2"/>
    <n v="2"/>
    <x v="0"/>
    <n v="605.60000000045"/>
    <x v="1"/>
    <n v="1174435.99999999"/>
    <n v="3000"/>
    <n v="20"/>
    <x v="0"/>
    <n v="378508.81"/>
    <x v="3025"/>
    <x v="1"/>
  </r>
  <r>
    <n v="96"/>
    <x v="2"/>
    <x v="5"/>
    <n v="3"/>
    <n v="2"/>
    <x v="0"/>
    <n v="301.39999999967398"/>
    <x v="1"/>
    <n v="267707.00000000099"/>
    <n v="3000"/>
    <n v="20"/>
    <x v="0"/>
    <n v="359188.01"/>
    <x v="3026"/>
    <x v="1"/>
  </r>
  <r>
    <n v="97"/>
    <x v="2"/>
    <x v="6"/>
    <n v="3"/>
    <n v="2"/>
    <x v="0"/>
    <n v="374.59999999995802"/>
    <x v="1"/>
    <n v="460260.00000000501"/>
    <n v="3000"/>
    <n v="20"/>
    <x v="0"/>
    <n v="264507.21000000002"/>
    <x v="3027"/>
    <x v="1"/>
  </r>
  <r>
    <n v="98"/>
    <x v="2"/>
    <x v="7"/>
    <n v="3"/>
    <n v="2"/>
    <x v="0"/>
    <n v="496.19999999990199"/>
    <x v="1"/>
    <n v="385244"/>
    <n v="3000"/>
    <n v="20"/>
    <x v="0"/>
    <n v="350907.21"/>
    <x v="3028"/>
    <x v="1"/>
  </r>
  <r>
    <n v="99"/>
    <x v="2"/>
    <x v="8"/>
    <n v="2"/>
    <n v="2"/>
    <x v="0"/>
    <n v="500.59999999980698"/>
    <x v="1"/>
    <n v="2095169"/>
    <n v="3000"/>
    <n v="20"/>
    <x v="0"/>
    <n v="276028.81"/>
    <x v="3029"/>
    <x v="1"/>
  </r>
  <r>
    <n v="70"/>
    <x v="2"/>
    <x v="3"/>
    <n v="3"/>
    <n v="2"/>
    <x v="0"/>
    <n v="916.60000000004504"/>
    <x v="1"/>
    <n v="68301.999999988504"/>
    <n v="3000"/>
    <n v="100"/>
    <x v="0"/>
    <n v="510027.61"/>
    <x v="3090"/>
    <x v="1"/>
  </r>
  <r>
    <n v="71"/>
    <x v="2"/>
    <x v="4"/>
    <n v="2"/>
    <n v="2"/>
    <x v="0"/>
    <n v="840.79999999993095"/>
    <x v="1"/>
    <n v="212421.000000006"/>
    <n v="3000"/>
    <n v="100"/>
    <x v="0"/>
    <n v="551069.61"/>
    <x v="3091"/>
    <x v="1"/>
  </r>
  <r>
    <n v="72"/>
    <x v="2"/>
    <x v="4"/>
    <n v="2"/>
    <n v="2"/>
    <x v="0"/>
    <n v="686.80000000043196"/>
    <x v="1"/>
    <n v="262078.00000000201"/>
    <n v="3000"/>
    <n v="100"/>
    <x v="0"/>
    <n v="609267.61"/>
    <x v="3092"/>
    <x v="1"/>
  </r>
  <r>
    <n v="73"/>
    <x v="2"/>
    <x v="4"/>
    <n v="3"/>
    <n v="2"/>
    <x v="0"/>
    <n v="696.99999999990303"/>
    <x v="1"/>
    <n v="220828.999999981"/>
    <n v="3000"/>
    <n v="100"/>
    <x v="0"/>
    <n v="512188.01"/>
    <x v="3093"/>
    <x v="1"/>
  </r>
  <r>
    <n v="74"/>
    <x v="2"/>
    <x v="6"/>
    <n v="3"/>
    <n v="2"/>
    <x v="0"/>
    <n v="767.00000000009504"/>
    <x v="1"/>
    <n v="641922.99999999104"/>
    <n v="3000"/>
    <n v="100"/>
    <x v="0"/>
    <n v="589468.41"/>
    <x v="3094"/>
    <x v="1"/>
  </r>
  <r>
    <n v="75"/>
    <x v="2"/>
    <x v="4"/>
    <n v="3"/>
    <n v="2"/>
    <x v="0"/>
    <n v="442.80000000007601"/>
    <x v="1"/>
    <n v="188826.000000006"/>
    <n v="3000"/>
    <n v="100"/>
    <x v="0"/>
    <n v="592228.81000000006"/>
    <x v="3095"/>
    <x v="1"/>
  </r>
  <r>
    <n v="76"/>
    <x v="2"/>
    <x v="5"/>
    <n v="3"/>
    <n v="2"/>
    <x v="0"/>
    <n v="657.20000000020195"/>
    <x v="1"/>
    <n v="207245"/>
    <n v="3000"/>
    <n v="100"/>
    <x v="0"/>
    <n v="519028.41"/>
    <x v="3096"/>
    <x v="1"/>
  </r>
  <r>
    <n v="77"/>
    <x v="2"/>
    <x v="5"/>
    <n v="3"/>
    <n v="2"/>
    <x v="0"/>
    <n v="517.59999999951799"/>
    <x v="1"/>
    <n v="554278.99999997998"/>
    <n v="3000"/>
    <n v="100"/>
    <x v="0"/>
    <n v="510387.61"/>
    <x v="3097"/>
    <x v="1"/>
  </r>
  <r>
    <n v="78"/>
    <x v="2"/>
    <x v="5"/>
    <n v="3"/>
    <n v="2"/>
    <x v="0"/>
    <n v="411.19999999992302"/>
    <x v="1"/>
    <n v="251448.000000011"/>
    <n v="3000"/>
    <n v="100"/>
    <x v="0"/>
    <n v="592108.41"/>
    <x v="3098"/>
    <x v="1"/>
  </r>
  <r>
    <n v="79"/>
    <x v="2"/>
    <x v="5"/>
    <n v="3"/>
    <n v="2"/>
    <x v="0"/>
    <n v="394.20000000021099"/>
    <x v="1"/>
    <n v="178140.00000001301"/>
    <n v="3000"/>
    <n v="100"/>
    <x v="0"/>
    <n v="570987.61"/>
    <x v="3099"/>
    <x v="1"/>
  </r>
  <r>
    <n v="80"/>
    <x v="2"/>
    <x v="4"/>
    <n v="3"/>
    <n v="2"/>
    <x v="0"/>
    <n v="306.60000000004601"/>
    <x v="1"/>
    <n v="148730"/>
    <n v="3000"/>
    <n v="100"/>
    <x v="0"/>
    <n v="598707.61"/>
    <x v="3100"/>
    <x v="1"/>
  </r>
  <r>
    <n v="81"/>
    <x v="2"/>
    <x v="5"/>
    <n v="3"/>
    <n v="2"/>
    <x v="0"/>
    <n v="372.600000000389"/>
    <x v="1"/>
    <n v="307187.99999999598"/>
    <n v="3000"/>
    <n v="100"/>
    <x v="0"/>
    <n v="512188.01"/>
    <x v="3101"/>
    <x v="1"/>
  </r>
  <r>
    <n v="82"/>
    <x v="2"/>
    <x v="5"/>
    <n v="2"/>
    <n v="2"/>
    <x v="0"/>
    <n v="377.99999999990098"/>
    <x v="1"/>
    <n v="516832.99999999098"/>
    <n v="3000"/>
    <n v="100"/>
    <x v="0"/>
    <n v="599787.21"/>
    <x v="3102"/>
    <x v="1"/>
  </r>
  <r>
    <n v="83"/>
    <x v="2"/>
    <x v="6"/>
    <n v="2"/>
    <n v="2"/>
    <x v="0"/>
    <n v="451.20000000018501"/>
    <x v="1"/>
    <n v="413190.00000001403"/>
    <n v="3000"/>
    <n v="100"/>
    <x v="0"/>
    <n v="514827.61"/>
    <x v="3103"/>
    <x v="1"/>
  </r>
  <r>
    <n v="84"/>
    <x v="2"/>
    <x v="7"/>
    <n v="2"/>
    <n v="2"/>
    <x v="0"/>
    <n v="503.80000000060897"/>
    <x v="1"/>
    <n v="474711.999999983"/>
    <n v="3000"/>
    <n v="100"/>
    <x v="0"/>
    <n v="615027.61"/>
    <x v="3104"/>
    <x v="1"/>
  </r>
  <r>
    <n v="85"/>
    <x v="2"/>
    <x v="5"/>
    <n v="2"/>
    <n v="2"/>
    <x v="0"/>
    <n v="348.000000000326"/>
    <x v="1"/>
    <n v="608902.00000000105"/>
    <n v="3000"/>
    <n v="100"/>
    <x v="0"/>
    <n v="603508.01"/>
    <x v="3105"/>
    <x v="1"/>
  </r>
  <r>
    <n v="86"/>
    <x v="2"/>
    <x v="7"/>
    <n v="3"/>
    <n v="2"/>
    <x v="0"/>
    <n v="468.00000000004599"/>
    <x v="1"/>
    <n v="645299.00000002305"/>
    <n v="3000"/>
    <n v="100"/>
    <x v="0"/>
    <n v="533666.81000000006"/>
    <x v="3106"/>
    <x v="1"/>
  </r>
  <r>
    <n v="87"/>
    <x v="2"/>
    <x v="7"/>
    <n v="2"/>
    <n v="2"/>
    <x v="0"/>
    <n v="451.39999999968001"/>
    <x v="1"/>
    <n v="401485.00000000797"/>
    <n v="3000"/>
    <n v="100"/>
    <x v="0"/>
    <n v="615746.81000000006"/>
    <x v="3107"/>
    <x v="1"/>
  </r>
  <r>
    <n v="88"/>
    <x v="2"/>
    <x v="7"/>
    <n v="3"/>
    <n v="2"/>
    <x v="0"/>
    <n v="490.20000000048498"/>
    <x v="1"/>
    <n v="672093.99999998696"/>
    <n v="3000"/>
    <n v="100"/>
    <x v="0"/>
    <n v="517828.01"/>
    <x v="3108"/>
    <x v="1"/>
  </r>
  <r>
    <n v="89"/>
    <x v="2"/>
    <x v="4"/>
    <n v="3"/>
    <n v="2"/>
    <x v="0"/>
    <n v="266.39999999993302"/>
    <x v="1"/>
    <n v="186243.000000019"/>
    <n v="3000"/>
    <n v="100"/>
    <x v="0"/>
    <n v="503908.41"/>
    <x v="3109"/>
    <x v="1"/>
  </r>
  <r>
    <n v="90"/>
    <x v="2"/>
    <x v="5"/>
    <n v="2"/>
    <n v="2"/>
    <x v="0"/>
    <n v="335.79999999986399"/>
    <x v="1"/>
    <n v="399008.00000000902"/>
    <n v="3000"/>
    <n v="100"/>
    <x v="0"/>
    <n v="592468.41"/>
    <x v="3110"/>
    <x v="1"/>
  </r>
  <r>
    <n v="91"/>
    <x v="2"/>
    <x v="5"/>
    <n v="3"/>
    <n v="2"/>
    <x v="0"/>
    <n v="335.59999999930301"/>
    <x v="1"/>
    <n v="151079.00000001001"/>
    <n v="3000"/>
    <n v="100"/>
    <x v="0"/>
    <n v="505946.81"/>
    <x v="3111"/>
    <x v="1"/>
  </r>
  <r>
    <n v="92"/>
    <x v="2"/>
    <x v="5"/>
    <n v="3"/>
    <n v="2"/>
    <x v="0"/>
    <n v="306.40000000019501"/>
    <x v="1"/>
    <n v="288912.000000011"/>
    <n v="3000"/>
    <n v="100"/>
    <x v="0"/>
    <n v="607947.21"/>
    <x v="3112"/>
    <x v="1"/>
  </r>
  <r>
    <n v="93"/>
    <x v="2"/>
    <x v="8"/>
    <n v="3"/>
    <n v="2"/>
    <x v="0"/>
    <n v="515.79999999979998"/>
    <x v="1"/>
    <n v="1416861.00000001"/>
    <n v="3000"/>
    <n v="100"/>
    <x v="0"/>
    <n v="556468.01"/>
    <x v="3113"/>
    <x v="1"/>
  </r>
  <r>
    <n v="94"/>
    <x v="2"/>
    <x v="7"/>
    <n v="2"/>
    <n v="2"/>
    <x v="0"/>
    <n v="446.600000000075"/>
    <x v="1"/>
    <n v="711301.00000002002"/>
    <n v="3000"/>
    <n v="100"/>
    <x v="0"/>
    <n v="516027.21"/>
    <x v="3114"/>
    <x v="1"/>
  </r>
  <r>
    <n v="95"/>
    <x v="2"/>
    <x v="9"/>
    <n v="2"/>
    <n v="2"/>
    <x v="0"/>
    <n v="605.60000000045"/>
    <x v="1"/>
    <n v="1174435.99999999"/>
    <n v="3000"/>
    <n v="100"/>
    <x v="0"/>
    <n v="618508.41"/>
    <x v="3115"/>
    <x v="1"/>
  </r>
  <r>
    <n v="96"/>
    <x v="2"/>
    <x v="5"/>
    <n v="3"/>
    <n v="2"/>
    <x v="0"/>
    <n v="301.39999999967398"/>
    <x v="1"/>
    <n v="267707.00000000099"/>
    <n v="3000"/>
    <n v="100"/>
    <x v="0"/>
    <n v="599187.61"/>
    <x v="3116"/>
    <x v="1"/>
  </r>
  <r>
    <n v="97"/>
    <x v="2"/>
    <x v="6"/>
    <n v="3"/>
    <n v="2"/>
    <x v="0"/>
    <n v="374.59999999995802"/>
    <x v="1"/>
    <n v="460260.00000000501"/>
    <n v="3000"/>
    <n v="100"/>
    <x v="0"/>
    <n v="504506.81"/>
    <x v="3117"/>
    <x v="1"/>
  </r>
  <r>
    <n v="98"/>
    <x v="2"/>
    <x v="7"/>
    <n v="3"/>
    <n v="2"/>
    <x v="0"/>
    <n v="496.19999999990199"/>
    <x v="1"/>
    <n v="385244"/>
    <n v="3000"/>
    <n v="100"/>
    <x v="0"/>
    <n v="590906.81000000006"/>
    <x v="3118"/>
    <x v="1"/>
  </r>
  <r>
    <n v="99"/>
    <x v="2"/>
    <x v="8"/>
    <n v="2"/>
    <n v="2"/>
    <x v="0"/>
    <n v="500.59999999980698"/>
    <x v="1"/>
    <n v="2095169"/>
    <n v="3000"/>
    <n v="100"/>
    <x v="0"/>
    <n v="516028.41"/>
    <x v="3119"/>
    <x v="1"/>
  </r>
  <r>
    <n v="70"/>
    <x v="2"/>
    <x v="3"/>
    <n v="3"/>
    <n v="2"/>
    <x v="0"/>
    <n v="916.60000000004504"/>
    <x v="1"/>
    <n v="68301.999999988504"/>
    <n v="5000"/>
    <n v="20"/>
    <x v="0"/>
    <n v="437228.01"/>
    <x v="3120"/>
    <x v="1"/>
  </r>
  <r>
    <n v="71"/>
    <x v="2"/>
    <x v="4"/>
    <n v="2"/>
    <n v="2"/>
    <x v="0"/>
    <n v="840.79999999993095"/>
    <x v="1"/>
    <n v="212421.000000006"/>
    <n v="5000"/>
    <n v="20"/>
    <x v="0"/>
    <n v="505630.01"/>
    <x v="3121"/>
    <x v="1"/>
  </r>
  <r>
    <n v="72"/>
    <x v="2"/>
    <x v="4"/>
    <n v="2"/>
    <n v="2"/>
    <x v="0"/>
    <n v="686.80000000043196"/>
    <x v="1"/>
    <n v="262078.00000000201"/>
    <n v="5000"/>
    <n v="20"/>
    <x v="0"/>
    <n v="602628.01"/>
    <x v="3122"/>
    <x v="1"/>
  </r>
  <r>
    <n v="73"/>
    <x v="2"/>
    <x v="4"/>
    <n v="3"/>
    <n v="2"/>
    <x v="0"/>
    <n v="696.99999999990303"/>
    <x v="1"/>
    <n v="220828.999999981"/>
    <n v="5000"/>
    <n v="20"/>
    <x v="0"/>
    <n v="440828.41"/>
    <x v="3123"/>
    <x v="1"/>
  </r>
  <r>
    <n v="74"/>
    <x v="2"/>
    <x v="6"/>
    <n v="3"/>
    <n v="2"/>
    <x v="0"/>
    <n v="767.00000000009504"/>
    <x v="1"/>
    <n v="641922.99999999104"/>
    <n v="5000"/>
    <n v="20"/>
    <x v="0"/>
    <n v="569628.81000000006"/>
    <x v="3124"/>
    <x v="1"/>
  </r>
  <r>
    <n v="75"/>
    <x v="2"/>
    <x v="4"/>
    <n v="3"/>
    <n v="2"/>
    <x v="0"/>
    <n v="442.80000000007601"/>
    <x v="1"/>
    <n v="188826.000000006"/>
    <n v="5000"/>
    <n v="20"/>
    <x v="0"/>
    <n v="574229.21"/>
    <x v="3125"/>
    <x v="1"/>
  </r>
  <r>
    <n v="76"/>
    <x v="2"/>
    <x v="5"/>
    <n v="3"/>
    <n v="2"/>
    <x v="0"/>
    <n v="657.20000000020195"/>
    <x v="1"/>
    <n v="207245"/>
    <n v="5000"/>
    <n v="20"/>
    <x v="0"/>
    <n v="452228.81"/>
    <x v="3126"/>
    <x v="1"/>
  </r>
  <r>
    <n v="77"/>
    <x v="2"/>
    <x v="5"/>
    <n v="3"/>
    <n v="2"/>
    <x v="0"/>
    <n v="517.59999999951799"/>
    <x v="1"/>
    <n v="554278.99999997998"/>
    <n v="5000"/>
    <n v="20"/>
    <x v="0"/>
    <n v="437828.01"/>
    <x v="3127"/>
    <x v="1"/>
  </r>
  <r>
    <n v="78"/>
    <x v="2"/>
    <x v="5"/>
    <n v="3"/>
    <n v="2"/>
    <x v="0"/>
    <n v="411.19999999992302"/>
    <x v="1"/>
    <n v="251448.000000011"/>
    <n v="5000"/>
    <n v="20"/>
    <x v="0"/>
    <n v="574028.81000000006"/>
    <x v="3128"/>
    <x v="1"/>
  </r>
  <r>
    <n v="79"/>
    <x v="2"/>
    <x v="5"/>
    <n v="3"/>
    <n v="2"/>
    <x v="0"/>
    <n v="394.20000000021099"/>
    <x v="1"/>
    <n v="178140.00000001301"/>
    <n v="5000"/>
    <n v="20"/>
    <x v="0"/>
    <n v="538828.01"/>
    <x v="3129"/>
    <x v="1"/>
  </r>
  <r>
    <n v="80"/>
    <x v="2"/>
    <x v="4"/>
    <n v="3"/>
    <n v="2"/>
    <x v="0"/>
    <n v="306.60000000004601"/>
    <x v="1"/>
    <n v="148730"/>
    <n v="5000"/>
    <n v="20"/>
    <x v="0"/>
    <n v="585028.01"/>
    <x v="3130"/>
    <x v="1"/>
  </r>
  <r>
    <n v="81"/>
    <x v="2"/>
    <x v="5"/>
    <n v="3"/>
    <n v="2"/>
    <x v="0"/>
    <n v="372.600000000389"/>
    <x v="1"/>
    <n v="307187.99999999598"/>
    <n v="5000"/>
    <n v="20"/>
    <x v="0"/>
    <n v="440828.41"/>
    <x v="3131"/>
    <x v="1"/>
  </r>
  <r>
    <n v="82"/>
    <x v="2"/>
    <x v="5"/>
    <n v="2"/>
    <n v="2"/>
    <x v="0"/>
    <n v="377.99999999990098"/>
    <x v="1"/>
    <n v="516832.99999999098"/>
    <n v="5000"/>
    <n v="20"/>
    <x v="0"/>
    <n v="586827.61"/>
    <x v="3132"/>
    <x v="1"/>
  </r>
  <r>
    <n v="83"/>
    <x v="2"/>
    <x v="6"/>
    <n v="2"/>
    <n v="2"/>
    <x v="0"/>
    <n v="451.20000000018501"/>
    <x v="1"/>
    <n v="413190.00000001403"/>
    <n v="5000"/>
    <n v="20"/>
    <x v="0"/>
    <n v="445228.01"/>
    <x v="3133"/>
    <x v="1"/>
  </r>
  <r>
    <n v="84"/>
    <x v="2"/>
    <x v="7"/>
    <n v="2"/>
    <n v="2"/>
    <x v="0"/>
    <n v="503.80000000060897"/>
    <x v="1"/>
    <n v="474711.999999983"/>
    <n v="5000"/>
    <n v="20"/>
    <x v="0"/>
    <n v="612228.01"/>
    <x v="3134"/>
    <x v="1"/>
  </r>
  <r>
    <n v="85"/>
    <x v="2"/>
    <x v="5"/>
    <n v="2"/>
    <n v="2"/>
    <x v="0"/>
    <n v="348.000000000326"/>
    <x v="1"/>
    <n v="608902.00000000105"/>
    <n v="5000"/>
    <n v="20"/>
    <x v="0"/>
    <n v="593028.41"/>
    <x v="3135"/>
    <x v="1"/>
  </r>
  <r>
    <n v="86"/>
    <x v="2"/>
    <x v="7"/>
    <n v="3"/>
    <n v="2"/>
    <x v="0"/>
    <n v="468.00000000004599"/>
    <x v="1"/>
    <n v="645299.00000002305"/>
    <n v="5000"/>
    <n v="20"/>
    <x v="0"/>
    <n v="476627.21"/>
    <x v="3136"/>
    <x v="1"/>
  </r>
  <r>
    <n v="87"/>
    <x v="2"/>
    <x v="7"/>
    <n v="2"/>
    <n v="2"/>
    <x v="0"/>
    <n v="451.39999999968001"/>
    <x v="1"/>
    <n v="401485.00000000797"/>
    <n v="5000"/>
    <n v="20"/>
    <x v="0"/>
    <n v="613427.21"/>
    <x v="3137"/>
    <x v="1"/>
  </r>
  <r>
    <n v="88"/>
    <x v="2"/>
    <x v="7"/>
    <n v="3"/>
    <n v="2"/>
    <x v="0"/>
    <n v="490.20000000048498"/>
    <x v="1"/>
    <n v="672093.99999998696"/>
    <n v="5000"/>
    <n v="20"/>
    <x v="0"/>
    <n v="450228.41"/>
    <x v="3138"/>
    <x v="1"/>
  </r>
  <r>
    <n v="89"/>
    <x v="2"/>
    <x v="4"/>
    <n v="3"/>
    <n v="2"/>
    <x v="0"/>
    <n v="266.39999999993302"/>
    <x v="1"/>
    <n v="186243.000000019"/>
    <n v="5000"/>
    <n v="20"/>
    <x v="0"/>
    <n v="427028.41"/>
    <x v="3139"/>
    <x v="1"/>
  </r>
  <r>
    <n v="90"/>
    <x v="2"/>
    <x v="5"/>
    <n v="2"/>
    <n v="2"/>
    <x v="0"/>
    <n v="335.79999999986399"/>
    <x v="1"/>
    <n v="399008.00000000902"/>
    <n v="5000"/>
    <n v="20"/>
    <x v="0"/>
    <n v="574628.81000000006"/>
    <x v="3140"/>
    <x v="1"/>
  </r>
  <r>
    <n v="91"/>
    <x v="2"/>
    <x v="5"/>
    <n v="3"/>
    <n v="2"/>
    <x v="0"/>
    <n v="335.59999999930301"/>
    <x v="1"/>
    <n v="151079.00000001001"/>
    <n v="5000"/>
    <n v="20"/>
    <x v="0"/>
    <n v="430427.61"/>
    <x v="3141"/>
    <x v="1"/>
  </r>
  <r>
    <n v="92"/>
    <x v="2"/>
    <x v="5"/>
    <n v="3"/>
    <n v="2"/>
    <x v="0"/>
    <n v="306.40000000019501"/>
    <x v="1"/>
    <n v="288912.000000011"/>
    <n v="5000"/>
    <n v="20"/>
    <x v="0"/>
    <n v="600427.61"/>
    <x v="3142"/>
    <x v="1"/>
  </r>
  <r>
    <n v="93"/>
    <x v="2"/>
    <x v="8"/>
    <n v="3"/>
    <n v="2"/>
    <x v="0"/>
    <n v="515.79999999979998"/>
    <x v="1"/>
    <n v="1416861.00000001"/>
    <n v="5000"/>
    <n v="20"/>
    <x v="0"/>
    <n v="514628.41"/>
    <x v="3143"/>
    <x v="1"/>
  </r>
  <r>
    <n v="94"/>
    <x v="2"/>
    <x v="7"/>
    <n v="2"/>
    <n v="2"/>
    <x v="0"/>
    <n v="446.600000000075"/>
    <x v="1"/>
    <n v="711301.00000002002"/>
    <n v="5000"/>
    <n v="20"/>
    <x v="0"/>
    <n v="447227.61"/>
    <x v="3144"/>
    <x v="1"/>
  </r>
  <r>
    <n v="95"/>
    <x v="2"/>
    <x v="9"/>
    <n v="2"/>
    <n v="2"/>
    <x v="0"/>
    <n v="605.60000000045"/>
    <x v="1"/>
    <n v="1174435.99999999"/>
    <n v="5000"/>
    <n v="20"/>
    <x v="0"/>
    <n v="618028.81000000006"/>
    <x v="3145"/>
    <x v="1"/>
  </r>
  <r>
    <n v="96"/>
    <x v="2"/>
    <x v="5"/>
    <n v="3"/>
    <n v="2"/>
    <x v="0"/>
    <n v="301.39999999967398"/>
    <x v="1"/>
    <n v="267707.00000000099"/>
    <n v="5000"/>
    <n v="20"/>
    <x v="0"/>
    <n v="585828.01"/>
    <x v="3146"/>
    <x v="1"/>
  </r>
  <r>
    <n v="97"/>
    <x v="2"/>
    <x v="6"/>
    <n v="3"/>
    <n v="2"/>
    <x v="0"/>
    <n v="374.59999999995802"/>
    <x v="1"/>
    <n v="460260.00000000501"/>
    <n v="5000"/>
    <n v="20"/>
    <x v="0"/>
    <n v="428027.21"/>
    <x v="3147"/>
    <x v="1"/>
  </r>
  <r>
    <n v="98"/>
    <x v="2"/>
    <x v="7"/>
    <n v="3"/>
    <n v="2"/>
    <x v="0"/>
    <n v="496.19999999990199"/>
    <x v="1"/>
    <n v="385244"/>
    <n v="5000"/>
    <n v="20"/>
    <x v="0"/>
    <n v="572027.21"/>
    <x v="3148"/>
    <x v="1"/>
  </r>
  <r>
    <n v="99"/>
    <x v="2"/>
    <x v="8"/>
    <n v="2"/>
    <n v="2"/>
    <x v="0"/>
    <n v="500.59999999980698"/>
    <x v="1"/>
    <n v="2095169"/>
    <n v="5000"/>
    <n v="20"/>
    <x v="0"/>
    <n v="447228.81"/>
    <x v="3149"/>
    <x v="1"/>
  </r>
  <r>
    <n v="70"/>
    <x v="2"/>
    <x v="3"/>
    <n v="3"/>
    <n v="2"/>
    <x v="0"/>
    <n v="916.60000000004504"/>
    <x v="1"/>
    <n v="68301.999999988504"/>
    <n v="2000"/>
    <n v="300"/>
    <x v="0"/>
    <n v="746428.01"/>
    <x v="3150"/>
    <x v="0"/>
  </r>
  <r>
    <n v="71"/>
    <x v="2"/>
    <x v="4"/>
    <n v="2"/>
    <n v="2"/>
    <x v="0"/>
    <n v="840.79999999993095"/>
    <x v="1"/>
    <n v="212421.000000006"/>
    <n v="2000"/>
    <n v="300"/>
    <x v="0"/>
    <n v="773790.01"/>
    <x v="3151"/>
    <x v="0"/>
  </r>
  <r>
    <n v="72"/>
    <x v="2"/>
    <x v="4"/>
    <n v="2"/>
    <n v="2"/>
    <x v="0"/>
    <n v="686.80000000043196"/>
    <x v="1"/>
    <n v="262078.00000000201"/>
    <n v="2000"/>
    <n v="300"/>
    <x v="0"/>
    <n v="812588.01"/>
    <x v="3152"/>
    <x v="1"/>
  </r>
  <r>
    <n v="73"/>
    <x v="2"/>
    <x v="4"/>
    <n v="3"/>
    <n v="2"/>
    <x v="0"/>
    <n v="696.99999999990303"/>
    <x v="1"/>
    <n v="220828.999999981"/>
    <n v="2000"/>
    <n v="300"/>
    <x v="0"/>
    <n v="747868.41"/>
    <x v="3153"/>
    <x v="1"/>
  </r>
  <r>
    <n v="74"/>
    <x v="2"/>
    <x v="6"/>
    <n v="3"/>
    <n v="2"/>
    <x v="0"/>
    <n v="767.00000000009504"/>
    <x v="1"/>
    <n v="641922.99999999104"/>
    <n v="2000"/>
    <n v="300"/>
    <x v="0"/>
    <n v="799388.81"/>
    <x v="3154"/>
    <x v="1"/>
  </r>
  <r>
    <n v="75"/>
    <x v="2"/>
    <x v="4"/>
    <n v="3"/>
    <n v="2"/>
    <x v="0"/>
    <n v="442.80000000007601"/>
    <x v="1"/>
    <n v="188826.000000006"/>
    <n v="2000"/>
    <n v="300"/>
    <x v="0"/>
    <n v="801229.21"/>
    <x v="3155"/>
    <x v="0"/>
  </r>
  <r>
    <n v="76"/>
    <x v="2"/>
    <x v="5"/>
    <n v="3"/>
    <n v="2"/>
    <x v="0"/>
    <n v="657.20000000020195"/>
    <x v="1"/>
    <n v="207245"/>
    <n v="2000"/>
    <n v="300"/>
    <x v="0"/>
    <n v="752428.81"/>
    <x v="3156"/>
    <x v="1"/>
  </r>
  <r>
    <n v="77"/>
    <x v="2"/>
    <x v="5"/>
    <n v="3"/>
    <n v="2"/>
    <x v="0"/>
    <n v="517.59999999951799"/>
    <x v="1"/>
    <n v="554278.99999997998"/>
    <n v="2000"/>
    <n v="300"/>
    <x v="0"/>
    <n v="746668.01"/>
    <x v="3157"/>
    <x v="1"/>
  </r>
  <r>
    <n v="78"/>
    <x v="2"/>
    <x v="5"/>
    <n v="3"/>
    <n v="2"/>
    <x v="0"/>
    <n v="411.19999999992302"/>
    <x v="1"/>
    <n v="251448.000000011"/>
    <n v="2000"/>
    <n v="300"/>
    <x v="0"/>
    <n v="801148.81"/>
    <x v="3158"/>
    <x v="1"/>
  </r>
  <r>
    <n v="79"/>
    <x v="2"/>
    <x v="5"/>
    <n v="3"/>
    <n v="2"/>
    <x v="0"/>
    <n v="394.20000000021099"/>
    <x v="1"/>
    <n v="178140.00000001301"/>
    <n v="2000"/>
    <n v="300"/>
    <x v="0"/>
    <n v="787068.01"/>
    <x v="3159"/>
    <x v="1"/>
  </r>
  <r>
    <n v="80"/>
    <x v="2"/>
    <x v="4"/>
    <n v="3"/>
    <n v="2"/>
    <x v="0"/>
    <n v="306.60000000004601"/>
    <x v="1"/>
    <n v="148730"/>
    <n v="2000"/>
    <n v="300"/>
    <x v="0"/>
    <n v="805548.01"/>
    <x v="3160"/>
    <x v="1"/>
  </r>
  <r>
    <n v="81"/>
    <x v="2"/>
    <x v="5"/>
    <n v="3"/>
    <n v="2"/>
    <x v="0"/>
    <n v="372.600000000389"/>
    <x v="1"/>
    <n v="307187.99999999598"/>
    <n v="2000"/>
    <n v="300"/>
    <x v="0"/>
    <n v="747868.41"/>
    <x v="3161"/>
    <x v="1"/>
  </r>
  <r>
    <n v="82"/>
    <x v="2"/>
    <x v="5"/>
    <n v="2"/>
    <n v="2"/>
    <x v="0"/>
    <n v="377.99999999990098"/>
    <x v="1"/>
    <n v="516832.99999999098"/>
    <n v="2000"/>
    <n v="300"/>
    <x v="0"/>
    <n v="806267.61"/>
    <x v="3162"/>
    <x v="1"/>
  </r>
  <r>
    <n v="83"/>
    <x v="2"/>
    <x v="6"/>
    <n v="2"/>
    <n v="2"/>
    <x v="0"/>
    <n v="451.20000000018501"/>
    <x v="1"/>
    <n v="413190.00000001403"/>
    <n v="2000"/>
    <n v="300"/>
    <x v="0"/>
    <n v="749628.01"/>
    <x v="3163"/>
    <x v="1"/>
  </r>
  <r>
    <n v="84"/>
    <x v="2"/>
    <x v="7"/>
    <n v="2"/>
    <n v="2"/>
    <x v="0"/>
    <n v="503.80000000060897"/>
    <x v="1"/>
    <n v="474711.999999983"/>
    <n v="2000"/>
    <n v="300"/>
    <x v="0"/>
    <n v="816428.01"/>
    <x v="3164"/>
    <x v="1"/>
  </r>
  <r>
    <n v="85"/>
    <x v="2"/>
    <x v="5"/>
    <n v="2"/>
    <n v="2"/>
    <x v="0"/>
    <n v="348.000000000326"/>
    <x v="1"/>
    <n v="608902.00000000105"/>
    <n v="2000"/>
    <n v="300"/>
    <x v="0"/>
    <n v="808748.41"/>
    <x v="3165"/>
    <x v="1"/>
  </r>
  <r>
    <n v="86"/>
    <x v="2"/>
    <x v="7"/>
    <n v="3"/>
    <n v="2"/>
    <x v="0"/>
    <n v="468.00000000004599"/>
    <x v="1"/>
    <n v="645299.00000002305"/>
    <n v="2000"/>
    <n v="300"/>
    <x v="0"/>
    <n v="762187.21"/>
    <x v="3166"/>
    <x v="1"/>
  </r>
  <r>
    <n v="87"/>
    <x v="2"/>
    <x v="7"/>
    <n v="2"/>
    <n v="2"/>
    <x v="0"/>
    <n v="451.39999999968001"/>
    <x v="1"/>
    <n v="401485.00000000797"/>
    <n v="2000"/>
    <n v="300"/>
    <x v="0"/>
    <n v="816907.21"/>
    <x v="3167"/>
    <x v="1"/>
  </r>
  <r>
    <n v="88"/>
    <x v="2"/>
    <x v="7"/>
    <n v="3"/>
    <n v="2"/>
    <x v="0"/>
    <n v="490.20000000048498"/>
    <x v="1"/>
    <n v="672093.99999998696"/>
    <n v="2000"/>
    <n v="300"/>
    <x v="0"/>
    <n v="751628.41"/>
    <x v="3168"/>
    <x v="1"/>
  </r>
  <r>
    <n v="89"/>
    <x v="2"/>
    <x v="4"/>
    <n v="3"/>
    <n v="2"/>
    <x v="0"/>
    <n v="266.39999999993302"/>
    <x v="1"/>
    <n v="186243.000000019"/>
    <n v="2000"/>
    <n v="300"/>
    <x v="0"/>
    <n v="742348.41"/>
    <x v="3169"/>
    <x v="1"/>
  </r>
  <r>
    <n v="90"/>
    <x v="2"/>
    <x v="5"/>
    <n v="2"/>
    <n v="2"/>
    <x v="0"/>
    <n v="335.79999999986399"/>
    <x v="1"/>
    <n v="399008.00000000902"/>
    <n v="2000"/>
    <n v="300"/>
    <x v="0"/>
    <n v="801388.81"/>
    <x v="3170"/>
    <x v="1"/>
  </r>
  <r>
    <n v="91"/>
    <x v="2"/>
    <x v="5"/>
    <n v="3"/>
    <n v="2"/>
    <x v="0"/>
    <n v="335.59999999930301"/>
    <x v="1"/>
    <n v="151079.00000001001"/>
    <n v="2000"/>
    <n v="300"/>
    <x v="0"/>
    <n v="743707.21"/>
    <x v="3171"/>
    <x v="1"/>
  </r>
  <r>
    <n v="92"/>
    <x v="2"/>
    <x v="5"/>
    <n v="3"/>
    <n v="2"/>
    <x v="0"/>
    <n v="306.40000000019501"/>
    <x v="1"/>
    <n v="288912.000000011"/>
    <n v="2000"/>
    <n v="300"/>
    <x v="0"/>
    <n v="811707.61"/>
    <x v="3172"/>
    <x v="1"/>
  </r>
  <r>
    <n v="93"/>
    <x v="2"/>
    <x v="8"/>
    <n v="3"/>
    <n v="2"/>
    <x v="0"/>
    <n v="515.79999999979998"/>
    <x v="1"/>
    <n v="1416861.00000001"/>
    <n v="2000"/>
    <n v="300"/>
    <x v="0"/>
    <n v="777388.41"/>
    <x v="3173"/>
    <x v="1"/>
  </r>
  <r>
    <n v="94"/>
    <x v="2"/>
    <x v="7"/>
    <n v="2"/>
    <n v="2"/>
    <x v="0"/>
    <n v="446.600000000075"/>
    <x v="1"/>
    <n v="711301.00000002002"/>
    <n v="2000"/>
    <n v="300"/>
    <x v="0"/>
    <n v="750427.61"/>
    <x v="3174"/>
    <x v="1"/>
  </r>
  <r>
    <n v="95"/>
    <x v="2"/>
    <x v="9"/>
    <n v="2"/>
    <n v="2"/>
    <x v="0"/>
    <n v="605.60000000045"/>
    <x v="1"/>
    <n v="1174435.99999999"/>
    <n v="2000"/>
    <n v="300"/>
    <x v="0"/>
    <n v="818749.21"/>
    <x v="3175"/>
    <x v="1"/>
  </r>
  <r>
    <n v="96"/>
    <x v="2"/>
    <x v="5"/>
    <n v="3"/>
    <n v="2"/>
    <x v="0"/>
    <n v="301.39999999967398"/>
    <x v="1"/>
    <n v="267707.00000000099"/>
    <n v="2000"/>
    <n v="300"/>
    <x v="0"/>
    <n v="805868.01"/>
    <x v="3176"/>
    <x v="1"/>
  </r>
  <r>
    <n v="97"/>
    <x v="2"/>
    <x v="6"/>
    <n v="3"/>
    <n v="2"/>
    <x v="0"/>
    <n v="374.59999999995802"/>
    <x v="1"/>
    <n v="460260.00000000501"/>
    <n v="2000"/>
    <n v="300"/>
    <x v="0"/>
    <n v="742747.21"/>
    <x v="3177"/>
    <x v="1"/>
  </r>
  <r>
    <n v="98"/>
    <x v="2"/>
    <x v="7"/>
    <n v="3"/>
    <n v="2"/>
    <x v="0"/>
    <n v="496.19999999990199"/>
    <x v="1"/>
    <n v="385244"/>
    <n v="2000"/>
    <n v="300"/>
    <x v="0"/>
    <n v="800346.81"/>
    <x v="3178"/>
    <x v="1"/>
  </r>
  <r>
    <n v="99"/>
    <x v="2"/>
    <x v="8"/>
    <n v="2"/>
    <n v="2"/>
    <x v="0"/>
    <n v="500.59999999980698"/>
    <x v="1"/>
    <n v="2095169"/>
    <n v="2000"/>
    <n v="300"/>
    <x v="0"/>
    <n v="750428.81"/>
    <x v="3179"/>
    <x v="1"/>
  </r>
  <r>
    <n v="70"/>
    <x v="2"/>
    <x v="3"/>
    <n v="3"/>
    <n v="2"/>
    <x v="0"/>
    <n v="916.60000000004504"/>
    <x v="1"/>
    <n v="68301.999999988504"/>
    <n v="3000"/>
    <n v="200"/>
    <x v="0"/>
    <n v="810028.01"/>
    <x v="3180"/>
    <x v="0"/>
  </r>
  <r>
    <n v="71"/>
    <x v="2"/>
    <x v="4"/>
    <n v="2"/>
    <n v="2"/>
    <x v="0"/>
    <n v="840.79999999993095"/>
    <x v="1"/>
    <n v="212421.000000006"/>
    <n v="3000"/>
    <n v="200"/>
    <x v="0"/>
    <n v="851070.01"/>
    <x v="3181"/>
    <x v="0"/>
  </r>
  <r>
    <n v="72"/>
    <x v="2"/>
    <x v="4"/>
    <n v="2"/>
    <n v="2"/>
    <x v="0"/>
    <n v="686.80000000043196"/>
    <x v="1"/>
    <n v="262078.00000000201"/>
    <n v="3000"/>
    <n v="200"/>
    <x v="0"/>
    <n v="909268.01"/>
    <x v="3182"/>
    <x v="1"/>
  </r>
  <r>
    <n v="73"/>
    <x v="2"/>
    <x v="4"/>
    <n v="3"/>
    <n v="2"/>
    <x v="0"/>
    <n v="696.99999999990303"/>
    <x v="1"/>
    <n v="220828.999999981"/>
    <n v="3000"/>
    <n v="200"/>
    <x v="0"/>
    <n v="812188.41"/>
    <x v="3183"/>
    <x v="1"/>
  </r>
  <r>
    <n v="74"/>
    <x v="2"/>
    <x v="6"/>
    <n v="3"/>
    <n v="2"/>
    <x v="0"/>
    <n v="767.00000000009504"/>
    <x v="1"/>
    <n v="641922.99999999104"/>
    <n v="3000"/>
    <n v="200"/>
    <x v="0"/>
    <n v="889468.81"/>
    <x v="3184"/>
    <x v="1"/>
  </r>
  <r>
    <n v="75"/>
    <x v="2"/>
    <x v="4"/>
    <n v="3"/>
    <n v="2"/>
    <x v="0"/>
    <n v="442.80000000007601"/>
    <x v="1"/>
    <n v="188826.000000006"/>
    <n v="3000"/>
    <n v="200"/>
    <x v="0"/>
    <n v="892229.21"/>
    <x v="3185"/>
    <x v="0"/>
  </r>
  <r>
    <n v="76"/>
    <x v="2"/>
    <x v="5"/>
    <n v="3"/>
    <n v="2"/>
    <x v="0"/>
    <n v="657.20000000020195"/>
    <x v="1"/>
    <n v="207245"/>
    <n v="3000"/>
    <n v="200"/>
    <x v="0"/>
    <n v="819028.81"/>
    <x v="3186"/>
    <x v="1"/>
  </r>
  <r>
    <n v="77"/>
    <x v="2"/>
    <x v="5"/>
    <n v="3"/>
    <n v="2"/>
    <x v="0"/>
    <n v="517.59999999951799"/>
    <x v="1"/>
    <n v="554278.99999997998"/>
    <n v="3000"/>
    <n v="200"/>
    <x v="0"/>
    <n v="810388.01"/>
    <x v="3187"/>
    <x v="1"/>
  </r>
  <r>
    <n v="78"/>
    <x v="2"/>
    <x v="5"/>
    <n v="3"/>
    <n v="2"/>
    <x v="0"/>
    <n v="411.19999999992302"/>
    <x v="1"/>
    <n v="251448.000000011"/>
    <n v="3000"/>
    <n v="200"/>
    <x v="0"/>
    <n v="892108.81"/>
    <x v="3188"/>
    <x v="1"/>
  </r>
  <r>
    <n v="79"/>
    <x v="2"/>
    <x v="5"/>
    <n v="3"/>
    <n v="2"/>
    <x v="0"/>
    <n v="394.20000000021099"/>
    <x v="1"/>
    <n v="178140.00000001301"/>
    <n v="3000"/>
    <n v="200"/>
    <x v="0"/>
    <n v="870988.01"/>
    <x v="3189"/>
    <x v="1"/>
  </r>
  <r>
    <n v="80"/>
    <x v="2"/>
    <x v="4"/>
    <n v="3"/>
    <n v="2"/>
    <x v="0"/>
    <n v="306.60000000004601"/>
    <x v="1"/>
    <n v="148730"/>
    <n v="3000"/>
    <n v="200"/>
    <x v="0"/>
    <n v="898708.01"/>
    <x v="3190"/>
    <x v="1"/>
  </r>
  <r>
    <n v="81"/>
    <x v="2"/>
    <x v="5"/>
    <n v="3"/>
    <n v="2"/>
    <x v="0"/>
    <n v="372.600000000389"/>
    <x v="1"/>
    <n v="307187.99999999598"/>
    <n v="3000"/>
    <n v="200"/>
    <x v="0"/>
    <n v="812188.41"/>
    <x v="3191"/>
    <x v="1"/>
  </r>
  <r>
    <n v="82"/>
    <x v="2"/>
    <x v="5"/>
    <n v="2"/>
    <n v="2"/>
    <x v="0"/>
    <n v="377.99999999990098"/>
    <x v="1"/>
    <n v="516832.99999999098"/>
    <n v="3000"/>
    <n v="200"/>
    <x v="0"/>
    <n v="899787.61"/>
    <x v="3192"/>
    <x v="1"/>
  </r>
  <r>
    <n v="83"/>
    <x v="2"/>
    <x v="6"/>
    <n v="2"/>
    <n v="2"/>
    <x v="0"/>
    <n v="451.20000000018501"/>
    <x v="1"/>
    <n v="413190.00000001403"/>
    <n v="3000"/>
    <n v="200"/>
    <x v="0"/>
    <n v="814828.01"/>
    <x v="3193"/>
    <x v="1"/>
  </r>
  <r>
    <n v="84"/>
    <x v="2"/>
    <x v="7"/>
    <n v="2"/>
    <n v="2"/>
    <x v="0"/>
    <n v="503.80000000060897"/>
    <x v="1"/>
    <n v="474711.999999983"/>
    <n v="3000"/>
    <n v="200"/>
    <x v="0"/>
    <n v="915028.01"/>
    <x v="3194"/>
    <x v="1"/>
  </r>
  <r>
    <n v="85"/>
    <x v="2"/>
    <x v="5"/>
    <n v="2"/>
    <n v="2"/>
    <x v="0"/>
    <n v="348.000000000326"/>
    <x v="1"/>
    <n v="608902.00000000105"/>
    <n v="3000"/>
    <n v="200"/>
    <x v="0"/>
    <n v="903508.41"/>
    <x v="3195"/>
    <x v="1"/>
  </r>
  <r>
    <n v="86"/>
    <x v="2"/>
    <x v="7"/>
    <n v="3"/>
    <n v="2"/>
    <x v="0"/>
    <n v="468.00000000004599"/>
    <x v="1"/>
    <n v="645299.00000002305"/>
    <n v="3000"/>
    <n v="200"/>
    <x v="0"/>
    <n v="833667.21"/>
    <x v="3196"/>
    <x v="1"/>
  </r>
  <r>
    <n v="87"/>
    <x v="2"/>
    <x v="7"/>
    <n v="2"/>
    <n v="2"/>
    <x v="0"/>
    <n v="451.39999999968001"/>
    <x v="1"/>
    <n v="401485.00000000797"/>
    <n v="3000"/>
    <n v="200"/>
    <x v="0"/>
    <n v="915747.21"/>
    <x v="3197"/>
    <x v="1"/>
  </r>
  <r>
    <n v="88"/>
    <x v="2"/>
    <x v="7"/>
    <n v="3"/>
    <n v="2"/>
    <x v="0"/>
    <n v="490.20000000048498"/>
    <x v="1"/>
    <n v="672093.99999998696"/>
    <n v="3000"/>
    <n v="200"/>
    <x v="0"/>
    <n v="817828.41"/>
    <x v="3198"/>
    <x v="1"/>
  </r>
  <r>
    <n v="89"/>
    <x v="2"/>
    <x v="4"/>
    <n v="3"/>
    <n v="2"/>
    <x v="0"/>
    <n v="266.39999999993302"/>
    <x v="1"/>
    <n v="186243.000000019"/>
    <n v="3000"/>
    <n v="200"/>
    <x v="0"/>
    <n v="803908.41"/>
    <x v="3199"/>
    <x v="1"/>
  </r>
  <r>
    <n v="90"/>
    <x v="2"/>
    <x v="5"/>
    <n v="2"/>
    <n v="2"/>
    <x v="0"/>
    <n v="335.79999999986399"/>
    <x v="1"/>
    <n v="399008.00000000902"/>
    <n v="3000"/>
    <n v="200"/>
    <x v="0"/>
    <n v="892468.81"/>
    <x v="3200"/>
    <x v="1"/>
  </r>
  <r>
    <n v="91"/>
    <x v="2"/>
    <x v="5"/>
    <n v="3"/>
    <n v="2"/>
    <x v="0"/>
    <n v="335.59999999930301"/>
    <x v="1"/>
    <n v="151079.00000001001"/>
    <n v="3000"/>
    <n v="200"/>
    <x v="0"/>
    <n v="805947.21"/>
    <x v="3201"/>
    <x v="1"/>
  </r>
  <r>
    <n v="92"/>
    <x v="2"/>
    <x v="5"/>
    <n v="3"/>
    <n v="2"/>
    <x v="0"/>
    <n v="306.40000000019501"/>
    <x v="1"/>
    <n v="288912.000000011"/>
    <n v="3000"/>
    <n v="200"/>
    <x v="0"/>
    <n v="907947.61"/>
    <x v="3202"/>
    <x v="1"/>
  </r>
  <r>
    <n v="93"/>
    <x v="2"/>
    <x v="8"/>
    <n v="3"/>
    <n v="2"/>
    <x v="0"/>
    <n v="515.79999999979998"/>
    <x v="1"/>
    <n v="1416861.00000001"/>
    <n v="3000"/>
    <n v="200"/>
    <x v="0"/>
    <n v="856468.41"/>
    <x v="3203"/>
    <x v="1"/>
  </r>
  <r>
    <n v="94"/>
    <x v="2"/>
    <x v="7"/>
    <n v="2"/>
    <n v="2"/>
    <x v="0"/>
    <n v="446.600000000075"/>
    <x v="1"/>
    <n v="711301.00000002002"/>
    <n v="3000"/>
    <n v="200"/>
    <x v="0"/>
    <n v="816027.61"/>
    <x v="3204"/>
    <x v="1"/>
  </r>
  <r>
    <n v="95"/>
    <x v="2"/>
    <x v="9"/>
    <n v="2"/>
    <n v="2"/>
    <x v="0"/>
    <n v="605.60000000045"/>
    <x v="1"/>
    <n v="1174435.99999999"/>
    <n v="3000"/>
    <n v="200"/>
    <x v="0"/>
    <n v="918509.21"/>
    <x v="3205"/>
    <x v="1"/>
  </r>
  <r>
    <n v="96"/>
    <x v="2"/>
    <x v="5"/>
    <n v="3"/>
    <n v="2"/>
    <x v="0"/>
    <n v="301.39999999967398"/>
    <x v="1"/>
    <n v="267707.00000000099"/>
    <n v="3000"/>
    <n v="200"/>
    <x v="0"/>
    <n v="899188.01"/>
    <x v="3206"/>
    <x v="1"/>
  </r>
  <r>
    <n v="97"/>
    <x v="2"/>
    <x v="6"/>
    <n v="3"/>
    <n v="2"/>
    <x v="0"/>
    <n v="374.59999999995802"/>
    <x v="1"/>
    <n v="460260.00000000501"/>
    <n v="3000"/>
    <n v="200"/>
    <x v="0"/>
    <n v="804507.21"/>
    <x v="3207"/>
    <x v="1"/>
  </r>
  <r>
    <n v="98"/>
    <x v="2"/>
    <x v="7"/>
    <n v="3"/>
    <n v="2"/>
    <x v="0"/>
    <n v="496.19999999990199"/>
    <x v="1"/>
    <n v="385244"/>
    <n v="3000"/>
    <n v="200"/>
    <x v="0"/>
    <n v="890906.81"/>
    <x v="3208"/>
    <x v="1"/>
  </r>
  <r>
    <n v="99"/>
    <x v="2"/>
    <x v="8"/>
    <n v="2"/>
    <n v="2"/>
    <x v="0"/>
    <n v="500.59999999980698"/>
    <x v="1"/>
    <n v="2095169"/>
    <n v="3000"/>
    <n v="200"/>
    <x v="0"/>
    <n v="816028.81"/>
    <x v="3209"/>
    <x v="1"/>
  </r>
  <r>
    <n v="70"/>
    <x v="2"/>
    <x v="3"/>
    <n v="3"/>
    <n v="2"/>
    <x v="0"/>
    <n v="916.60000000004504"/>
    <x v="2"/>
    <n v="0"/>
    <n v="0"/>
    <n v="0"/>
    <x v="1"/>
    <n v="75027"/>
    <x v="3210"/>
    <x v="0"/>
  </r>
  <r>
    <n v="71"/>
    <x v="2"/>
    <x v="4"/>
    <n v="2"/>
    <n v="2"/>
    <x v="0"/>
    <n v="840.79999999993095"/>
    <x v="2"/>
    <n v="0"/>
    <n v="0"/>
    <n v="0"/>
    <x v="1"/>
    <n v="38612"/>
    <x v="3211"/>
    <x v="0"/>
  </r>
  <r>
    <n v="72"/>
    <x v="2"/>
    <x v="4"/>
    <n v="2"/>
    <n v="2"/>
    <x v="0"/>
    <n v="686.80000000043196"/>
    <x v="2"/>
    <n v="0"/>
    <n v="0"/>
    <n v="0"/>
    <x v="1"/>
    <n v="19307"/>
    <x v="3212"/>
    <x v="0"/>
  </r>
  <r>
    <n v="73"/>
    <x v="2"/>
    <x v="4"/>
    <n v="3"/>
    <n v="2"/>
    <x v="0"/>
    <n v="696.99999999990303"/>
    <x v="2"/>
    <n v="0"/>
    <n v="0"/>
    <n v="0"/>
    <x v="1"/>
    <n v="96364"/>
    <x v="3213"/>
    <x v="0"/>
  </r>
  <r>
    <n v="74"/>
    <x v="2"/>
    <x v="6"/>
    <n v="3"/>
    <n v="2"/>
    <x v="0"/>
    <n v="767.00000000009504"/>
    <x v="2"/>
    <n v="0"/>
    <n v="0"/>
    <n v="0"/>
    <x v="1"/>
    <n v="104895"/>
    <x v="3214"/>
    <x v="0"/>
  </r>
  <r>
    <n v="75"/>
    <x v="2"/>
    <x v="4"/>
    <n v="3"/>
    <n v="2"/>
    <x v="0"/>
    <n v="442.80000000007601"/>
    <x v="2"/>
    <n v="0"/>
    <n v="0"/>
    <n v="0"/>
    <x v="1"/>
    <n v="59920"/>
    <x v="3215"/>
    <x v="0"/>
  </r>
  <r>
    <n v="76"/>
    <x v="2"/>
    <x v="5"/>
    <n v="3"/>
    <n v="2"/>
    <x v="0"/>
    <n v="657.20000000020195"/>
    <x v="2"/>
    <n v="0"/>
    <n v="0"/>
    <n v="0"/>
    <x v="1"/>
    <n v="109735"/>
    <x v="3216"/>
    <x v="0"/>
  </r>
  <r>
    <n v="77"/>
    <x v="2"/>
    <x v="5"/>
    <n v="3"/>
    <n v="2"/>
    <x v="0"/>
    <n v="517.59999999951799"/>
    <x v="2"/>
    <n v="0"/>
    <n v="0"/>
    <n v="0"/>
    <x v="1"/>
    <n v="179030"/>
    <x v="3217"/>
    <x v="0"/>
  </r>
  <r>
    <n v="78"/>
    <x v="2"/>
    <x v="5"/>
    <n v="3"/>
    <n v="2"/>
    <x v="0"/>
    <n v="411.19999999992302"/>
    <x v="2"/>
    <n v="0"/>
    <n v="0"/>
    <n v="0"/>
    <x v="1"/>
    <n v="109704"/>
    <x v="3218"/>
    <x v="0"/>
  </r>
  <r>
    <n v="79"/>
    <x v="2"/>
    <x v="5"/>
    <n v="3"/>
    <n v="2"/>
    <x v="0"/>
    <n v="394.20000000021099"/>
    <x v="2"/>
    <n v="0"/>
    <n v="0"/>
    <n v="0"/>
    <x v="1"/>
    <n v="121170"/>
    <x v="3219"/>
    <x v="0"/>
  </r>
  <r>
    <n v="80"/>
    <x v="2"/>
    <x v="4"/>
    <n v="3"/>
    <n v="2"/>
    <x v="0"/>
    <n v="306.60000000004601"/>
    <x v="2"/>
    <n v="0"/>
    <n v="0"/>
    <n v="0"/>
    <x v="1"/>
    <n v="96532"/>
    <x v="3220"/>
    <x v="0"/>
  </r>
  <r>
    <n v="81"/>
    <x v="2"/>
    <x v="5"/>
    <n v="3"/>
    <n v="2"/>
    <x v="0"/>
    <n v="372.600000000389"/>
    <x v="2"/>
    <n v="0"/>
    <n v="0"/>
    <n v="0"/>
    <x v="1"/>
    <n v="153119"/>
    <x v="3221"/>
    <x v="0"/>
  </r>
  <r>
    <n v="82"/>
    <x v="2"/>
    <x v="5"/>
    <n v="2"/>
    <n v="2"/>
    <x v="0"/>
    <n v="377.99999999990098"/>
    <x v="2"/>
    <n v="0"/>
    <n v="0"/>
    <n v="0"/>
    <x v="1"/>
    <n v="169035"/>
    <x v="3222"/>
    <x v="0"/>
  </r>
  <r>
    <n v="83"/>
    <x v="2"/>
    <x v="6"/>
    <n v="2"/>
    <n v="2"/>
    <x v="0"/>
    <n v="451.20000000018501"/>
    <x v="2"/>
    <n v="0"/>
    <n v="0"/>
    <n v="0"/>
    <x v="1"/>
    <n v="111957"/>
    <x v="3223"/>
    <x v="0"/>
  </r>
  <r>
    <n v="84"/>
    <x v="2"/>
    <x v="7"/>
    <n v="2"/>
    <n v="2"/>
    <x v="0"/>
    <n v="503.80000000060897"/>
    <x v="2"/>
    <n v="0"/>
    <n v="0"/>
    <n v="0"/>
    <x v="1"/>
    <n v="141677"/>
    <x v="3224"/>
    <x v="0"/>
  </r>
  <r>
    <n v="85"/>
    <x v="2"/>
    <x v="5"/>
    <n v="2"/>
    <n v="2"/>
    <x v="0"/>
    <n v="348.000000000326"/>
    <x v="2"/>
    <n v="0"/>
    <n v="0"/>
    <n v="0"/>
    <x v="1"/>
    <n v="122630"/>
    <x v="3225"/>
    <x v="0"/>
  </r>
  <r>
    <n v="86"/>
    <x v="2"/>
    <x v="7"/>
    <n v="3"/>
    <n v="2"/>
    <x v="0"/>
    <n v="468.00000000004599"/>
    <x v="2"/>
    <n v="0"/>
    <n v="0"/>
    <n v="0"/>
    <x v="1"/>
    <n v="0"/>
    <x v="3226"/>
    <x v="1"/>
  </r>
  <r>
    <n v="87"/>
    <x v="2"/>
    <x v="7"/>
    <n v="2"/>
    <n v="2"/>
    <x v="0"/>
    <n v="451.39999999968001"/>
    <x v="2"/>
    <n v="0"/>
    <n v="0"/>
    <n v="0"/>
    <x v="1"/>
    <n v="93782"/>
    <x v="3227"/>
    <x v="1"/>
  </r>
  <r>
    <n v="88"/>
    <x v="2"/>
    <x v="7"/>
    <n v="3"/>
    <n v="2"/>
    <x v="0"/>
    <n v="490.20000000048498"/>
    <x v="2"/>
    <n v="0"/>
    <n v="0"/>
    <n v="0"/>
    <x v="1"/>
    <n v="160947"/>
    <x v="3228"/>
    <x v="0"/>
  </r>
  <r>
    <n v="89"/>
    <x v="2"/>
    <x v="4"/>
    <n v="3"/>
    <n v="2"/>
    <x v="0"/>
    <n v="266.39999999993302"/>
    <x v="2"/>
    <n v="0"/>
    <n v="0"/>
    <n v="0"/>
    <x v="1"/>
    <n v="135144"/>
    <x v="3229"/>
    <x v="0"/>
  </r>
  <r>
    <n v="90"/>
    <x v="2"/>
    <x v="5"/>
    <n v="2"/>
    <n v="2"/>
    <x v="0"/>
    <n v="335.79999999986399"/>
    <x v="2"/>
    <n v="0"/>
    <n v="0"/>
    <n v="0"/>
    <x v="1"/>
    <n v="106569"/>
    <x v="3230"/>
    <x v="0"/>
  </r>
  <r>
    <n v="91"/>
    <x v="2"/>
    <x v="5"/>
    <n v="3"/>
    <n v="2"/>
    <x v="0"/>
    <n v="335.59999999930301"/>
    <x v="2"/>
    <n v="0"/>
    <n v="0"/>
    <n v="0"/>
    <x v="1"/>
    <n v="80596"/>
    <x v="3231"/>
    <x v="1"/>
  </r>
  <r>
    <n v="92"/>
    <x v="2"/>
    <x v="5"/>
    <n v="3"/>
    <n v="2"/>
    <x v="0"/>
    <n v="306.40000000019501"/>
    <x v="2"/>
    <n v="0"/>
    <n v="0"/>
    <n v="0"/>
    <x v="1"/>
    <n v="101995"/>
    <x v="1802"/>
    <x v="0"/>
  </r>
  <r>
    <n v="93"/>
    <x v="2"/>
    <x v="8"/>
    <n v="3"/>
    <n v="2"/>
    <x v="0"/>
    <n v="515.79999999979998"/>
    <x v="2"/>
    <n v="0"/>
    <n v="0"/>
    <n v="0"/>
    <x v="1"/>
    <n v="147780"/>
    <x v="3232"/>
    <x v="1"/>
  </r>
  <r>
    <n v="94"/>
    <x v="2"/>
    <x v="7"/>
    <n v="2"/>
    <n v="2"/>
    <x v="0"/>
    <n v="446.600000000075"/>
    <x v="2"/>
    <n v="0"/>
    <n v="0"/>
    <n v="0"/>
    <x v="1"/>
    <n v="117396"/>
    <x v="3233"/>
    <x v="1"/>
  </r>
  <r>
    <n v="95"/>
    <x v="2"/>
    <x v="9"/>
    <n v="2"/>
    <n v="2"/>
    <x v="0"/>
    <n v="605.60000000045"/>
    <x v="2"/>
    <n v="0"/>
    <n v="0"/>
    <n v="0"/>
    <x v="1"/>
    <n v="122961"/>
    <x v="3234"/>
    <x v="0"/>
  </r>
  <r>
    <n v="96"/>
    <x v="2"/>
    <x v="5"/>
    <n v="3"/>
    <n v="2"/>
    <x v="0"/>
    <n v="301.39999999967398"/>
    <x v="2"/>
    <n v="0"/>
    <n v="0"/>
    <n v="0"/>
    <x v="1"/>
    <n v="124917"/>
    <x v="3235"/>
    <x v="0"/>
  </r>
  <r>
    <n v="97"/>
    <x v="2"/>
    <x v="6"/>
    <n v="3"/>
    <n v="2"/>
    <x v="0"/>
    <n v="374.59999999995802"/>
    <x v="2"/>
    <n v="0"/>
    <n v="0"/>
    <n v="0"/>
    <x v="1"/>
    <n v="110964"/>
    <x v="3236"/>
    <x v="0"/>
  </r>
  <r>
    <n v="98"/>
    <x v="2"/>
    <x v="7"/>
    <n v="3"/>
    <n v="2"/>
    <x v="0"/>
    <n v="496.19999999990199"/>
    <x v="2"/>
    <n v="0"/>
    <n v="0"/>
    <n v="0"/>
    <x v="1"/>
    <n v="118459"/>
    <x v="3237"/>
    <x v="1"/>
  </r>
  <r>
    <n v="99"/>
    <x v="2"/>
    <x v="8"/>
    <n v="2"/>
    <n v="2"/>
    <x v="0"/>
    <n v="500.59999999980698"/>
    <x v="2"/>
    <n v="0"/>
    <n v="0"/>
    <n v="0"/>
    <x v="1"/>
    <n v="144018"/>
    <x v="3238"/>
    <x v="0"/>
  </r>
  <r>
    <n v="100"/>
    <x v="2"/>
    <x v="2"/>
    <n v="3"/>
    <n v="2"/>
    <x v="1"/>
    <n v="1037.0000000001801"/>
    <x v="2"/>
    <n v="0"/>
    <n v="0"/>
    <n v="0"/>
    <x v="1"/>
    <n v="166524"/>
    <x v="3239"/>
    <x v="0"/>
  </r>
  <r>
    <n v="101"/>
    <x v="2"/>
    <x v="4"/>
    <n v="2"/>
    <n v="2"/>
    <x v="1"/>
    <n v="2033.9999999997401"/>
    <x v="2"/>
    <n v="0"/>
    <n v="0"/>
    <n v="0"/>
    <x v="1"/>
    <n v="151862"/>
    <x v="3240"/>
    <x v="0"/>
  </r>
  <r>
    <n v="102"/>
    <x v="2"/>
    <x v="4"/>
    <n v="3"/>
    <n v="2"/>
    <x v="1"/>
    <n v="1446.80000000008"/>
    <x v="2"/>
    <n v="0"/>
    <n v="0"/>
    <n v="0"/>
    <x v="1"/>
    <n v="127257"/>
    <x v="3241"/>
    <x v="0"/>
  </r>
  <r>
    <n v="103"/>
    <x v="2"/>
    <x v="4"/>
    <n v="3"/>
    <n v="2"/>
    <x v="1"/>
    <n v="1075.5999999993501"/>
    <x v="2"/>
    <n v="0"/>
    <n v="0"/>
    <n v="0"/>
    <x v="1"/>
    <n v="122522"/>
    <x v="3242"/>
    <x v="0"/>
  </r>
  <r>
    <n v="104"/>
    <x v="2"/>
    <x v="3"/>
    <n v="3"/>
    <n v="2"/>
    <x v="1"/>
    <n v="726.99999999912302"/>
    <x v="2"/>
    <n v="0"/>
    <n v="0"/>
    <n v="0"/>
    <x v="1"/>
    <n v="119616"/>
    <x v="3243"/>
    <x v="0"/>
  </r>
  <r>
    <n v="105"/>
    <x v="2"/>
    <x v="5"/>
    <n v="2"/>
    <n v="2"/>
    <x v="1"/>
    <n v="861.40000000014504"/>
    <x v="2"/>
    <n v="0"/>
    <n v="0"/>
    <n v="0"/>
    <x v="1"/>
    <n v="125368"/>
    <x v="3244"/>
    <x v="0"/>
  </r>
  <r>
    <n v="106"/>
    <x v="2"/>
    <x v="5"/>
    <n v="3"/>
    <n v="2"/>
    <x v="1"/>
    <n v="839.59999999976299"/>
    <x v="2"/>
    <n v="0"/>
    <n v="0"/>
    <n v="0"/>
    <x v="1"/>
    <n v="100499"/>
    <x v="3245"/>
    <x v="0"/>
  </r>
  <r>
    <n v="107"/>
    <x v="2"/>
    <x v="5"/>
    <n v="3"/>
    <n v="2"/>
    <x v="1"/>
    <n v="828.60000000053503"/>
    <x v="2"/>
    <n v="0"/>
    <n v="0"/>
    <n v="0"/>
    <x v="1"/>
    <n v="49987"/>
    <x v="3246"/>
    <x v="0"/>
  </r>
  <r>
    <n v="108"/>
    <x v="2"/>
    <x v="6"/>
    <n v="2"/>
    <n v="2"/>
    <x v="1"/>
    <n v="849.39999999988902"/>
    <x v="2"/>
    <n v="0"/>
    <n v="0"/>
    <n v="0"/>
    <x v="1"/>
    <n v="132526"/>
    <x v="3247"/>
    <x v="0"/>
  </r>
  <r>
    <n v="109"/>
    <x v="2"/>
    <x v="5"/>
    <n v="3"/>
    <n v="2"/>
    <x v="1"/>
    <n v="746.20000000038499"/>
    <x v="2"/>
    <n v="0"/>
    <n v="0"/>
    <n v="0"/>
    <x v="1"/>
    <n v="129322"/>
    <x v="3248"/>
    <x v="0"/>
  </r>
  <r>
    <n v="110"/>
    <x v="2"/>
    <x v="5"/>
    <n v="3"/>
    <n v="2"/>
    <x v="1"/>
    <n v="699.59999999937895"/>
    <x v="2"/>
    <n v="0"/>
    <n v="0"/>
    <n v="0"/>
    <x v="1"/>
    <n v="129418"/>
    <x v="3249"/>
    <x v="0"/>
  </r>
  <r>
    <n v="111"/>
    <x v="2"/>
    <x v="6"/>
    <n v="2"/>
    <n v="2"/>
    <x v="1"/>
    <n v="765.40000000093801"/>
    <x v="2"/>
    <n v="0"/>
    <n v="0"/>
    <n v="0"/>
    <x v="1"/>
    <n v="158507"/>
    <x v="3250"/>
    <x v="0"/>
  </r>
  <r>
    <n v="112"/>
    <x v="2"/>
    <x v="4"/>
    <n v="2"/>
    <n v="2"/>
    <x v="1"/>
    <n v="596.39999999987504"/>
    <x v="2"/>
    <n v="0"/>
    <n v="0"/>
    <n v="0"/>
    <x v="1"/>
    <n v="176112"/>
    <x v="3251"/>
    <x v="0"/>
  </r>
  <r>
    <n v="113"/>
    <x v="2"/>
    <x v="6"/>
    <n v="2"/>
    <n v="2"/>
    <x v="1"/>
    <n v="751.00000000034595"/>
    <x v="2"/>
    <n v="0"/>
    <n v="0"/>
    <n v="0"/>
    <x v="1"/>
    <n v="146758"/>
    <x v="3252"/>
    <x v="0"/>
  </r>
  <r>
    <n v="114"/>
    <x v="2"/>
    <x v="6"/>
    <n v="3"/>
    <n v="2"/>
    <x v="1"/>
    <n v="740.59999999889203"/>
    <x v="2"/>
    <n v="0"/>
    <n v="0"/>
    <n v="0"/>
    <x v="1"/>
    <n v="188215"/>
    <x v="3253"/>
    <x v="0"/>
  </r>
  <r>
    <n v="115"/>
    <x v="2"/>
    <x v="6"/>
    <n v="2"/>
    <n v="2"/>
    <x v="1"/>
    <n v="718.999999998715"/>
    <x v="2"/>
    <n v="0"/>
    <n v="0"/>
    <n v="0"/>
    <x v="1"/>
    <n v="82685"/>
    <x v="3254"/>
    <x v="0"/>
  </r>
  <r>
    <n v="116"/>
    <x v="2"/>
    <x v="8"/>
    <n v="3"/>
    <n v="2"/>
    <x v="1"/>
    <n v="868.39999999952499"/>
    <x v="2"/>
    <n v="0"/>
    <n v="0"/>
    <n v="0"/>
    <x v="1"/>
    <n v="191534"/>
    <x v="3255"/>
    <x v="0"/>
  </r>
  <r>
    <n v="117"/>
    <x v="2"/>
    <x v="9"/>
    <n v="3"/>
    <n v="2"/>
    <x v="1"/>
    <n v="999.2000000004"/>
    <x v="2"/>
    <n v="0"/>
    <n v="0"/>
    <n v="0"/>
    <x v="1"/>
    <n v="163894"/>
    <x v="3256"/>
    <x v="0"/>
  </r>
  <r>
    <n v="118"/>
    <x v="2"/>
    <x v="4"/>
    <n v="3"/>
    <n v="2"/>
    <x v="1"/>
    <n v="528.40000000102805"/>
    <x v="2"/>
    <n v="0"/>
    <n v="0"/>
    <n v="0"/>
    <x v="1"/>
    <n v="146637"/>
    <x v="3257"/>
    <x v="0"/>
  </r>
  <r>
    <n v="119"/>
    <x v="2"/>
    <x v="5"/>
    <n v="2"/>
    <n v="2"/>
    <x v="1"/>
    <n v="583.60000000092805"/>
    <x v="2"/>
    <n v="0"/>
    <n v="0"/>
    <n v="0"/>
    <x v="1"/>
    <n v="155301"/>
    <x v="3258"/>
    <x v="0"/>
  </r>
  <r>
    <n v="120"/>
    <x v="2"/>
    <x v="6"/>
    <n v="3"/>
    <n v="2"/>
    <x v="1"/>
    <n v="640.39999999891995"/>
    <x v="2"/>
    <n v="0"/>
    <n v="0"/>
    <n v="0"/>
    <x v="1"/>
    <n v="199648"/>
    <x v="3259"/>
    <x v="0"/>
  </r>
  <r>
    <n v="121"/>
    <x v="2"/>
    <x v="7"/>
    <n v="3"/>
    <n v="2"/>
    <x v="1"/>
    <n v="718.20000000073503"/>
    <x v="2"/>
    <n v="0"/>
    <n v="0"/>
    <n v="0"/>
    <x v="1"/>
    <n v="31088"/>
    <x v="3260"/>
    <x v="0"/>
  </r>
  <r>
    <n v="122"/>
    <x v="2"/>
    <x v="7"/>
    <n v="3"/>
    <n v="2"/>
    <x v="1"/>
    <n v="749.19999999991705"/>
    <x v="2"/>
    <n v="0"/>
    <n v="0"/>
    <n v="0"/>
    <x v="1"/>
    <n v="125878"/>
    <x v="3261"/>
    <x v="0"/>
  </r>
  <r>
    <n v="123"/>
    <x v="2"/>
    <x v="5"/>
    <n v="3"/>
    <n v="2"/>
    <x v="1"/>
    <n v="575.400000000315"/>
    <x v="2"/>
    <n v="0"/>
    <n v="0"/>
    <n v="0"/>
    <x v="1"/>
    <n v="129554"/>
    <x v="3262"/>
    <x v="0"/>
  </r>
  <r>
    <n v="124"/>
    <x v="2"/>
    <x v="5"/>
    <n v="2"/>
    <n v="2"/>
    <x v="1"/>
    <n v="587.59999999935496"/>
    <x v="2"/>
    <n v="0"/>
    <n v="0"/>
    <n v="0"/>
    <x v="1"/>
    <n v="118870"/>
    <x v="3263"/>
    <x v="0"/>
  </r>
  <r>
    <n v="125"/>
    <x v="2"/>
    <x v="7"/>
    <n v="3"/>
    <n v="2"/>
    <x v="1"/>
    <n v="737.20000000037101"/>
    <x v="2"/>
    <n v="0"/>
    <n v="0"/>
    <n v="0"/>
    <x v="1"/>
    <n v="114492"/>
    <x v="3264"/>
    <x v="0"/>
  </r>
  <r>
    <n v="126"/>
    <x v="2"/>
    <x v="8"/>
    <n v="3"/>
    <n v="2"/>
    <x v="1"/>
    <n v="821.60000000044397"/>
    <x v="2"/>
    <n v="0"/>
    <n v="0"/>
    <n v="0"/>
    <x v="1"/>
    <n v="129241"/>
    <x v="3265"/>
    <x v="0"/>
  </r>
  <r>
    <n v="127"/>
    <x v="2"/>
    <x v="8"/>
    <n v="3"/>
    <n v="2"/>
    <x v="1"/>
    <n v="823.40000000087298"/>
    <x v="2"/>
    <n v="0"/>
    <n v="0"/>
    <n v="0"/>
    <x v="1"/>
    <n v="130301"/>
    <x v="3266"/>
    <x v="0"/>
  </r>
  <r>
    <n v="128"/>
    <x v="2"/>
    <x v="8"/>
    <n v="3"/>
    <n v="2"/>
    <x v="1"/>
    <n v="829.99999999984198"/>
    <x v="2"/>
    <n v="0"/>
    <n v="0"/>
    <n v="0"/>
    <x v="1"/>
    <n v="131078"/>
    <x v="3267"/>
    <x v="0"/>
  </r>
  <r>
    <n v="129"/>
    <x v="2"/>
    <x v="9"/>
    <n v="3"/>
    <n v="2"/>
    <x v="1"/>
    <n v="916.99999999903503"/>
    <x v="2"/>
    <n v="0"/>
    <n v="0"/>
    <n v="0"/>
    <x v="1"/>
    <n v="133760"/>
    <x v="3268"/>
    <x v="0"/>
  </r>
  <r>
    <n v="100"/>
    <x v="2"/>
    <x v="2"/>
    <n v="3"/>
    <n v="2"/>
    <x v="1"/>
    <n v="0"/>
    <x v="3"/>
    <n v="0"/>
    <n v="0"/>
    <n v="0"/>
    <x v="0"/>
    <n v="0"/>
    <x v="3269"/>
    <x v="0"/>
  </r>
  <r>
    <n v="101"/>
    <x v="2"/>
    <x v="4"/>
    <n v="2"/>
    <n v="2"/>
    <x v="1"/>
    <n v="0"/>
    <x v="3"/>
    <n v="0"/>
    <n v="0"/>
    <n v="0"/>
    <x v="0"/>
    <n v="0"/>
    <x v="3270"/>
    <x v="0"/>
  </r>
  <r>
    <n v="102"/>
    <x v="2"/>
    <x v="4"/>
    <n v="3"/>
    <n v="2"/>
    <x v="1"/>
    <n v="0"/>
    <x v="3"/>
    <n v="0"/>
    <n v="0"/>
    <n v="0"/>
    <x v="0"/>
    <n v="0"/>
    <x v="3271"/>
    <x v="0"/>
  </r>
  <r>
    <n v="103"/>
    <x v="2"/>
    <x v="4"/>
    <n v="3"/>
    <n v="2"/>
    <x v="1"/>
    <n v="0"/>
    <x v="3"/>
    <n v="0"/>
    <n v="0"/>
    <n v="0"/>
    <x v="0"/>
    <n v="0"/>
    <x v="3272"/>
    <x v="0"/>
  </r>
  <r>
    <n v="104"/>
    <x v="2"/>
    <x v="3"/>
    <n v="3"/>
    <n v="2"/>
    <x v="1"/>
    <n v="0"/>
    <x v="3"/>
    <n v="0"/>
    <n v="0"/>
    <n v="0"/>
    <x v="0"/>
    <n v="0"/>
    <x v="3273"/>
    <x v="0"/>
  </r>
  <r>
    <n v="105"/>
    <x v="2"/>
    <x v="5"/>
    <n v="2"/>
    <n v="2"/>
    <x v="1"/>
    <n v="0"/>
    <x v="3"/>
    <n v="0"/>
    <n v="0"/>
    <n v="0"/>
    <x v="0"/>
    <n v="0"/>
    <x v="3274"/>
    <x v="0"/>
  </r>
  <r>
    <n v="106"/>
    <x v="2"/>
    <x v="5"/>
    <n v="3"/>
    <n v="2"/>
    <x v="1"/>
    <n v="0"/>
    <x v="3"/>
    <n v="0"/>
    <n v="0"/>
    <n v="0"/>
    <x v="0"/>
    <n v="0"/>
    <x v="3275"/>
    <x v="0"/>
  </r>
  <r>
    <n v="107"/>
    <x v="2"/>
    <x v="5"/>
    <n v="3"/>
    <n v="2"/>
    <x v="1"/>
    <n v="0"/>
    <x v="3"/>
    <n v="0"/>
    <n v="0"/>
    <n v="0"/>
    <x v="0"/>
    <n v="0"/>
    <x v="3276"/>
    <x v="0"/>
  </r>
  <r>
    <n v="108"/>
    <x v="2"/>
    <x v="6"/>
    <n v="2"/>
    <n v="2"/>
    <x v="1"/>
    <n v="0"/>
    <x v="3"/>
    <n v="0"/>
    <n v="0"/>
    <n v="0"/>
    <x v="0"/>
    <n v="0"/>
    <x v="3277"/>
    <x v="0"/>
  </r>
  <r>
    <n v="109"/>
    <x v="2"/>
    <x v="5"/>
    <n v="3"/>
    <n v="2"/>
    <x v="1"/>
    <n v="0"/>
    <x v="3"/>
    <n v="0"/>
    <n v="0"/>
    <n v="0"/>
    <x v="0"/>
    <n v="0"/>
    <x v="3278"/>
    <x v="0"/>
  </r>
  <r>
    <n v="110"/>
    <x v="2"/>
    <x v="5"/>
    <n v="3"/>
    <n v="2"/>
    <x v="1"/>
    <n v="0"/>
    <x v="3"/>
    <n v="0"/>
    <n v="0"/>
    <n v="0"/>
    <x v="0"/>
    <n v="0"/>
    <x v="3279"/>
    <x v="0"/>
  </r>
  <r>
    <n v="111"/>
    <x v="2"/>
    <x v="6"/>
    <n v="2"/>
    <n v="2"/>
    <x v="1"/>
    <n v="0"/>
    <x v="3"/>
    <n v="0"/>
    <n v="0"/>
    <n v="0"/>
    <x v="0"/>
    <n v="0"/>
    <x v="3280"/>
    <x v="0"/>
  </r>
  <r>
    <n v="112"/>
    <x v="2"/>
    <x v="4"/>
    <n v="2"/>
    <n v="2"/>
    <x v="1"/>
    <n v="0"/>
    <x v="3"/>
    <n v="0"/>
    <n v="0"/>
    <n v="0"/>
    <x v="0"/>
    <n v="0"/>
    <x v="3281"/>
    <x v="0"/>
  </r>
  <r>
    <n v="113"/>
    <x v="2"/>
    <x v="6"/>
    <n v="2"/>
    <n v="2"/>
    <x v="1"/>
    <n v="0"/>
    <x v="3"/>
    <n v="0"/>
    <n v="0"/>
    <n v="0"/>
    <x v="0"/>
    <n v="0"/>
    <x v="3282"/>
    <x v="0"/>
  </r>
  <r>
    <n v="114"/>
    <x v="2"/>
    <x v="6"/>
    <n v="3"/>
    <n v="2"/>
    <x v="1"/>
    <n v="0"/>
    <x v="3"/>
    <n v="0"/>
    <n v="0"/>
    <n v="0"/>
    <x v="0"/>
    <n v="0"/>
    <x v="3283"/>
    <x v="0"/>
  </r>
  <r>
    <n v="115"/>
    <x v="2"/>
    <x v="6"/>
    <n v="2"/>
    <n v="2"/>
    <x v="1"/>
    <n v="0"/>
    <x v="3"/>
    <n v="0"/>
    <n v="0"/>
    <n v="0"/>
    <x v="0"/>
    <n v="0"/>
    <x v="3284"/>
    <x v="0"/>
  </r>
  <r>
    <n v="116"/>
    <x v="2"/>
    <x v="8"/>
    <n v="3"/>
    <n v="2"/>
    <x v="1"/>
    <n v="0"/>
    <x v="3"/>
    <n v="0"/>
    <n v="0"/>
    <n v="0"/>
    <x v="0"/>
    <n v="0"/>
    <x v="3285"/>
    <x v="0"/>
  </r>
  <r>
    <n v="117"/>
    <x v="2"/>
    <x v="9"/>
    <n v="3"/>
    <n v="2"/>
    <x v="1"/>
    <n v="0"/>
    <x v="3"/>
    <n v="0"/>
    <n v="0"/>
    <n v="0"/>
    <x v="0"/>
    <n v="0"/>
    <x v="3286"/>
    <x v="0"/>
  </r>
  <r>
    <n v="118"/>
    <x v="2"/>
    <x v="4"/>
    <n v="3"/>
    <n v="2"/>
    <x v="1"/>
    <n v="0"/>
    <x v="3"/>
    <n v="0"/>
    <n v="0"/>
    <n v="0"/>
    <x v="0"/>
    <n v="0"/>
    <x v="3287"/>
    <x v="0"/>
  </r>
  <r>
    <n v="119"/>
    <x v="2"/>
    <x v="5"/>
    <n v="2"/>
    <n v="2"/>
    <x v="1"/>
    <n v="0"/>
    <x v="3"/>
    <n v="0"/>
    <n v="0"/>
    <n v="0"/>
    <x v="0"/>
    <n v="0"/>
    <x v="3288"/>
    <x v="0"/>
  </r>
  <r>
    <n v="120"/>
    <x v="2"/>
    <x v="6"/>
    <n v="3"/>
    <n v="2"/>
    <x v="1"/>
    <n v="0"/>
    <x v="3"/>
    <n v="0"/>
    <n v="0"/>
    <n v="0"/>
    <x v="0"/>
    <n v="0"/>
    <x v="3289"/>
    <x v="0"/>
  </r>
  <r>
    <n v="121"/>
    <x v="2"/>
    <x v="7"/>
    <n v="3"/>
    <n v="2"/>
    <x v="1"/>
    <n v="0"/>
    <x v="3"/>
    <n v="0"/>
    <n v="0"/>
    <n v="0"/>
    <x v="0"/>
    <n v="0"/>
    <x v="3290"/>
    <x v="0"/>
  </r>
  <r>
    <n v="122"/>
    <x v="2"/>
    <x v="7"/>
    <n v="3"/>
    <n v="2"/>
    <x v="1"/>
    <n v="0"/>
    <x v="3"/>
    <n v="0"/>
    <n v="0"/>
    <n v="0"/>
    <x v="0"/>
    <n v="0"/>
    <x v="3291"/>
    <x v="0"/>
  </r>
  <r>
    <n v="123"/>
    <x v="2"/>
    <x v="5"/>
    <n v="3"/>
    <n v="2"/>
    <x v="1"/>
    <n v="0"/>
    <x v="3"/>
    <n v="0"/>
    <n v="0"/>
    <n v="0"/>
    <x v="0"/>
    <n v="0"/>
    <x v="3292"/>
    <x v="0"/>
  </r>
  <r>
    <n v="124"/>
    <x v="2"/>
    <x v="5"/>
    <n v="2"/>
    <n v="2"/>
    <x v="1"/>
    <n v="0"/>
    <x v="3"/>
    <n v="0"/>
    <n v="0"/>
    <n v="0"/>
    <x v="0"/>
    <n v="0"/>
    <x v="3293"/>
    <x v="0"/>
  </r>
  <r>
    <n v="125"/>
    <x v="2"/>
    <x v="7"/>
    <n v="3"/>
    <n v="2"/>
    <x v="1"/>
    <n v="0"/>
    <x v="3"/>
    <n v="0"/>
    <n v="0"/>
    <n v="0"/>
    <x v="0"/>
    <n v="0"/>
    <x v="3294"/>
    <x v="0"/>
  </r>
  <r>
    <n v="126"/>
    <x v="2"/>
    <x v="8"/>
    <n v="3"/>
    <n v="2"/>
    <x v="1"/>
    <n v="0"/>
    <x v="3"/>
    <n v="0"/>
    <n v="0"/>
    <n v="0"/>
    <x v="0"/>
    <n v="0"/>
    <x v="3295"/>
    <x v="0"/>
  </r>
  <r>
    <n v="127"/>
    <x v="2"/>
    <x v="8"/>
    <n v="3"/>
    <n v="2"/>
    <x v="1"/>
    <n v="0"/>
    <x v="3"/>
    <n v="0"/>
    <n v="0"/>
    <n v="0"/>
    <x v="0"/>
    <n v="0"/>
    <x v="3296"/>
    <x v="0"/>
  </r>
  <r>
    <n v="128"/>
    <x v="2"/>
    <x v="8"/>
    <n v="3"/>
    <n v="2"/>
    <x v="1"/>
    <n v="0"/>
    <x v="3"/>
    <n v="0"/>
    <n v="0"/>
    <n v="0"/>
    <x v="0"/>
    <n v="0"/>
    <x v="3297"/>
    <x v="0"/>
  </r>
  <r>
    <n v="129"/>
    <x v="2"/>
    <x v="9"/>
    <n v="3"/>
    <n v="2"/>
    <x v="1"/>
    <n v="0"/>
    <x v="3"/>
    <n v="0"/>
    <n v="0"/>
    <n v="0"/>
    <x v="0"/>
    <n v="0"/>
    <x v="3298"/>
    <x v="0"/>
  </r>
  <r>
    <n v="130"/>
    <x v="3"/>
    <x v="4"/>
    <n v="2"/>
    <n v="2"/>
    <x v="0"/>
    <n v="387.79999999931601"/>
    <x v="2"/>
    <n v="0"/>
    <n v="0"/>
    <n v="0"/>
    <x v="1"/>
    <n v="91783"/>
    <x v="3299"/>
    <x v="1"/>
  </r>
  <r>
    <n v="131"/>
    <x v="3"/>
    <x v="3"/>
    <n v="2"/>
    <n v="2"/>
    <x v="0"/>
    <n v="274.80000000039701"/>
    <x v="2"/>
    <n v="0"/>
    <n v="0"/>
    <n v="0"/>
    <x v="1"/>
    <n v="76656"/>
    <x v="3300"/>
    <x v="1"/>
  </r>
  <r>
    <n v="132"/>
    <x v="3"/>
    <x v="4"/>
    <n v="3"/>
    <n v="1"/>
    <x v="0"/>
    <n v="241.19999999996401"/>
    <x v="2"/>
    <n v="0"/>
    <n v="0"/>
    <n v="0"/>
    <x v="1"/>
    <n v="80313"/>
    <x v="3301"/>
    <x v="1"/>
  </r>
  <r>
    <n v="133"/>
    <x v="3"/>
    <x v="5"/>
    <n v="3"/>
    <n v="1"/>
    <x v="0"/>
    <n v="285.79999999962502"/>
    <x v="2"/>
    <n v="0"/>
    <n v="0"/>
    <n v="0"/>
    <x v="1"/>
    <n v="97552"/>
    <x v="3302"/>
    <x v="0"/>
  </r>
  <r>
    <n v="134"/>
    <x v="3"/>
    <x v="6"/>
    <n v="2"/>
    <n v="2"/>
    <x v="0"/>
    <n v="475.39999999983701"/>
    <x v="2"/>
    <n v="0"/>
    <n v="0"/>
    <n v="0"/>
    <x v="1"/>
    <n v="118840"/>
    <x v="3303"/>
    <x v="0"/>
  </r>
  <r>
    <n v="135"/>
    <x v="3"/>
    <x v="5"/>
    <n v="3"/>
    <n v="3"/>
    <x v="0"/>
    <n v="545.40000000038503"/>
    <x v="2"/>
    <n v="0"/>
    <n v="0"/>
    <n v="0"/>
    <x v="1"/>
    <n v="127025"/>
    <x v="3304"/>
    <x v="1"/>
  </r>
  <r>
    <n v="136"/>
    <x v="3"/>
    <x v="5"/>
    <n v="2"/>
    <n v="2"/>
    <x v="0"/>
    <n v="424.59999999948701"/>
    <x v="2"/>
    <n v="0"/>
    <n v="0"/>
    <n v="0"/>
    <x v="1"/>
    <n v="118650"/>
    <x v="3305"/>
    <x v="1"/>
  </r>
  <r>
    <n v="137"/>
    <x v="3"/>
    <x v="6"/>
    <n v="3"/>
    <n v="1"/>
    <x v="0"/>
    <n v="308.40000000011997"/>
    <x v="2"/>
    <n v="0"/>
    <n v="0"/>
    <n v="0"/>
    <x v="1"/>
    <n v="134852"/>
    <x v="3306"/>
    <x v="0"/>
  </r>
  <r>
    <n v="138"/>
    <x v="3"/>
    <x v="8"/>
    <n v="3"/>
    <n v="3"/>
    <x v="0"/>
    <n v="904.00000000023795"/>
    <x v="2"/>
    <n v="0"/>
    <n v="0"/>
    <n v="0"/>
    <x v="1"/>
    <n v="117635"/>
    <x v="3307"/>
    <x v="1"/>
  </r>
  <r>
    <n v="139"/>
    <x v="3"/>
    <x v="8"/>
    <n v="3"/>
    <n v="1"/>
    <x v="0"/>
    <n v="375.99999999962102"/>
    <x v="2"/>
    <n v="0"/>
    <n v="0"/>
    <n v="0"/>
    <x v="1"/>
    <n v="146220"/>
    <x v="3308"/>
    <x v="0"/>
  </r>
  <r>
    <n v="140"/>
    <x v="3"/>
    <x v="8"/>
    <n v="2"/>
    <n v="2"/>
    <x v="0"/>
    <n v="621.00000000064904"/>
    <x v="2"/>
    <n v="0"/>
    <n v="0"/>
    <n v="0"/>
    <x v="1"/>
    <n v="134766"/>
    <x v="3309"/>
    <x v="1"/>
  </r>
  <r>
    <n v="141"/>
    <x v="3"/>
    <x v="7"/>
    <n v="3"/>
    <n v="1"/>
    <x v="0"/>
    <n v="330.20000000014699"/>
    <x v="2"/>
    <n v="0"/>
    <n v="0"/>
    <n v="0"/>
    <x v="1"/>
    <n v="110968"/>
    <x v="3310"/>
    <x v="0"/>
  </r>
  <r>
    <n v="142"/>
    <x v="3"/>
    <x v="10"/>
    <n v="3"/>
    <n v="1"/>
    <x v="0"/>
    <n v="522.39999999983399"/>
    <x v="2"/>
    <n v="0"/>
    <n v="0"/>
    <n v="0"/>
    <x v="1"/>
    <n v="94976"/>
    <x v="3311"/>
    <x v="0"/>
  </r>
  <r>
    <n v="143"/>
    <x v="3"/>
    <x v="7"/>
    <n v="3"/>
    <n v="3"/>
    <x v="0"/>
    <n v="650.400000000673"/>
    <x v="2"/>
    <n v="0"/>
    <n v="0"/>
    <n v="0"/>
    <x v="1"/>
    <n v="103563"/>
    <x v="3312"/>
    <x v="1"/>
  </r>
  <r>
    <n v="144"/>
    <x v="3"/>
    <x v="6"/>
    <n v="2"/>
    <n v="2"/>
    <x v="0"/>
    <n v="354.000000000809"/>
    <x v="2"/>
    <n v="0"/>
    <n v="0"/>
    <n v="0"/>
    <x v="1"/>
    <n v="97557"/>
    <x v="3313"/>
    <x v="1"/>
  </r>
  <r>
    <n v="145"/>
    <x v="3"/>
    <x v="7"/>
    <n v="3"/>
    <n v="3"/>
    <x v="0"/>
    <n v="586.80000000066502"/>
    <x v="2"/>
    <n v="0"/>
    <n v="0"/>
    <n v="0"/>
    <x v="1"/>
    <n v="112606"/>
    <x v="3314"/>
    <x v="1"/>
  </r>
  <r>
    <n v="146"/>
    <x v="3"/>
    <x v="6"/>
    <n v="3"/>
    <n v="3"/>
    <x v="0"/>
    <n v="500.00000000025602"/>
    <x v="2"/>
    <n v="0"/>
    <n v="0"/>
    <n v="0"/>
    <x v="1"/>
    <n v="98042"/>
    <x v="3315"/>
    <x v="1"/>
  </r>
  <r>
    <n v="147"/>
    <x v="3"/>
    <x v="7"/>
    <n v="2"/>
    <n v="2"/>
    <x v="0"/>
    <n v="443.40000000069301"/>
    <x v="2"/>
    <n v="0"/>
    <n v="0"/>
    <n v="0"/>
    <x v="1"/>
    <n v="141263"/>
    <x v="3316"/>
    <x v="1"/>
  </r>
  <r>
    <n v="148"/>
    <x v="3"/>
    <x v="11"/>
    <n v="2"/>
    <n v="2"/>
    <x v="0"/>
    <n v="655.80000000018401"/>
    <x v="2"/>
    <n v="0"/>
    <n v="0"/>
    <n v="0"/>
    <x v="1"/>
    <n v="59776"/>
    <x v="3317"/>
    <x v="1"/>
  </r>
  <r>
    <n v="149"/>
    <x v="3"/>
    <x v="9"/>
    <n v="3"/>
    <n v="1"/>
    <x v="0"/>
    <n v="373.39999999979102"/>
    <x v="2"/>
    <n v="0"/>
    <n v="0"/>
    <n v="0"/>
    <x v="1"/>
    <n v="0"/>
    <x v="3318"/>
    <x v="0"/>
  </r>
  <r>
    <n v="150"/>
    <x v="3"/>
    <x v="8"/>
    <n v="2"/>
    <n v="2"/>
    <x v="0"/>
    <n v="470.20000000017598"/>
    <x v="2"/>
    <n v="0"/>
    <n v="0"/>
    <n v="0"/>
    <x v="1"/>
    <n v="91109"/>
    <x v="3319"/>
    <x v="1"/>
  </r>
  <r>
    <n v="151"/>
    <x v="3"/>
    <x v="8"/>
    <n v="3"/>
    <n v="1"/>
    <x v="0"/>
    <n v="300.20000000021702"/>
    <x v="2"/>
    <n v="0"/>
    <n v="0"/>
    <n v="0"/>
    <x v="1"/>
    <n v="153342"/>
    <x v="3320"/>
    <x v="0"/>
  </r>
  <r>
    <n v="152"/>
    <x v="3"/>
    <x v="9"/>
    <n v="2"/>
    <n v="2"/>
    <x v="0"/>
    <n v="515.00000000004297"/>
    <x v="2"/>
    <n v="0"/>
    <n v="0"/>
    <n v="0"/>
    <x v="1"/>
    <n v="160976"/>
    <x v="3321"/>
    <x v="1"/>
  </r>
  <r>
    <n v="153"/>
    <x v="3"/>
    <x v="8"/>
    <n v="3"/>
    <n v="3"/>
    <x v="0"/>
    <n v="644.79999999989002"/>
    <x v="2"/>
    <n v="0"/>
    <n v="0"/>
    <n v="0"/>
    <x v="1"/>
    <n v="137565"/>
    <x v="3322"/>
    <x v="1"/>
  </r>
  <r>
    <n v="154"/>
    <x v="3"/>
    <x v="9"/>
    <n v="2"/>
    <n v="2"/>
    <x v="0"/>
    <n v="479.39999999933002"/>
    <x v="2"/>
    <n v="0"/>
    <n v="0"/>
    <n v="0"/>
    <x v="1"/>
    <n v="104283"/>
    <x v="3323"/>
    <x v="1"/>
  </r>
  <r>
    <n v="155"/>
    <x v="3"/>
    <x v="10"/>
    <n v="3"/>
    <n v="3"/>
    <x v="0"/>
    <n v="890.00000000041302"/>
    <x v="2"/>
    <n v="0"/>
    <n v="0"/>
    <n v="0"/>
    <x v="1"/>
    <n v="122283"/>
    <x v="3324"/>
    <x v="1"/>
  </r>
  <r>
    <n v="156"/>
    <x v="3"/>
    <x v="10"/>
    <n v="2"/>
    <n v="2"/>
    <x v="0"/>
    <n v="633.40000000024997"/>
    <x v="2"/>
    <n v="0"/>
    <n v="0"/>
    <n v="0"/>
    <x v="1"/>
    <n v="152911"/>
    <x v="3325"/>
    <x v="1"/>
  </r>
  <r>
    <n v="157"/>
    <x v="3"/>
    <x v="9"/>
    <n v="3"/>
    <n v="3"/>
    <x v="0"/>
    <n v="698.79999999997699"/>
    <x v="2"/>
    <n v="0"/>
    <n v="0"/>
    <n v="0"/>
    <x v="1"/>
    <n v="127780"/>
    <x v="3326"/>
    <x v="1"/>
  </r>
  <r>
    <n v="158"/>
    <x v="3"/>
    <x v="11"/>
    <n v="3"/>
    <n v="1"/>
    <x v="0"/>
    <n v="367.000000000672"/>
    <x v="2"/>
    <n v="0"/>
    <n v="0"/>
    <n v="0"/>
    <x v="1"/>
    <n v="168144"/>
    <x v="3327"/>
    <x v="0"/>
  </r>
  <r>
    <n v="159"/>
    <x v="3"/>
    <x v="12"/>
    <n v="3"/>
    <n v="1"/>
    <x v="0"/>
    <n v="466.20000000032798"/>
    <x v="2"/>
    <n v="0"/>
    <n v="0"/>
    <n v="0"/>
    <x v="1"/>
    <n v="150737"/>
    <x v="3328"/>
    <x v="0"/>
  </r>
  <r>
    <n v="130"/>
    <x v="3"/>
    <x v="4"/>
    <n v="2"/>
    <n v="2"/>
    <x v="1"/>
    <n v="1550.0000000002999"/>
    <x v="2"/>
    <n v="0"/>
    <n v="0"/>
    <n v="0"/>
    <x v="1"/>
    <n v="125339"/>
    <x v="3329"/>
    <x v="1"/>
  </r>
  <r>
    <n v="131"/>
    <x v="3"/>
    <x v="3"/>
    <n v="2"/>
    <n v="2"/>
    <x v="1"/>
    <n v="863.79999999976997"/>
    <x v="2"/>
    <n v="0"/>
    <n v="0"/>
    <n v="0"/>
    <x v="1"/>
    <n v="143057"/>
    <x v="3330"/>
    <x v="1"/>
  </r>
  <r>
    <n v="132"/>
    <x v="3"/>
    <x v="4"/>
    <n v="3"/>
    <n v="1"/>
    <x v="1"/>
    <n v="758.19999999993104"/>
    <x v="2"/>
    <n v="0"/>
    <n v="0"/>
    <n v="0"/>
    <x v="1"/>
    <n v="205152"/>
    <x v="3331"/>
    <x v="1"/>
  </r>
  <r>
    <n v="133"/>
    <x v="3"/>
    <x v="5"/>
    <n v="3"/>
    <n v="1"/>
    <x v="1"/>
    <n v="817.40000000110103"/>
    <x v="2"/>
    <n v="0"/>
    <n v="0"/>
    <n v="0"/>
    <x v="1"/>
    <n v="185403"/>
    <x v="3332"/>
    <x v="0"/>
  </r>
  <r>
    <n v="134"/>
    <x v="3"/>
    <x v="6"/>
    <n v="2"/>
    <n v="2"/>
    <x v="1"/>
    <n v="1003.59999999995"/>
    <x v="2"/>
    <n v="0"/>
    <n v="0"/>
    <n v="0"/>
    <x v="1"/>
    <n v="133297"/>
    <x v="3333"/>
    <x v="0"/>
  </r>
  <r>
    <n v="135"/>
    <x v="3"/>
    <x v="5"/>
    <n v="3"/>
    <n v="3"/>
    <x v="1"/>
    <n v="1062.39999999929"/>
    <x v="2"/>
    <n v="0"/>
    <n v="0"/>
    <n v="0"/>
    <x v="1"/>
    <n v="0"/>
    <x v="3334"/>
    <x v="1"/>
  </r>
  <r>
    <n v="136"/>
    <x v="3"/>
    <x v="5"/>
    <n v="2"/>
    <n v="2"/>
    <x v="1"/>
    <n v="855.39999999966199"/>
    <x v="2"/>
    <n v="0"/>
    <n v="0"/>
    <n v="0"/>
    <x v="1"/>
    <n v="123305"/>
    <x v="3335"/>
    <x v="1"/>
  </r>
  <r>
    <n v="137"/>
    <x v="3"/>
    <x v="6"/>
    <n v="3"/>
    <n v="1"/>
    <x v="1"/>
    <n v="720.60000000035996"/>
    <x v="2"/>
    <n v="0"/>
    <n v="0"/>
    <n v="0"/>
    <x v="1"/>
    <n v="136338"/>
    <x v="3336"/>
    <x v="0"/>
  </r>
  <r>
    <n v="138"/>
    <x v="3"/>
    <x v="8"/>
    <n v="3"/>
    <n v="3"/>
    <x v="1"/>
    <n v="1299.99999999839"/>
    <x v="2"/>
    <n v="0"/>
    <n v="0"/>
    <n v="0"/>
    <x v="1"/>
    <n v="118782"/>
    <x v="3337"/>
    <x v="1"/>
  </r>
  <r>
    <n v="139"/>
    <x v="3"/>
    <x v="8"/>
    <n v="3"/>
    <n v="1"/>
    <x v="1"/>
    <n v="825.79999999978804"/>
    <x v="2"/>
    <n v="0"/>
    <n v="0"/>
    <n v="0"/>
    <x v="1"/>
    <n v="140396"/>
    <x v="3338"/>
    <x v="0"/>
  </r>
  <r>
    <n v="140"/>
    <x v="3"/>
    <x v="8"/>
    <n v="2"/>
    <n v="2"/>
    <x v="1"/>
    <n v="1023.7999999994"/>
    <x v="2"/>
    <n v="0"/>
    <n v="0"/>
    <n v="0"/>
    <x v="1"/>
    <n v="143590"/>
    <x v="3339"/>
    <x v="1"/>
  </r>
  <r>
    <n v="141"/>
    <x v="3"/>
    <x v="7"/>
    <n v="3"/>
    <n v="1"/>
    <x v="1"/>
    <n v="705.79999999935706"/>
    <x v="2"/>
    <n v="0"/>
    <n v="0"/>
    <n v="0"/>
    <x v="1"/>
    <n v="138116"/>
    <x v="3340"/>
    <x v="0"/>
  </r>
  <r>
    <n v="142"/>
    <x v="3"/>
    <x v="10"/>
    <n v="3"/>
    <n v="1"/>
    <x v="1"/>
    <n v="981.20000000037101"/>
    <x v="2"/>
    <n v="0"/>
    <n v="0"/>
    <n v="0"/>
    <x v="1"/>
    <n v="137751"/>
    <x v="3341"/>
    <x v="0"/>
  </r>
  <r>
    <n v="143"/>
    <x v="3"/>
    <x v="7"/>
    <n v="3"/>
    <n v="3"/>
    <x v="1"/>
    <n v="1071.7999999997101"/>
    <x v="2"/>
    <n v="0"/>
    <n v="0"/>
    <n v="0"/>
    <x v="1"/>
    <n v="117866"/>
    <x v="3342"/>
    <x v="1"/>
  </r>
  <r>
    <n v="144"/>
    <x v="3"/>
    <x v="6"/>
    <n v="2"/>
    <n v="2"/>
    <x v="1"/>
    <n v="809.99999999988904"/>
    <x v="2"/>
    <n v="0"/>
    <n v="0"/>
    <n v="0"/>
    <x v="1"/>
    <n v="135173"/>
    <x v="3343"/>
    <x v="1"/>
  </r>
  <r>
    <n v="145"/>
    <x v="3"/>
    <x v="7"/>
    <n v="3"/>
    <n v="3"/>
    <x v="1"/>
    <n v="1008.00000000092"/>
    <x v="2"/>
    <n v="0"/>
    <n v="0"/>
    <n v="0"/>
    <x v="1"/>
    <n v="118068"/>
    <x v="3344"/>
    <x v="1"/>
  </r>
  <r>
    <n v="146"/>
    <x v="3"/>
    <x v="6"/>
    <n v="3"/>
    <n v="3"/>
    <x v="1"/>
    <n v="862.99999999965803"/>
    <x v="2"/>
    <n v="0"/>
    <n v="0"/>
    <n v="0"/>
    <x v="1"/>
    <n v="114429"/>
    <x v="3345"/>
    <x v="1"/>
  </r>
  <r>
    <n v="147"/>
    <x v="3"/>
    <x v="7"/>
    <n v="2"/>
    <n v="2"/>
    <x v="1"/>
    <n v="805.59999999962895"/>
    <x v="2"/>
    <n v="0"/>
    <n v="0"/>
    <n v="0"/>
    <x v="1"/>
    <n v="139729"/>
    <x v="3346"/>
    <x v="1"/>
  </r>
  <r>
    <n v="148"/>
    <x v="3"/>
    <x v="11"/>
    <n v="2"/>
    <n v="2"/>
    <x v="1"/>
    <n v="1120.60000000014"/>
    <x v="2"/>
    <n v="0"/>
    <n v="0"/>
    <n v="0"/>
    <x v="1"/>
    <n v="118356"/>
    <x v="3347"/>
    <x v="1"/>
  </r>
  <r>
    <n v="149"/>
    <x v="3"/>
    <x v="9"/>
    <n v="3"/>
    <n v="1"/>
    <x v="1"/>
    <n v="793.40000000058797"/>
    <x v="2"/>
    <n v="0"/>
    <n v="0"/>
    <n v="0"/>
    <x v="1"/>
    <n v="126076"/>
    <x v="3348"/>
    <x v="0"/>
  </r>
  <r>
    <n v="150"/>
    <x v="3"/>
    <x v="8"/>
    <n v="2"/>
    <n v="2"/>
    <x v="1"/>
    <n v="900.00000000003399"/>
    <x v="2"/>
    <n v="0"/>
    <n v="0"/>
    <n v="0"/>
    <x v="1"/>
    <n v="183373"/>
    <x v="3349"/>
    <x v="1"/>
  </r>
  <r>
    <n v="151"/>
    <x v="3"/>
    <x v="8"/>
    <n v="3"/>
    <n v="1"/>
    <x v="1"/>
    <n v="722.80000000048994"/>
    <x v="2"/>
    <n v="0"/>
    <n v="0"/>
    <n v="0"/>
    <x v="1"/>
    <n v="145986"/>
    <x v="3350"/>
    <x v="0"/>
  </r>
  <r>
    <n v="152"/>
    <x v="3"/>
    <x v="9"/>
    <n v="2"/>
    <n v="2"/>
    <x v="1"/>
    <n v="1022.19999999917"/>
    <x v="2"/>
    <n v="0"/>
    <n v="0"/>
    <n v="0"/>
    <x v="1"/>
    <n v="150895"/>
    <x v="3351"/>
    <x v="1"/>
  </r>
  <r>
    <n v="153"/>
    <x v="3"/>
    <x v="8"/>
    <n v="3"/>
    <n v="3"/>
    <x v="1"/>
    <n v="1173.3999999997"/>
    <x v="2"/>
    <n v="0"/>
    <n v="0"/>
    <n v="0"/>
    <x v="1"/>
    <n v="119068"/>
    <x v="3352"/>
    <x v="1"/>
  </r>
  <r>
    <n v="154"/>
    <x v="3"/>
    <x v="9"/>
    <n v="2"/>
    <n v="2"/>
    <x v="1"/>
    <n v="1026.5999999994301"/>
    <x v="2"/>
    <n v="0"/>
    <n v="0"/>
    <n v="0"/>
    <x v="1"/>
    <n v="116097"/>
    <x v="3353"/>
    <x v="1"/>
  </r>
  <r>
    <n v="155"/>
    <x v="3"/>
    <x v="10"/>
    <n v="3"/>
    <n v="3"/>
    <x v="1"/>
    <n v="1529.80000000014"/>
    <x v="2"/>
    <n v="0"/>
    <n v="0"/>
    <n v="0"/>
    <x v="1"/>
    <n v="78200"/>
    <x v="3354"/>
    <x v="1"/>
  </r>
  <r>
    <n v="156"/>
    <x v="3"/>
    <x v="10"/>
    <n v="2"/>
    <n v="2"/>
    <x v="1"/>
    <n v="1191.7999999994299"/>
    <x v="2"/>
    <n v="0"/>
    <n v="0"/>
    <n v="0"/>
    <x v="1"/>
    <n v="153921"/>
    <x v="3355"/>
    <x v="1"/>
  </r>
  <r>
    <n v="157"/>
    <x v="3"/>
    <x v="9"/>
    <n v="3"/>
    <n v="3"/>
    <x v="1"/>
    <n v="1241.0000000002699"/>
    <x v="2"/>
    <n v="0"/>
    <n v="0"/>
    <n v="0"/>
    <x v="1"/>
    <n v="119309"/>
    <x v="3356"/>
    <x v="1"/>
  </r>
  <r>
    <n v="158"/>
    <x v="3"/>
    <x v="11"/>
    <n v="3"/>
    <n v="1"/>
    <x v="1"/>
    <n v="864.59999999988202"/>
    <x v="2"/>
    <n v="0"/>
    <n v="0"/>
    <n v="0"/>
    <x v="1"/>
    <n v="155844"/>
    <x v="3357"/>
    <x v="0"/>
  </r>
  <r>
    <n v="159"/>
    <x v="3"/>
    <x v="12"/>
    <n v="3"/>
    <n v="1"/>
    <x v="1"/>
    <n v="989.39999999885197"/>
    <x v="2"/>
    <n v="0"/>
    <n v="0"/>
    <n v="0"/>
    <x v="1"/>
    <n v="140199"/>
    <x v="3358"/>
    <x v="0"/>
  </r>
  <r>
    <n v="130"/>
    <x v="3"/>
    <x v="4"/>
    <n v="2"/>
    <n v="2"/>
    <x v="1"/>
    <n v="0"/>
    <x v="3"/>
    <n v="0"/>
    <n v="0"/>
    <n v="0"/>
    <x v="0"/>
    <n v="0"/>
    <x v="3359"/>
    <x v="0"/>
  </r>
  <r>
    <n v="131"/>
    <x v="3"/>
    <x v="3"/>
    <n v="2"/>
    <n v="2"/>
    <x v="1"/>
    <n v="0"/>
    <x v="3"/>
    <n v="0"/>
    <n v="0"/>
    <n v="0"/>
    <x v="0"/>
    <n v="0"/>
    <x v="3360"/>
    <x v="0"/>
  </r>
  <r>
    <n v="132"/>
    <x v="3"/>
    <x v="4"/>
    <n v="3"/>
    <n v="1"/>
    <x v="1"/>
    <n v="0"/>
    <x v="3"/>
    <n v="0"/>
    <n v="0"/>
    <n v="0"/>
    <x v="0"/>
    <n v="0"/>
    <x v="3361"/>
    <x v="0"/>
  </r>
  <r>
    <n v="133"/>
    <x v="3"/>
    <x v="5"/>
    <n v="3"/>
    <n v="1"/>
    <x v="1"/>
    <n v="0"/>
    <x v="3"/>
    <n v="0"/>
    <n v="0"/>
    <n v="0"/>
    <x v="0"/>
    <n v="0"/>
    <x v="3362"/>
    <x v="0"/>
  </r>
  <r>
    <n v="134"/>
    <x v="3"/>
    <x v="6"/>
    <n v="2"/>
    <n v="2"/>
    <x v="1"/>
    <n v="0"/>
    <x v="3"/>
    <n v="0"/>
    <n v="0"/>
    <n v="0"/>
    <x v="0"/>
    <n v="0"/>
    <x v="3363"/>
    <x v="0"/>
  </r>
  <r>
    <n v="135"/>
    <x v="3"/>
    <x v="5"/>
    <n v="3"/>
    <n v="3"/>
    <x v="1"/>
    <n v="0"/>
    <x v="3"/>
    <n v="0"/>
    <n v="0"/>
    <n v="0"/>
    <x v="0"/>
    <n v="0"/>
    <x v="3364"/>
    <x v="1"/>
  </r>
  <r>
    <n v="136"/>
    <x v="3"/>
    <x v="5"/>
    <n v="2"/>
    <n v="2"/>
    <x v="1"/>
    <n v="0"/>
    <x v="3"/>
    <n v="0"/>
    <n v="0"/>
    <n v="0"/>
    <x v="0"/>
    <n v="0"/>
    <x v="3365"/>
    <x v="1"/>
  </r>
  <r>
    <n v="137"/>
    <x v="3"/>
    <x v="6"/>
    <n v="3"/>
    <n v="1"/>
    <x v="1"/>
    <n v="0"/>
    <x v="3"/>
    <n v="0"/>
    <n v="0"/>
    <n v="0"/>
    <x v="0"/>
    <n v="0"/>
    <x v="3366"/>
    <x v="0"/>
  </r>
  <r>
    <n v="138"/>
    <x v="3"/>
    <x v="8"/>
    <n v="3"/>
    <n v="3"/>
    <x v="1"/>
    <n v="0"/>
    <x v="3"/>
    <n v="0"/>
    <n v="0"/>
    <n v="0"/>
    <x v="0"/>
    <n v="0"/>
    <x v="3367"/>
    <x v="1"/>
  </r>
  <r>
    <n v="139"/>
    <x v="3"/>
    <x v="8"/>
    <n v="3"/>
    <n v="1"/>
    <x v="1"/>
    <n v="0"/>
    <x v="3"/>
    <n v="0"/>
    <n v="0"/>
    <n v="0"/>
    <x v="0"/>
    <n v="0"/>
    <x v="3368"/>
    <x v="0"/>
  </r>
  <r>
    <n v="140"/>
    <x v="3"/>
    <x v="8"/>
    <n v="2"/>
    <n v="2"/>
    <x v="1"/>
    <n v="0"/>
    <x v="3"/>
    <n v="0"/>
    <n v="0"/>
    <n v="0"/>
    <x v="0"/>
    <n v="0"/>
    <x v="3369"/>
    <x v="1"/>
  </r>
  <r>
    <n v="141"/>
    <x v="3"/>
    <x v="7"/>
    <n v="3"/>
    <n v="1"/>
    <x v="1"/>
    <n v="0"/>
    <x v="3"/>
    <n v="0"/>
    <n v="0"/>
    <n v="0"/>
    <x v="0"/>
    <n v="0"/>
    <x v="3370"/>
    <x v="0"/>
  </r>
  <r>
    <n v="142"/>
    <x v="3"/>
    <x v="10"/>
    <n v="3"/>
    <n v="1"/>
    <x v="1"/>
    <n v="0"/>
    <x v="3"/>
    <n v="0"/>
    <n v="0"/>
    <n v="0"/>
    <x v="0"/>
    <n v="0"/>
    <x v="3371"/>
    <x v="0"/>
  </r>
  <r>
    <n v="143"/>
    <x v="3"/>
    <x v="7"/>
    <n v="3"/>
    <n v="3"/>
    <x v="1"/>
    <n v="0"/>
    <x v="3"/>
    <n v="0"/>
    <n v="0"/>
    <n v="0"/>
    <x v="0"/>
    <n v="0"/>
    <x v="3372"/>
    <x v="1"/>
  </r>
  <r>
    <n v="144"/>
    <x v="3"/>
    <x v="6"/>
    <n v="2"/>
    <n v="2"/>
    <x v="1"/>
    <n v="0"/>
    <x v="3"/>
    <n v="0"/>
    <n v="0"/>
    <n v="0"/>
    <x v="0"/>
    <n v="0"/>
    <x v="3373"/>
    <x v="1"/>
  </r>
  <r>
    <n v="145"/>
    <x v="3"/>
    <x v="7"/>
    <n v="3"/>
    <n v="3"/>
    <x v="1"/>
    <n v="0"/>
    <x v="3"/>
    <n v="0"/>
    <n v="0"/>
    <n v="0"/>
    <x v="0"/>
    <n v="0"/>
    <x v="3374"/>
    <x v="1"/>
  </r>
  <r>
    <n v="146"/>
    <x v="3"/>
    <x v="6"/>
    <n v="3"/>
    <n v="3"/>
    <x v="1"/>
    <n v="0"/>
    <x v="3"/>
    <n v="0"/>
    <n v="0"/>
    <n v="0"/>
    <x v="0"/>
    <n v="0"/>
    <x v="3375"/>
    <x v="1"/>
  </r>
  <r>
    <n v="147"/>
    <x v="3"/>
    <x v="7"/>
    <n v="2"/>
    <n v="2"/>
    <x v="1"/>
    <n v="0"/>
    <x v="3"/>
    <n v="0"/>
    <n v="0"/>
    <n v="0"/>
    <x v="0"/>
    <n v="0"/>
    <x v="3376"/>
    <x v="1"/>
  </r>
  <r>
    <n v="148"/>
    <x v="3"/>
    <x v="11"/>
    <n v="2"/>
    <n v="2"/>
    <x v="1"/>
    <n v="0"/>
    <x v="3"/>
    <n v="0"/>
    <n v="0"/>
    <n v="0"/>
    <x v="0"/>
    <n v="0"/>
    <x v="3377"/>
    <x v="1"/>
  </r>
  <r>
    <n v="149"/>
    <x v="3"/>
    <x v="9"/>
    <n v="3"/>
    <n v="1"/>
    <x v="1"/>
    <n v="0"/>
    <x v="3"/>
    <n v="0"/>
    <n v="0"/>
    <n v="0"/>
    <x v="0"/>
    <n v="0"/>
    <x v="3378"/>
    <x v="0"/>
  </r>
  <r>
    <n v="150"/>
    <x v="3"/>
    <x v="8"/>
    <n v="2"/>
    <n v="2"/>
    <x v="1"/>
    <n v="0"/>
    <x v="3"/>
    <n v="0"/>
    <n v="0"/>
    <n v="0"/>
    <x v="0"/>
    <n v="0"/>
    <x v="3379"/>
    <x v="1"/>
  </r>
  <r>
    <n v="151"/>
    <x v="3"/>
    <x v="8"/>
    <n v="3"/>
    <n v="1"/>
    <x v="1"/>
    <n v="0"/>
    <x v="3"/>
    <n v="0"/>
    <n v="0"/>
    <n v="0"/>
    <x v="0"/>
    <n v="0"/>
    <x v="3380"/>
    <x v="0"/>
  </r>
  <r>
    <n v="152"/>
    <x v="3"/>
    <x v="9"/>
    <n v="2"/>
    <n v="2"/>
    <x v="1"/>
    <n v="0"/>
    <x v="3"/>
    <n v="0"/>
    <n v="0"/>
    <n v="0"/>
    <x v="0"/>
    <n v="0"/>
    <x v="3381"/>
    <x v="1"/>
  </r>
  <r>
    <n v="153"/>
    <x v="3"/>
    <x v="8"/>
    <n v="3"/>
    <n v="3"/>
    <x v="1"/>
    <n v="0"/>
    <x v="3"/>
    <n v="0"/>
    <n v="0"/>
    <n v="0"/>
    <x v="0"/>
    <n v="0"/>
    <x v="3382"/>
    <x v="1"/>
  </r>
  <r>
    <n v="154"/>
    <x v="3"/>
    <x v="9"/>
    <n v="2"/>
    <n v="2"/>
    <x v="1"/>
    <n v="0"/>
    <x v="3"/>
    <n v="0"/>
    <n v="0"/>
    <n v="0"/>
    <x v="0"/>
    <n v="0"/>
    <x v="3383"/>
    <x v="1"/>
  </r>
  <r>
    <n v="155"/>
    <x v="3"/>
    <x v="10"/>
    <n v="3"/>
    <n v="3"/>
    <x v="1"/>
    <n v="0"/>
    <x v="3"/>
    <n v="0"/>
    <n v="0"/>
    <n v="0"/>
    <x v="0"/>
    <n v="0"/>
    <x v="3384"/>
    <x v="1"/>
  </r>
  <r>
    <n v="156"/>
    <x v="3"/>
    <x v="10"/>
    <n v="2"/>
    <n v="2"/>
    <x v="1"/>
    <n v="0"/>
    <x v="3"/>
    <n v="0"/>
    <n v="0"/>
    <n v="0"/>
    <x v="0"/>
    <n v="0"/>
    <x v="3385"/>
    <x v="1"/>
  </r>
  <r>
    <n v="157"/>
    <x v="3"/>
    <x v="9"/>
    <n v="3"/>
    <n v="3"/>
    <x v="1"/>
    <n v="0"/>
    <x v="3"/>
    <n v="0"/>
    <n v="0"/>
    <n v="0"/>
    <x v="0"/>
    <n v="0"/>
    <x v="3386"/>
    <x v="1"/>
  </r>
  <r>
    <n v="158"/>
    <x v="3"/>
    <x v="11"/>
    <n v="3"/>
    <n v="1"/>
    <x v="1"/>
    <n v="0"/>
    <x v="3"/>
    <n v="0"/>
    <n v="0"/>
    <n v="0"/>
    <x v="0"/>
    <n v="0"/>
    <x v="3387"/>
    <x v="0"/>
  </r>
  <r>
    <n v="159"/>
    <x v="3"/>
    <x v="12"/>
    <n v="3"/>
    <n v="1"/>
    <x v="1"/>
    <n v="0"/>
    <x v="3"/>
    <n v="0"/>
    <n v="0"/>
    <n v="0"/>
    <x v="0"/>
    <n v="0"/>
    <x v="3388"/>
    <x v="0"/>
  </r>
  <r>
    <n v="130"/>
    <x v="3"/>
    <x v="4"/>
    <n v="2"/>
    <n v="2"/>
    <x v="1"/>
    <n v="1550.0000000002999"/>
    <x v="2"/>
    <n v="0"/>
    <n v="0"/>
    <n v="0"/>
    <x v="2"/>
    <n v="339250"/>
    <x v="3389"/>
    <x v="0"/>
  </r>
  <r>
    <n v="131"/>
    <x v="3"/>
    <x v="3"/>
    <n v="2"/>
    <n v="2"/>
    <x v="1"/>
    <n v="863.79999999976997"/>
    <x v="2"/>
    <n v="0"/>
    <n v="0"/>
    <n v="0"/>
    <x v="2"/>
    <n v="121956"/>
    <x v="3390"/>
    <x v="0"/>
  </r>
  <r>
    <n v="132"/>
    <x v="3"/>
    <x v="4"/>
    <n v="3"/>
    <n v="1"/>
    <x v="1"/>
    <n v="758.19999999993104"/>
    <x v="2"/>
    <n v="0"/>
    <n v="0"/>
    <n v="0"/>
    <x v="2"/>
    <n v="350760"/>
    <x v="3391"/>
    <x v="0"/>
  </r>
  <r>
    <n v="133"/>
    <x v="3"/>
    <x v="5"/>
    <n v="3"/>
    <n v="1"/>
    <x v="1"/>
    <n v="817.40000000110103"/>
    <x v="2"/>
    <n v="0"/>
    <n v="0"/>
    <n v="0"/>
    <x v="2"/>
    <n v="313696"/>
    <x v="3392"/>
    <x v="0"/>
  </r>
  <r>
    <n v="134"/>
    <x v="3"/>
    <x v="6"/>
    <n v="2"/>
    <n v="2"/>
    <x v="1"/>
    <n v="1003.59999999995"/>
    <x v="2"/>
    <n v="0"/>
    <n v="0"/>
    <n v="0"/>
    <x v="2"/>
    <n v="332816"/>
    <x v="3393"/>
    <x v="0"/>
  </r>
  <r>
    <n v="135"/>
    <x v="3"/>
    <x v="5"/>
    <n v="3"/>
    <n v="3"/>
    <x v="1"/>
    <n v="1062.39999999929"/>
    <x v="2"/>
    <n v="0"/>
    <n v="0"/>
    <n v="0"/>
    <x v="2"/>
    <n v="286790"/>
    <x v="3394"/>
    <x v="1"/>
  </r>
  <r>
    <n v="136"/>
    <x v="3"/>
    <x v="5"/>
    <n v="2"/>
    <n v="2"/>
    <x v="1"/>
    <n v="855.39999999966199"/>
    <x v="2"/>
    <n v="0"/>
    <n v="0"/>
    <n v="0"/>
    <x v="2"/>
    <n v="319144"/>
    <x v="3395"/>
    <x v="1"/>
  </r>
  <r>
    <n v="137"/>
    <x v="3"/>
    <x v="6"/>
    <n v="3"/>
    <n v="1"/>
    <x v="1"/>
    <n v="720.60000000035996"/>
    <x v="2"/>
    <n v="0"/>
    <n v="0"/>
    <n v="0"/>
    <x v="2"/>
    <n v="345099"/>
    <x v="3396"/>
    <x v="0"/>
  </r>
  <r>
    <n v="138"/>
    <x v="3"/>
    <x v="8"/>
    <n v="3"/>
    <n v="3"/>
    <x v="1"/>
    <n v="1299.99999999839"/>
    <x v="2"/>
    <n v="0"/>
    <n v="0"/>
    <n v="0"/>
    <x v="2"/>
    <n v="276762"/>
    <x v="3397"/>
    <x v="1"/>
  </r>
  <r>
    <n v="139"/>
    <x v="3"/>
    <x v="8"/>
    <n v="3"/>
    <n v="1"/>
    <x v="1"/>
    <n v="825.79999999978804"/>
    <x v="2"/>
    <n v="0"/>
    <n v="0"/>
    <n v="0"/>
    <x v="2"/>
    <n v="377128"/>
    <x v="3398"/>
    <x v="0"/>
  </r>
  <r>
    <n v="140"/>
    <x v="3"/>
    <x v="8"/>
    <n v="2"/>
    <n v="2"/>
    <x v="1"/>
    <n v="1023.7999999994"/>
    <x v="2"/>
    <n v="0"/>
    <n v="0"/>
    <n v="0"/>
    <x v="2"/>
    <n v="363670"/>
    <x v="3399"/>
    <x v="1"/>
  </r>
  <r>
    <n v="141"/>
    <x v="3"/>
    <x v="7"/>
    <n v="3"/>
    <n v="1"/>
    <x v="1"/>
    <n v="705.79999999935706"/>
    <x v="2"/>
    <n v="0"/>
    <n v="0"/>
    <n v="0"/>
    <x v="2"/>
    <n v="212139"/>
    <x v="3400"/>
    <x v="0"/>
  </r>
  <r>
    <n v="142"/>
    <x v="3"/>
    <x v="10"/>
    <n v="3"/>
    <n v="1"/>
    <x v="1"/>
    <n v="981.20000000037101"/>
    <x v="2"/>
    <n v="0"/>
    <n v="0"/>
    <n v="0"/>
    <x v="2"/>
    <n v="341474"/>
    <x v="3401"/>
    <x v="0"/>
  </r>
  <r>
    <n v="143"/>
    <x v="3"/>
    <x v="7"/>
    <n v="3"/>
    <n v="3"/>
    <x v="1"/>
    <n v="1071.7999999997101"/>
    <x v="2"/>
    <n v="0"/>
    <n v="0"/>
    <n v="0"/>
    <x v="2"/>
    <n v="313526"/>
    <x v="3402"/>
    <x v="1"/>
  </r>
  <r>
    <n v="144"/>
    <x v="3"/>
    <x v="6"/>
    <n v="2"/>
    <n v="2"/>
    <x v="1"/>
    <n v="809.99999999988904"/>
    <x v="2"/>
    <n v="0"/>
    <n v="0"/>
    <n v="0"/>
    <x v="2"/>
    <n v="269312"/>
    <x v="3403"/>
    <x v="1"/>
  </r>
  <r>
    <n v="145"/>
    <x v="3"/>
    <x v="7"/>
    <n v="3"/>
    <n v="3"/>
    <x v="1"/>
    <n v="1008.00000000092"/>
    <x v="2"/>
    <n v="0"/>
    <n v="0"/>
    <n v="0"/>
    <x v="2"/>
    <n v="196661"/>
    <x v="3404"/>
    <x v="1"/>
  </r>
  <r>
    <n v="146"/>
    <x v="3"/>
    <x v="6"/>
    <n v="3"/>
    <n v="3"/>
    <x v="1"/>
    <n v="862.99999999965803"/>
    <x v="2"/>
    <n v="0"/>
    <n v="0"/>
    <n v="0"/>
    <x v="2"/>
    <n v="303868"/>
    <x v="3405"/>
    <x v="1"/>
  </r>
  <r>
    <n v="147"/>
    <x v="3"/>
    <x v="7"/>
    <n v="2"/>
    <n v="2"/>
    <x v="1"/>
    <n v="805.59999999962895"/>
    <x v="2"/>
    <n v="0"/>
    <n v="0"/>
    <n v="0"/>
    <x v="2"/>
    <n v="322507"/>
    <x v="3406"/>
    <x v="1"/>
  </r>
  <r>
    <n v="148"/>
    <x v="3"/>
    <x v="11"/>
    <n v="2"/>
    <n v="2"/>
    <x v="1"/>
    <n v="1120.60000000014"/>
    <x v="2"/>
    <n v="0"/>
    <n v="0"/>
    <n v="0"/>
    <x v="2"/>
    <n v="391052"/>
    <x v="3407"/>
    <x v="1"/>
  </r>
  <r>
    <n v="149"/>
    <x v="3"/>
    <x v="9"/>
    <n v="3"/>
    <n v="1"/>
    <x v="1"/>
    <n v="793.40000000058797"/>
    <x v="2"/>
    <n v="0"/>
    <n v="0"/>
    <n v="0"/>
    <x v="2"/>
    <n v="404785"/>
    <x v="3408"/>
    <x v="0"/>
  </r>
  <r>
    <n v="150"/>
    <x v="3"/>
    <x v="8"/>
    <n v="2"/>
    <n v="2"/>
    <x v="1"/>
    <n v="900.00000000003399"/>
    <x v="2"/>
    <n v="0"/>
    <n v="0"/>
    <n v="0"/>
    <x v="2"/>
    <n v="399086"/>
    <x v="3409"/>
    <x v="1"/>
  </r>
  <r>
    <n v="151"/>
    <x v="3"/>
    <x v="8"/>
    <n v="3"/>
    <n v="1"/>
    <x v="1"/>
    <n v="722.80000000048994"/>
    <x v="2"/>
    <n v="0"/>
    <n v="0"/>
    <n v="0"/>
    <x v="2"/>
    <n v="371883"/>
    <x v="3410"/>
    <x v="0"/>
  </r>
  <r>
    <n v="152"/>
    <x v="3"/>
    <x v="9"/>
    <n v="2"/>
    <n v="2"/>
    <x v="1"/>
    <n v="1022.19999999917"/>
    <x v="2"/>
    <n v="0"/>
    <n v="0"/>
    <n v="0"/>
    <x v="2"/>
    <n v="415627"/>
    <x v="3411"/>
    <x v="1"/>
  </r>
  <r>
    <n v="153"/>
    <x v="3"/>
    <x v="8"/>
    <n v="3"/>
    <n v="3"/>
    <x v="1"/>
    <n v="1173.3999999997"/>
    <x v="2"/>
    <n v="0"/>
    <n v="0"/>
    <n v="0"/>
    <x v="2"/>
    <n v="353930"/>
    <x v="3412"/>
    <x v="1"/>
  </r>
  <r>
    <n v="154"/>
    <x v="3"/>
    <x v="9"/>
    <n v="2"/>
    <n v="2"/>
    <x v="1"/>
    <n v="1026.5999999994301"/>
    <x v="2"/>
    <n v="0"/>
    <n v="0"/>
    <n v="0"/>
    <x v="2"/>
    <n v="269469"/>
    <x v="3413"/>
    <x v="1"/>
  </r>
  <r>
    <n v="155"/>
    <x v="3"/>
    <x v="10"/>
    <n v="3"/>
    <n v="3"/>
    <x v="1"/>
    <n v="1529.80000000014"/>
    <x v="2"/>
    <n v="0"/>
    <n v="0"/>
    <n v="0"/>
    <x v="2"/>
    <n v="236446"/>
    <x v="3414"/>
    <x v="1"/>
  </r>
  <r>
    <n v="156"/>
    <x v="3"/>
    <x v="10"/>
    <n v="2"/>
    <n v="2"/>
    <x v="1"/>
    <n v="1191.7999999994299"/>
    <x v="2"/>
    <n v="0"/>
    <n v="0"/>
    <n v="0"/>
    <x v="2"/>
    <n v="315680"/>
    <x v="3415"/>
    <x v="1"/>
  </r>
  <r>
    <n v="157"/>
    <x v="3"/>
    <x v="9"/>
    <n v="3"/>
    <n v="3"/>
    <x v="1"/>
    <n v="1241.0000000002699"/>
    <x v="2"/>
    <n v="0"/>
    <n v="0"/>
    <n v="0"/>
    <x v="2"/>
    <n v="279242"/>
    <x v="3416"/>
    <x v="1"/>
  </r>
  <r>
    <n v="158"/>
    <x v="3"/>
    <x v="11"/>
    <n v="3"/>
    <n v="1"/>
    <x v="1"/>
    <n v="864.59999999988202"/>
    <x v="2"/>
    <n v="0"/>
    <n v="0"/>
    <n v="0"/>
    <x v="2"/>
    <n v="339181"/>
    <x v="3417"/>
    <x v="0"/>
  </r>
  <r>
    <n v="159"/>
    <x v="3"/>
    <x v="12"/>
    <n v="3"/>
    <n v="1"/>
    <x v="1"/>
    <n v="989.39999999885197"/>
    <x v="2"/>
    <n v="0"/>
    <n v="0"/>
    <n v="0"/>
    <x v="2"/>
    <n v="357302"/>
    <x v="3418"/>
    <x v="0"/>
  </r>
  <r>
    <n v="160"/>
    <x v="4"/>
    <x v="4"/>
    <n v="2"/>
    <n v="3"/>
    <x v="1"/>
    <n v="2124.6000000005001"/>
    <x v="2"/>
    <n v="0"/>
    <n v="0"/>
    <n v="0"/>
    <x v="2"/>
    <n v="315924"/>
    <x v="3419"/>
    <x v="1"/>
  </r>
  <r>
    <n v="161"/>
    <x v="4"/>
    <x v="4"/>
    <n v="3"/>
    <n v="2"/>
    <x v="1"/>
    <n v="1285.8000000008501"/>
    <x v="2"/>
    <n v="0"/>
    <n v="0"/>
    <n v="0"/>
    <x v="2"/>
    <n v="332609"/>
    <x v="3420"/>
    <x v="1"/>
  </r>
  <r>
    <n v="162"/>
    <x v="4"/>
    <x v="4"/>
    <n v="2"/>
    <n v="3"/>
    <x v="1"/>
    <n v="1788.7999999999199"/>
    <x v="2"/>
    <n v="0"/>
    <n v="0"/>
    <n v="0"/>
    <x v="2"/>
    <n v="317368"/>
    <x v="3421"/>
    <x v="1"/>
  </r>
  <r>
    <n v="163"/>
    <x v="4"/>
    <x v="4"/>
    <n v="2"/>
    <n v="1"/>
    <x v="1"/>
    <n v="1078.5999999996"/>
    <x v="2"/>
    <n v="0"/>
    <n v="0"/>
    <n v="0"/>
    <x v="2"/>
    <n v="403850"/>
    <x v="3422"/>
    <x v="1"/>
  </r>
  <r>
    <n v="164"/>
    <x v="4"/>
    <x v="4"/>
    <n v="2"/>
    <n v="2"/>
    <x v="1"/>
    <n v="1362.4000000000101"/>
    <x v="2"/>
    <n v="0"/>
    <n v="0"/>
    <n v="0"/>
    <x v="2"/>
    <n v="310843"/>
    <x v="3423"/>
    <x v="1"/>
  </r>
  <r>
    <n v="165"/>
    <x v="4"/>
    <x v="4"/>
    <n v="2"/>
    <n v="3"/>
    <x v="1"/>
    <n v="1222.5999999998301"/>
    <x v="2"/>
    <n v="0"/>
    <n v="0"/>
    <n v="0"/>
    <x v="2"/>
    <n v="237499"/>
    <x v="3424"/>
    <x v="1"/>
  </r>
  <r>
    <n v="166"/>
    <x v="4"/>
    <x v="4"/>
    <n v="2"/>
    <n v="1"/>
    <x v="1"/>
    <n v="828.39999999961799"/>
    <x v="2"/>
    <n v="0"/>
    <n v="0"/>
    <n v="0"/>
    <x v="2"/>
    <n v="396617"/>
    <x v="3425"/>
    <x v="0"/>
  </r>
  <r>
    <n v="167"/>
    <x v="4"/>
    <x v="4"/>
    <n v="2"/>
    <n v="2"/>
    <x v="1"/>
    <n v="944.600000001117"/>
    <x v="2"/>
    <n v="0"/>
    <n v="0"/>
    <n v="0"/>
    <x v="2"/>
    <n v="380298"/>
    <x v="3426"/>
    <x v="1"/>
  </r>
  <r>
    <n v="168"/>
    <x v="4"/>
    <x v="4"/>
    <n v="3"/>
    <n v="3"/>
    <x v="1"/>
    <n v="1162.7999999994599"/>
    <x v="2"/>
    <n v="0"/>
    <n v="0"/>
    <n v="0"/>
    <x v="2"/>
    <n v="276512"/>
    <x v="3427"/>
    <x v="1"/>
  </r>
  <r>
    <n v="169"/>
    <x v="4"/>
    <x v="4"/>
    <n v="3"/>
    <n v="3"/>
    <x v="1"/>
    <n v="985.99999999962097"/>
    <x v="2"/>
    <n v="0"/>
    <n v="0"/>
    <n v="0"/>
    <x v="2"/>
    <n v="316418"/>
    <x v="3428"/>
    <x v="1"/>
  </r>
  <r>
    <n v="170"/>
    <x v="4"/>
    <x v="4"/>
    <n v="2"/>
    <n v="3"/>
    <x v="1"/>
    <n v="1070.39999999969"/>
    <x v="2"/>
    <n v="0"/>
    <n v="0"/>
    <n v="0"/>
    <x v="2"/>
    <n v="279055"/>
    <x v="3429"/>
    <x v="1"/>
  </r>
  <r>
    <n v="171"/>
    <x v="4"/>
    <x v="4"/>
    <n v="3"/>
    <n v="3"/>
    <x v="1"/>
    <n v="1168.6000000004501"/>
    <x v="2"/>
    <n v="0"/>
    <n v="0"/>
    <n v="0"/>
    <x v="2"/>
    <n v="317056"/>
    <x v="3430"/>
    <x v="1"/>
  </r>
  <r>
    <n v="172"/>
    <x v="4"/>
    <x v="4"/>
    <n v="2"/>
    <n v="2"/>
    <x v="1"/>
    <n v="975.20000000059804"/>
    <x v="2"/>
    <n v="0"/>
    <n v="0"/>
    <n v="0"/>
    <x v="2"/>
    <n v="308278"/>
    <x v="3431"/>
    <x v="1"/>
  </r>
  <r>
    <n v="173"/>
    <x v="4"/>
    <x v="4"/>
    <n v="3"/>
    <n v="2"/>
    <x v="1"/>
    <n v="996.19999999944798"/>
    <x v="2"/>
    <n v="0"/>
    <n v="0"/>
    <n v="0"/>
    <x v="2"/>
    <n v="352687"/>
    <x v="3432"/>
    <x v="1"/>
  </r>
  <r>
    <n v="174"/>
    <x v="4"/>
    <x v="4"/>
    <n v="2"/>
    <n v="2"/>
    <x v="1"/>
    <n v="987.00000000064904"/>
    <x v="2"/>
    <n v="0"/>
    <n v="0"/>
    <n v="0"/>
    <x v="2"/>
    <n v="314068"/>
    <x v="3433"/>
    <x v="1"/>
  </r>
  <r>
    <n v="175"/>
    <x v="4"/>
    <x v="4"/>
    <n v="3"/>
    <n v="2"/>
    <x v="1"/>
    <n v="1086.1999999995901"/>
    <x v="2"/>
    <n v="0"/>
    <n v="0"/>
    <n v="0"/>
    <x v="2"/>
    <n v="355888"/>
    <x v="3434"/>
    <x v="1"/>
  </r>
  <r>
    <n v="176"/>
    <x v="4"/>
    <x v="4"/>
    <n v="3"/>
    <n v="3"/>
    <x v="1"/>
    <n v="1291.2"/>
    <x v="2"/>
    <n v="0"/>
    <n v="0"/>
    <n v="0"/>
    <x v="2"/>
    <n v="237243"/>
    <x v="3435"/>
    <x v="1"/>
  </r>
  <r>
    <n v="177"/>
    <x v="4"/>
    <x v="4"/>
    <n v="2"/>
    <n v="3"/>
    <x v="1"/>
    <n v="989.79999999926395"/>
    <x v="2"/>
    <n v="0"/>
    <n v="0"/>
    <n v="0"/>
    <x v="2"/>
    <n v="277063"/>
    <x v="3436"/>
    <x v="1"/>
  </r>
  <r>
    <n v="178"/>
    <x v="4"/>
    <x v="4"/>
    <n v="3"/>
    <n v="3"/>
    <x v="1"/>
    <n v="977.60000000022296"/>
    <x v="2"/>
    <n v="0"/>
    <n v="0"/>
    <n v="0"/>
    <x v="2"/>
    <n v="237437"/>
    <x v="3437"/>
    <x v="1"/>
  </r>
  <r>
    <n v="179"/>
    <x v="4"/>
    <x v="4"/>
    <n v="3"/>
    <n v="3"/>
    <x v="1"/>
    <n v="1027.39999999883"/>
    <x v="2"/>
    <n v="0"/>
    <n v="0"/>
    <n v="0"/>
    <x v="2"/>
    <n v="316655"/>
    <x v="3438"/>
    <x v="1"/>
  </r>
  <r>
    <n v="180"/>
    <x v="4"/>
    <x v="4"/>
    <n v="3"/>
    <n v="3"/>
    <x v="1"/>
    <n v="997.40000000068096"/>
    <x v="2"/>
    <n v="0"/>
    <n v="0"/>
    <n v="0"/>
    <x v="2"/>
    <n v="316726"/>
    <x v="3439"/>
    <x v="1"/>
  </r>
  <r>
    <n v="181"/>
    <x v="4"/>
    <x v="4"/>
    <n v="2"/>
    <n v="3"/>
    <x v="1"/>
    <n v="1310.9999999997499"/>
    <x v="2"/>
    <n v="0"/>
    <n v="0"/>
    <n v="0"/>
    <x v="2"/>
    <n v="277031"/>
    <x v="3440"/>
    <x v="1"/>
  </r>
  <r>
    <n v="182"/>
    <x v="4"/>
    <x v="4"/>
    <n v="2"/>
    <n v="3"/>
    <x v="1"/>
    <n v="1100.39999999927"/>
    <x v="2"/>
    <n v="0"/>
    <n v="0"/>
    <n v="0"/>
    <x v="2"/>
    <n v="277096"/>
    <x v="3441"/>
    <x v="1"/>
  </r>
  <r>
    <n v="183"/>
    <x v="4"/>
    <x v="4"/>
    <n v="3"/>
    <n v="3"/>
    <x v="1"/>
    <n v="1108.40000000039"/>
    <x v="2"/>
    <n v="0"/>
    <n v="0"/>
    <n v="0"/>
    <x v="2"/>
    <n v="316840"/>
    <x v="3442"/>
    <x v="1"/>
  </r>
  <r>
    <n v="184"/>
    <x v="4"/>
    <x v="4"/>
    <n v="2"/>
    <n v="2"/>
    <x v="1"/>
    <n v="941.200000000464"/>
    <x v="2"/>
    <n v="0"/>
    <n v="0"/>
    <n v="0"/>
    <x v="2"/>
    <n v="308544"/>
    <x v="3443"/>
    <x v="1"/>
  </r>
  <r>
    <n v="185"/>
    <x v="4"/>
    <x v="4"/>
    <n v="2"/>
    <n v="3"/>
    <x v="1"/>
    <n v="1091.79999999967"/>
    <x v="2"/>
    <n v="0"/>
    <n v="0"/>
    <n v="0"/>
    <x v="2"/>
    <n v="158239"/>
    <x v="3444"/>
    <x v="1"/>
  </r>
  <r>
    <n v="186"/>
    <x v="4"/>
    <x v="4"/>
    <n v="3"/>
    <n v="3"/>
    <x v="1"/>
    <n v="1080.40000000074"/>
    <x v="2"/>
    <n v="0"/>
    <n v="0"/>
    <n v="0"/>
    <x v="2"/>
    <n v="237667"/>
    <x v="3445"/>
    <x v="1"/>
  </r>
  <r>
    <n v="187"/>
    <x v="4"/>
    <x v="4"/>
    <n v="3"/>
    <n v="2"/>
    <x v="1"/>
    <n v="864.19999999947095"/>
    <x v="2"/>
    <n v="0"/>
    <n v="0"/>
    <n v="0"/>
    <x v="2"/>
    <n v="185551"/>
    <x v="3446"/>
    <x v="1"/>
  </r>
  <r>
    <n v="188"/>
    <x v="4"/>
    <x v="4"/>
    <n v="3"/>
    <n v="2"/>
    <x v="1"/>
    <n v="954.99999999972795"/>
    <x v="2"/>
    <n v="0"/>
    <n v="0"/>
    <n v="0"/>
    <x v="2"/>
    <n v="193101"/>
    <x v="3447"/>
    <x v="1"/>
  </r>
  <r>
    <n v="189"/>
    <x v="4"/>
    <x v="4"/>
    <n v="3"/>
    <n v="3"/>
    <x v="1"/>
    <n v="1226.7999999998799"/>
    <x v="2"/>
    <n v="0"/>
    <n v="0"/>
    <n v="0"/>
    <x v="2"/>
    <n v="238047"/>
    <x v="3448"/>
    <x v="1"/>
  </r>
  <r>
    <n v="160"/>
    <x v="4"/>
    <x v="4"/>
    <n v="2"/>
    <n v="3"/>
    <x v="1"/>
    <n v="2124.6000000005001"/>
    <x v="2"/>
    <n v="0"/>
    <n v="0"/>
    <n v="0"/>
    <x v="3"/>
    <n v="236749"/>
    <x v="3449"/>
    <x v="1"/>
  </r>
  <r>
    <n v="161"/>
    <x v="4"/>
    <x v="4"/>
    <n v="3"/>
    <n v="2"/>
    <x v="1"/>
    <n v="1285.8000000008501"/>
    <x v="2"/>
    <n v="0"/>
    <n v="0"/>
    <n v="0"/>
    <x v="3"/>
    <n v="554485"/>
    <x v="3450"/>
    <x v="0"/>
  </r>
  <r>
    <n v="162"/>
    <x v="4"/>
    <x v="4"/>
    <n v="2"/>
    <n v="3"/>
    <x v="1"/>
    <n v="1788.7999999999199"/>
    <x v="2"/>
    <n v="0"/>
    <n v="0"/>
    <n v="0"/>
    <x v="3"/>
    <n v="476150"/>
    <x v="3451"/>
    <x v="1"/>
  </r>
  <r>
    <n v="163"/>
    <x v="4"/>
    <x v="4"/>
    <n v="2"/>
    <n v="1"/>
    <x v="1"/>
    <n v="1078.5999999996"/>
    <x v="2"/>
    <n v="0"/>
    <n v="0"/>
    <n v="0"/>
    <x v="3"/>
    <n v="575337"/>
    <x v="3452"/>
    <x v="0"/>
  </r>
  <r>
    <n v="164"/>
    <x v="4"/>
    <x v="4"/>
    <n v="2"/>
    <n v="2"/>
    <x v="1"/>
    <n v="1362.4000000000101"/>
    <x v="2"/>
    <n v="0"/>
    <n v="0"/>
    <n v="0"/>
    <x v="3"/>
    <n v="501040"/>
    <x v="3453"/>
    <x v="1"/>
  </r>
  <r>
    <n v="165"/>
    <x v="4"/>
    <x v="4"/>
    <n v="2"/>
    <n v="3"/>
    <x v="1"/>
    <n v="1222.5999999998301"/>
    <x v="2"/>
    <n v="0"/>
    <n v="0"/>
    <n v="0"/>
    <x v="3"/>
    <n v="513209"/>
    <x v="3454"/>
    <x v="1"/>
  </r>
  <r>
    <n v="166"/>
    <x v="4"/>
    <x v="4"/>
    <n v="2"/>
    <n v="1"/>
    <x v="1"/>
    <n v="828.39999999961799"/>
    <x v="2"/>
    <n v="0"/>
    <n v="0"/>
    <n v="0"/>
    <x v="3"/>
    <n v="569773"/>
    <x v="3455"/>
    <x v="0"/>
  </r>
  <r>
    <n v="167"/>
    <x v="4"/>
    <x v="4"/>
    <n v="2"/>
    <n v="2"/>
    <x v="1"/>
    <n v="944.600000001117"/>
    <x v="2"/>
    <n v="0"/>
    <n v="0"/>
    <n v="0"/>
    <x v="3"/>
    <n v="522694"/>
    <x v="3456"/>
    <x v="1"/>
  </r>
  <r>
    <n v="168"/>
    <x v="4"/>
    <x v="4"/>
    <n v="3"/>
    <n v="3"/>
    <x v="1"/>
    <n v="1162.7999999994599"/>
    <x v="2"/>
    <n v="0"/>
    <n v="0"/>
    <n v="0"/>
    <x v="3"/>
    <n v="474914"/>
    <x v="3457"/>
    <x v="1"/>
  </r>
  <r>
    <n v="169"/>
    <x v="4"/>
    <x v="4"/>
    <n v="3"/>
    <n v="3"/>
    <x v="1"/>
    <n v="985.99999999962097"/>
    <x v="2"/>
    <n v="0"/>
    <n v="0"/>
    <n v="0"/>
    <x v="3"/>
    <n v="512962"/>
    <x v="3458"/>
    <x v="1"/>
  </r>
  <r>
    <n v="170"/>
    <x v="4"/>
    <x v="4"/>
    <n v="2"/>
    <n v="3"/>
    <x v="1"/>
    <n v="1070.39999999969"/>
    <x v="2"/>
    <n v="0"/>
    <n v="0"/>
    <n v="0"/>
    <x v="3"/>
    <n v="318527"/>
    <x v="3459"/>
    <x v="1"/>
  </r>
  <r>
    <n v="171"/>
    <x v="4"/>
    <x v="4"/>
    <n v="3"/>
    <n v="3"/>
    <x v="1"/>
    <n v="1168.6000000004501"/>
    <x v="2"/>
    <n v="0"/>
    <n v="0"/>
    <n v="0"/>
    <x v="3"/>
    <n v="357470"/>
    <x v="3460"/>
    <x v="1"/>
  </r>
  <r>
    <n v="172"/>
    <x v="4"/>
    <x v="4"/>
    <n v="2"/>
    <n v="2"/>
    <x v="1"/>
    <n v="975.20000000059804"/>
    <x v="2"/>
    <n v="0"/>
    <n v="0"/>
    <n v="0"/>
    <x v="3"/>
    <n v="470343"/>
    <x v="3461"/>
    <x v="1"/>
  </r>
  <r>
    <n v="173"/>
    <x v="4"/>
    <x v="4"/>
    <n v="3"/>
    <n v="2"/>
    <x v="1"/>
    <n v="996.19999999944798"/>
    <x v="2"/>
    <n v="0"/>
    <n v="0"/>
    <n v="0"/>
    <x v="3"/>
    <n v="509829"/>
    <x v="3462"/>
    <x v="1"/>
  </r>
  <r>
    <n v="174"/>
    <x v="4"/>
    <x v="4"/>
    <n v="2"/>
    <n v="2"/>
    <x v="1"/>
    <n v="987.00000000064904"/>
    <x v="2"/>
    <n v="0"/>
    <n v="0"/>
    <n v="0"/>
    <x v="3"/>
    <n v="503238"/>
    <x v="3463"/>
    <x v="1"/>
  </r>
  <r>
    <n v="175"/>
    <x v="4"/>
    <x v="4"/>
    <n v="3"/>
    <n v="2"/>
    <x v="1"/>
    <n v="1086.1999999995901"/>
    <x v="2"/>
    <n v="0"/>
    <n v="0"/>
    <n v="0"/>
    <x v="3"/>
    <n v="394752"/>
    <x v="3464"/>
    <x v="1"/>
  </r>
  <r>
    <n v="176"/>
    <x v="4"/>
    <x v="4"/>
    <n v="3"/>
    <n v="3"/>
    <x v="1"/>
    <n v="1291.2"/>
    <x v="2"/>
    <n v="0"/>
    <n v="0"/>
    <n v="0"/>
    <x v="3"/>
    <n v="397096"/>
    <x v="3465"/>
    <x v="1"/>
  </r>
  <r>
    <n v="177"/>
    <x v="4"/>
    <x v="4"/>
    <n v="2"/>
    <n v="3"/>
    <x v="1"/>
    <n v="989.79999999926395"/>
    <x v="2"/>
    <n v="0"/>
    <n v="0"/>
    <n v="0"/>
    <x v="3"/>
    <n v="474860"/>
    <x v="3466"/>
    <x v="1"/>
  </r>
  <r>
    <n v="178"/>
    <x v="4"/>
    <x v="4"/>
    <n v="3"/>
    <n v="3"/>
    <x v="1"/>
    <n v="977.60000000022296"/>
    <x v="2"/>
    <n v="0"/>
    <n v="0"/>
    <n v="0"/>
    <x v="3"/>
    <n v="511972"/>
    <x v="3467"/>
    <x v="1"/>
  </r>
  <r>
    <n v="179"/>
    <x v="4"/>
    <x v="4"/>
    <n v="3"/>
    <n v="3"/>
    <x v="1"/>
    <n v="1027.39999999883"/>
    <x v="2"/>
    <n v="0"/>
    <n v="0"/>
    <n v="0"/>
    <x v="3"/>
    <n v="474937"/>
    <x v="3468"/>
    <x v="1"/>
  </r>
  <r>
    <n v="180"/>
    <x v="4"/>
    <x v="4"/>
    <n v="3"/>
    <n v="3"/>
    <x v="1"/>
    <n v="997.40000000068096"/>
    <x v="2"/>
    <n v="0"/>
    <n v="0"/>
    <n v="0"/>
    <x v="3"/>
    <n v="474267"/>
    <x v="3469"/>
    <x v="1"/>
  </r>
  <r>
    <n v="181"/>
    <x v="4"/>
    <x v="4"/>
    <n v="2"/>
    <n v="3"/>
    <x v="1"/>
    <n v="1310.9999999997499"/>
    <x v="2"/>
    <n v="0"/>
    <n v="0"/>
    <n v="0"/>
    <x v="3"/>
    <n v="435566"/>
    <x v="3470"/>
    <x v="1"/>
  </r>
  <r>
    <n v="182"/>
    <x v="4"/>
    <x v="4"/>
    <n v="2"/>
    <n v="3"/>
    <x v="1"/>
    <n v="1100.39999999927"/>
    <x v="2"/>
    <n v="0"/>
    <n v="0"/>
    <n v="0"/>
    <x v="3"/>
    <n v="515582"/>
    <x v="3471"/>
    <x v="1"/>
  </r>
  <r>
    <n v="183"/>
    <x v="4"/>
    <x v="4"/>
    <n v="3"/>
    <n v="3"/>
    <x v="1"/>
    <n v="1108.40000000039"/>
    <x v="2"/>
    <n v="0"/>
    <n v="0"/>
    <n v="0"/>
    <x v="3"/>
    <n v="475051"/>
    <x v="3472"/>
    <x v="1"/>
  </r>
  <r>
    <n v="184"/>
    <x v="4"/>
    <x v="4"/>
    <n v="2"/>
    <n v="2"/>
    <x v="1"/>
    <n v="941.200000000464"/>
    <x v="2"/>
    <n v="0"/>
    <n v="0"/>
    <n v="0"/>
    <x v="3"/>
    <n v="543140"/>
    <x v="3473"/>
    <x v="1"/>
  </r>
  <r>
    <n v="185"/>
    <x v="4"/>
    <x v="4"/>
    <n v="2"/>
    <n v="3"/>
    <x v="1"/>
    <n v="1091.79999999967"/>
    <x v="2"/>
    <n v="0"/>
    <n v="0"/>
    <n v="0"/>
    <x v="3"/>
    <n v="475501"/>
    <x v="3474"/>
    <x v="1"/>
  </r>
  <r>
    <n v="186"/>
    <x v="4"/>
    <x v="4"/>
    <n v="3"/>
    <n v="3"/>
    <x v="1"/>
    <n v="1080.40000000074"/>
    <x v="2"/>
    <n v="0"/>
    <n v="0"/>
    <n v="0"/>
    <x v="3"/>
    <n v="514758"/>
    <x v="3475"/>
    <x v="1"/>
  </r>
  <r>
    <n v="187"/>
    <x v="4"/>
    <x v="4"/>
    <n v="3"/>
    <n v="2"/>
    <x v="1"/>
    <n v="864.19999999947095"/>
    <x v="2"/>
    <n v="0"/>
    <n v="0"/>
    <n v="0"/>
    <x v="3"/>
    <n v="445912"/>
    <x v="3476"/>
    <x v="1"/>
  </r>
  <r>
    <n v="188"/>
    <x v="4"/>
    <x v="4"/>
    <n v="3"/>
    <n v="2"/>
    <x v="1"/>
    <n v="954.99999999972795"/>
    <x v="2"/>
    <n v="0"/>
    <n v="0"/>
    <n v="0"/>
    <x v="3"/>
    <n v="541742"/>
    <x v="3477"/>
    <x v="1"/>
  </r>
  <r>
    <n v="189"/>
    <x v="4"/>
    <x v="4"/>
    <n v="3"/>
    <n v="3"/>
    <x v="1"/>
    <n v="1226.7999999998799"/>
    <x v="2"/>
    <n v="0"/>
    <n v="0"/>
    <n v="0"/>
    <x v="3"/>
    <n v="438225"/>
    <x v="3478"/>
    <x v="1"/>
  </r>
  <r>
    <n v="160"/>
    <x v="4"/>
    <x v="4"/>
    <n v="2"/>
    <n v="3"/>
    <x v="1"/>
    <n v="2124.6000000005001"/>
    <x v="2"/>
    <n v="0"/>
    <n v="0"/>
    <n v="0"/>
    <x v="4"/>
    <n v="672186"/>
    <x v="3479"/>
    <x v="1"/>
  </r>
  <r>
    <n v="161"/>
    <x v="4"/>
    <x v="4"/>
    <n v="3"/>
    <n v="2"/>
    <x v="1"/>
    <n v="1285.8000000008501"/>
    <x v="2"/>
    <n v="0"/>
    <n v="0"/>
    <n v="0"/>
    <x v="4"/>
    <n v="595484"/>
    <x v="3480"/>
    <x v="0"/>
  </r>
  <r>
    <n v="162"/>
    <x v="4"/>
    <x v="4"/>
    <n v="2"/>
    <n v="3"/>
    <x v="1"/>
    <n v="1788.7999999999199"/>
    <x v="2"/>
    <n v="0"/>
    <n v="0"/>
    <n v="0"/>
    <x v="4"/>
    <n v="593507"/>
    <x v="3481"/>
    <x v="1"/>
  </r>
  <r>
    <n v="163"/>
    <x v="4"/>
    <x v="4"/>
    <n v="2"/>
    <n v="1"/>
    <x v="1"/>
    <n v="1078.5999999996"/>
    <x v="2"/>
    <n v="0"/>
    <n v="0"/>
    <n v="0"/>
    <x v="4"/>
    <n v="841558"/>
    <x v="3482"/>
    <x v="0"/>
  </r>
  <r>
    <n v="164"/>
    <x v="4"/>
    <x v="4"/>
    <n v="2"/>
    <n v="2"/>
    <x v="1"/>
    <n v="1362.4000000000101"/>
    <x v="2"/>
    <n v="0"/>
    <n v="0"/>
    <n v="0"/>
    <x v="4"/>
    <n v="738503"/>
    <x v="3483"/>
    <x v="1"/>
  </r>
  <r>
    <n v="165"/>
    <x v="4"/>
    <x v="4"/>
    <n v="2"/>
    <n v="3"/>
    <x v="1"/>
    <n v="1222.5999999998301"/>
    <x v="2"/>
    <n v="0"/>
    <n v="0"/>
    <n v="0"/>
    <x v="4"/>
    <n v="673226"/>
    <x v="3484"/>
    <x v="1"/>
  </r>
  <r>
    <n v="166"/>
    <x v="4"/>
    <x v="4"/>
    <n v="2"/>
    <n v="1"/>
    <x v="1"/>
    <n v="828.39999999961799"/>
    <x v="2"/>
    <n v="0"/>
    <n v="0"/>
    <n v="0"/>
    <x v="4"/>
    <n v="742878"/>
    <x v="3485"/>
    <x v="0"/>
  </r>
  <r>
    <n v="167"/>
    <x v="4"/>
    <x v="4"/>
    <n v="2"/>
    <n v="2"/>
    <x v="1"/>
    <n v="944.600000001117"/>
    <x v="2"/>
    <n v="0"/>
    <n v="0"/>
    <n v="0"/>
    <x v="4"/>
    <n v="812227"/>
    <x v="3486"/>
    <x v="1"/>
  </r>
  <r>
    <n v="168"/>
    <x v="4"/>
    <x v="4"/>
    <n v="3"/>
    <n v="3"/>
    <x v="1"/>
    <n v="1162.7999999994599"/>
    <x v="2"/>
    <n v="0"/>
    <n v="0"/>
    <n v="0"/>
    <x v="4"/>
    <n v="672895"/>
    <x v="3487"/>
    <x v="1"/>
  </r>
  <r>
    <n v="169"/>
    <x v="4"/>
    <x v="4"/>
    <n v="3"/>
    <n v="3"/>
    <x v="1"/>
    <n v="985.99999999962097"/>
    <x v="2"/>
    <n v="0"/>
    <n v="0"/>
    <n v="0"/>
    <x v="4"/>
    <n v="670988"/>
    <x v="3488"/>
    <x v="1"/>
  </r>
  <r>
    <n v="170"/>
    <x v="4"/>
    <x v="4"/>
    <n v="2"/>
    <n v="3"/>
    <x v="1"/>
    <n v="1070.39999999969"/>
    <x v="2"/>
    <n v="0"/>
    <n v="0"/>
    <n v="0"/>
    <x v="4"/>
    <n v="595808"/>
    <x v="3489"/>
    <x v="1"/>
  </r>
  <r>
    <n v="171"/>
    <x v="4"/>
    <x v="4"/>
    <n v="3"/>
    <n v="3"/>
    <x v="1"/>
    <n v="1168.6000000004501"/>
    <x v="2"/>
    <n v="0"/>
    <n v="0"/>
    <n v="0"/>
    <x v="4"/>
    <n v="635208"/>
    <x v="3490"/>
    <x v="1"/>
  </r>
  <r>
    <n v="172"/>
    <x v="4"/>
    <x v="4"/>
    <n v="2"/>
    <n v="2"/>
    <x v="1"/>
    <n v="975.20000000059804"/>
    <x v="2"/>
    <n v="0"/>
    <n v="0"/>
    <n v="0"/>
    <x v="4"/>
    <n v="735895"/>
    <x v="3491"/>
    <x v="1"/>
  </r>
  <r>
    <n v="173"/>
    <x v="4"/>
    <x v="4"/>
    <n v="3"/>
    <n v="2"/>
    <x v="1"/>
    <n v="996.19999999944798"/>
    <x v="2"/>
    <n v="0"/>
    <n v="0"/>
    <n v="0"/>
    <x v="4"/>
    <n v="732402"/>
    <x v="3492"/>
    <x v="1"/>
  </r>
  <r>
    <n v="174"/>
    <x v="4"/>
    <x v="4"/>
    <n v="2"/>
    <n v="2"/>
    <x v="1"/>
    <n v="987.00000000064904"/>
    <x v="2"/>
    <n v="0"/>
    <n v="0"/>
    <n v="0"/>
    <x v="4"/>
    <n v="729552"/>
    <x v="3493"/>
    <x v="1"/>
  </r>
  <r>
    <n v="175"/>
    <x v="4"/>
    <x v="4"/>
    <n v="3"/>
    <n v="2"/>
    <x v="1"/>
    <n v="1086.1999999995901"/>
    <x v="2"/>
    <n v="0"/>
    <n v="0"/>
    <n v="0"/>
    <x v="4"/>
    <n v="709837"/>
    <x v="3494"/>
    <x v="1"/>
  </r>
  <r>
    <n v="176"/>
    <x v="4"/>
    <x v="4"/>
    <n v="3"/>
    <n v="3"/>
    <x v="1"/>
    <n v="1291.2"/>
    <x v="2"/>
    <n v="0"/>
    <n v="0"/>
    <n v="0"/>
    <x v="4"/>
    <n v="596125"/>
    <x v="3495"/>
    <x v="1"/>
  </r>
  <r>
    <n v="177"/>
    <x v="4"/>
    <x v="4"/>
    <n v="2"/>
    <n v="3"/>
    <x v="1"/>
    <n v="989.79999999926395"/>
    <x v="2"/>
    <n v="0"/>
    <n v="0"/>
    <n v="0"/>
    <x v="4"/>
    <n v="672975"/>
    <x v="3496"/>
    <x v="1"/>
  </r>
  <r>
    <n v="178"/>
    <x v="4"/>
    <x v="4"/>
    <n v="3"/>
    <n v="3"/>
    <x v="1"/>
    <n v="977.60000000022296"/>
    <x v="2"/>
    <n v="0"/>
    <n v="0"/>
    <n v="0"/>
    <x v="4"/>
    <n v="712011"/>
    <x v="3497"/>
    <x v="1"/>
  </r>
  <r>
    <n v="179"/>
    <x v="4"/>
    <x v="4"/>
    <n v="3"/>
    <n v="3"/>
    <x v="1"/>
    <n v="1027.39999999883"/>
    <x v="2"/>
    <n v="0"/>
    <n v="0"/>
    <n v="0"/>
    <x v="4"/>
    <n v="709966"/>
    <x v="3498"/>
    <x v="1"/>
  </r>
  <r>
    <n v="180"/>
    <x v="4"/>
    <x v="4"/>
    <n v="3"/>
    <n v="3"/>
    <x v="1"/>
    <n v="997.40000000068096"/>
    <x v="2"/>
    <n v="0"/>
    <n v="0"/>
    <n v="0"/>
    <x v="4"/>
    <n v="709928"/>
    <x v="3499"/>
    <x v="1"/>
  </r>
  <r>
    <n v="181"/>
    <x v="4"/>
    <x v="4"/>
    <n v="2"/>
    <n v="3"/>
    <x v="1"/>
    <n v="1310.9999999997499"/>
    <x v="2"/>
    <n v="0"/>
    <n v="0"/>
    <n v="0"/>
    <x v="4"/>
    <n v="596071"/>
    <x v="3500"/>
    <x v="1"/>
  </r>
  <r>
    <n v="182"/>
    <x v="4"/>
    <x v="4"/>
    <n v="2"/>
    <n v="3"/>
    <x v="1"/>
    <n v="1100.39999999927"/>
    <x v="2"/>
    <n v="0"/>
    <n v="0"/>
    <n v="0"/>
    <x v="4"/>
    <n v="711911"/>
    <x v="3501"/>
    <x v="1"/>
  </r>
  <r>
    <n v="183"/>
    <x v="4"/>
    <x v="4"/>
    <n v="3"/>
    <n v="3"/>
    <x v="1"/>
    <n v="1108.40000000039"/>
    <x v="2"/>
    <n v="0"/>
    <n v="0"/>
    <n v="0"/>
    <x v="4"/>
    <n v="514120"/>
    <x v="3502"/>
    <x v="1"/>
  </r>
  <r>
    <n v="184"/>
    <x v="4"/>
    <x v="4"/>
    <n v="2"/>
    <n v="2"/>
    <x v="1"/>
    <n v="941.200000000464"/>
    <x v="2"/>
    <n v="0"/>
    <n v="0"/>
    <n v="0"/>
    <x v="4"/>
    <n v="763505"/>
    <x v="3503"/>
    <x v="0"/>
  </r>
  <r>
    <n v="185"/>
    <x v="4"/>
    <x v="4"/>
    <n v="2"/>
    <n v="3"/>
    <x v="1"/>
    <n v="1091.79999999967"/>
    <x v="2"/>
    <n v="0"/>
    <n v="0"/>
    <n v="0"/>
    <x v="4"/>
    <n v="633293"/>
    <x v="3504"/>
    <x v="1"/>
  </r>
  <r>
    <n v="186"/>
    <x v="4"/>
    <x v="4"/>
    <n v="3"/>
    <n v="3"/>
    <x v="1"/>
    <n v="1080.40000000074"/>
    <x v="2"/>
    <n v="0"/>
    <n v="0"/>
    <n v="0"/>
    <x v="4"/>
    <n v="632575"/>
    <x v="3505"/>
    <x v="1"/>
  </r>
  <r>
    <n v="187"/>
    <x v="4"/>
    <x v="4"/>
    <n v="3"/>
    <n v="2"/>
    <x v="1"/>
    <n v="864.19999999947095"/>
    <x v="2"/>
    <n v="0"/>
    <n v="0"/>
    <n v="0"/>
    <x v="4"/>
    <n v="741579"/>
    <x v="3506"/>
    <x v="1"/>
  </r>
  <r>
    <n v="188"/>
    <x v="4"/>
    <x v="4"/>
    <n v="3"/>
    <n v="2"/>
    <x v="1"/>
    <n v="954.99999999972795"/>
    <x v="2"/>
    <n v="0"/>
    <n v="0"/>
    <n v="0"/>
    <x v="4"/>
    <n v="743254"/>
    <x v="3507"/>
    <x v="1"/>
  </r>
  <r>
    <n v="189"/>
    <x v="4"/>
    <x v="4"/>
    <n v="3"/>
    <n v="3"/>
    <x v="1"/>
    <n v="1226.7999999998799"/>
    <x v="2"/>
    <n v="0"/>
    <n v="0"/>
    <n v="0"/>
    <x v="4"/>
    <n v="634213"/>
    <x v="3508"/>
    <x v="1"/>
  </r>
  <r>
    <n v="160"/>
    <x v="4"/>
    <x v="4"/>
    <n v="2"/>
    <n v="3"/>
    <x v="1"/>
    <n v="2124.6000000005001"/>
    <x v="2"/>
    <n v="0"/>
    <n v="0"/>
    <n v="0"/>
    <x v="5"/>
    <n v="829176"/>
    <x v="3509"/>
    <x v="1"/>
  </r>
  <r>
    <n v="161"/>
    <x v="4"/>
    <x v="4"/>
    <n v="3"/>
    <n v="2"/>
    <x v="1"/>
    <n v="1285.8000000008501"/>
    <x v="2"/>
    <n v="0"/>
    <n v="0"/>
    <n v="0"/>
    <x v="5"/>
    <n v="928947"/>
    <x v="3510"/>
    <x v="0"/>
  </r>
  <r>
    <n v="162"/>
    <x v="4"/>
    <x v="4"/>
    <n v="2"/>
    <n v="3"/>
    <x v="1"/>
    <n v="1788.7999999999199"/>
    <x v="2"/>
    <n v="0"/>
    <n v="0"/>
    <n v="0"/>
    <x v="5"/>
    <n v="870889"/>
    <x v="3511"/>
    <x v="1"/>
  </r>
  <r>
    <n v="163"/>
    <x v="4"/>
    <x v="4"/>
    <n v="2"/>
    <n v="1"/>
    <x v="1"/>
    <n v="1078.5999999996"/>
    <x v="2"/>
    <n v="0"/>
    <n v="0"/>
    <n v="0"/>
    <x v="5"/>
    <n v="1041581"/>
    <x v="3512"/>
    <x v="1"/>
  </r>
  <r>
    <n v="164"/>
    <x v="4"/>
    <x v="4"/>
    <n v="2"/>
    <n v="2"/>
    <x v="1"/>
    <n v="1362.4000000000101"/>
    <x v="2"/>
    <n v="0"/>
    <n v="0"/>
    <n v="0"/>
    <x v="5"/>
    <n v="930371"/>
    <x v="3513"/>
    <x v="1"/>
  </r>
  <r>
    <n v="165"/>
    <x v="4"/>
    <x v="4"/>
    <n v="2"/>
    <n v="3"/>
    <x v="1"/>
    <n v="1222.5999999998301"/>
    <x v="2"/>
    <n v="0"/>
    <n v="0"/>
    <n v="0"/>
    <x v="5"/>
    <n v="831048"/>
    <x v="3514"/>
    <x v="1"/>
  </r>
  <r>
    <n v="166"/>
    <x v="4"/>
    <x v="4"/>
    <n v="2"/>
    <n v="1"/>
    <x v="1"/>
    <n v="828.39999999961799"/>
    <x v="2"/>
    <n v="0"/>
    <n v="0"/>
    <n v="0"/>
    <x v="5"/>
    <n v="1007097"/>
    <x v="3515"/>
    <x v="0"/>
  </r>
  <r>
    <n v="167"/>
    <x v="4"/>
    <x v="4"/>
    <n v="2"/>
    <n v="2"/>
    <x v="1"/>
    <n v="944.600000001117"/>
    <x v="2"/>
    <n v="0"/>
    <n v="0"/>
    <n v="0"/>
    <x v="5"/>
    <n v="936687"/>
    <x v="3516"/>
    <x v="1"/>
  </r>
  <r>
    <n v="168"/>
    <x v="4"/>
    <x v="4"/>
    <n v="3"/>
    <n v="3"/>
    <x v="1"/>
    <n v="1162.7999999994599"/>
    <x v="2"/>
    <n v="0"/>
    <n v="0"/>
    <n v="0"/>
    <x v="5"/>
    <n v="790883"/>
    <x v="3517"/>
    <x v="1"/>
  </r>
  <r>
    <n v="169"/>
    <x v="4"/>
    <x v="4"/>
    <n v="3"/>
    <n v="3"/>
    <x v="1"/>
    <n v="985.99999999962097"/>
    <x v="2"/>
    <n v="0"/>
    <n v="0"/>
    <n v="0"/>
    <x v="5"/>
    <n v="792206"/>
    <x v="3518"/>
    <x v="1"/>
  </r>
  <r>
    <n v="170"/>
    <x v="4"/>
    <x v="4"/>
    <n v="2"/>
    <n v="3"/>
    <x v="1"/>
    <n v="1070.39999999969"/>
    <x v="2"/>
    <n v="0"/>
    <n v="0"/>
    <n v="0"/>
    <x v="5"/>
    <n v="316758"/>
    <x v="3519"/>
    <x v="1"/>
  </r>
  <r>
    <n v="171"/>
    <x v="4"/>
    <x v="4"/>
    <n v="3"/>
    <n v="3"/>
    <x v="1"/>
    <n v="1168.6000000004501"/>
    <x v="2"/>
    <n v="0"/>
    <n v="0"/>
    <n v="0"/>
    <x v="5"/>
    <n v="792463"/>
    <x v="3520"/>
    <x v="1"/>
  </r>
  <r>
    <n v="172"/>
    <x v="4"/>
    <x v="4"/>
    <n v="2"/>
    <n v="2"/>
    <x v="1"/>
    <n v="975.20000000059804"/>
    <x v="2"/>
    <n v="0"/>
    <n v="0"/>
    <n v="0"/>
    <x v="5"/>
    <n v="888200"/>
    <x v="3521"/>
    <x v="1"/>
  </r>
  <r>
    <n v="173"/>
    <x v="4"/>
    <x v="4"/>
    <n v="3"/>
    <n v="2"/>
    <x v="1"/>
    <n v="996.19999999944798"/>
    <x v="2"/>
    <n v="0"/>
    <n v="0"/>
    <n v="0"/>
    <x v="5"/>
    <n v="892856"/>
    <x v="3522"/>
    <x v="1"/>
  </r>
  <r>
    <n v="174"/>
    <x v="4"/>
    <x v="4"/>
    <n v="2"/>
    <n v="2"/>
    <x v="1"/>
    <n v="987.00000000064904"/>
    <x v="2"/>
    <n v="0"/>
    <n v="0"/>
    <n v="0"/>
    <x v="5"/>
    <n v="919791"/>
    <x v="3523"/>
    <x v="1"/>
  </r>
  <r>
    <n v="175"/>
    <x v="4"/>
    <x v="4"/>
    <n v="3"/>
    <n v="2"/>
    <x v="1"/>
    <n v="1086.1999999995901"/>
    <x v="2"/>
    <n v="0"/>
    <n v="0"/>
    <n v="0"/>
    <x v="5"/>
    <n v="831246"/>
    <x v="3524"/>
    <x v="1"/>
  </r>
  <r>
    <n v="176"/>
    <x v="4"/>
    <x v="4"/>
    <n v="3"/>
    <n v="3"/>
    <x v="1"/>
    <n v="1291.2"/>
    <x v="2"/>
    <n v="0"/>
    <n v="0"/>
    <n v="0"/>
    <x v="5"/>
    <n v="714505"/>
    <x v="3525"/>
    <x v="1"/>
  </r>
  <r>
    <n v="177"/>
    <x v="4"/>
    <x v="4"/>
    <n v="2"/>
    <n v="3"/>
    <x v="1"/>
    <n v="989.79999999926395"/>
    <x v="2"/>
    <n v="0"/>
    <n v="0"/>
    <n v="0"/>
    <x v="5"/>
    <n v="830692"/>
    <x v="3526"/>
    <x v="1"/>
  </r>
  <r>
    <n v="178"/>
    <x v="4"/>
    <x v="4"/>
    <n v="3"/>
    <n v="3"/>
    <x v="1"/>
    <n v="977.60000000022296"/>
    <x v="2"/>
    <n v="0"/>
    <n v="0"/>
    <n v="0"/>
    <x v="5"/>
    <n v="790636"/>
    <x v="3527"/>
    <x v="1"/>
  </r>
  <r>
    <n v="179"/>
    <x v="4"/>
    <x v="4"/>
    <n v="3"/>
    <n v="3"/>
    <x v="1"/>
    <n v="1027.39999999883"/>
    <x v="2"/>
    <n v="0"/>
    <n v="0"/>
    <n v="0"/>
    <x v="5"/>
    <n v="905056"/>
    <x v="3528"/>
    <x v="1"/>
  </r>
  <r>
    <n v="180"/>
    <x v="4"/>
    <x v="4"/>
    <n v="3"/>
    <n v="3"/>
    <x v="1"/>
    <n v="997.40000000068096"/>
    <x v="2"/>
    <n v="0"/>
    <n v="0"/>
    <n v="0"/>
    <x v="5"/>
    <n v="869053"/>
    <x v="3529"/>
    <x v="1"/>
  </r>
  <r>
    <n v="181"/>
    <x v="4"/>
    <x v="4"/>
    <n v="2"/>
    <n v="3"/>
    <x v="1"/>
    <n v="1310.9999999997499"/>
    <x v="2"/>
    <n v="0"/>
    <n v="0"/>
    <n v="0"/>
    <x v="5"/>
    <n v="752334"/>
    <x v="3530"/>
    <x v="1"/>
  </r>
  <r>
    <n v="182"/>
    <x v="4"/>
    <x v="4"/>
    <n v="2"/>
    <n v="3"/>
    <x v="1"/>
    <n v="1100.39999999927"/>
    <x v="2"/>
    <n v="0"/>
    <n v="0"/>
    <n v="0"/>
    <x v="5"/>
    <n v="435722"/>
    <x v="3531"/>
    <x v="1"/>
  </r>
  <r>
    <n v="183"/>
    <x v="4"/>
    <x v="4"/>
    <n v="3"/>
    <n v="3"/>
    <x v="1"/>
    <n v="1108.40000000039"/>
    <x v="2"/>
    <n v="0"/>
    <n v="0"/>
    <n v="0"/>
    <x v="5"/>
    <n v="712686"/>
    <x v="3532"/>
    <x v="1"/>
  </r>
  <r>
    <n v="184"/>
    <x v="4"/>
    <x v="4"/>
    <n v="2"/>
    <n v="2"/>
    <x v="1"/>
    <n v="941.200000000464"/>
    <x v="2"/>
    <n v="0"/>
    <n v="0"/>
    <n v="0"/>
    <x v="5"/>
    <n v="894614"/>
    <x v="3533"/>
    <x v="1"/>
  </r>
  <r>
    <n v="185"/>
    <x v="4"/>
    <x v="4"/>
    <n v="2"/>
    <n v="3"/>
    <x v="1"/>
    <n v="1091.79999999967"/>
    <x v="2"/>
    <n v="0"/>
    <n v="0"/>
    <n v="0"/>
    <x v="5"/>
    <n v="756192"/>
    <x v="3534"/>
    <x v="1"/>
  </r>
  <r>
    <n v="186"/>
    <x v="4"/>
    <x v="4"/>
    <n v="3"/>
    <n v="3"/>
    <x v="1"/>
    <n v="1080.40000000074"/>
    <x v="2"/>
    <n v="0"/>
    <n v="0"/>
    <n v="0"/>
    <x v="5"/>
    <n v="832322"/>
    <x v="3535"/>
    <x v="1"/>
  </r>
  <r>
    <n v="187"/>
    <x v="4"/>
    <x v="4"/>
    <n v="3"/>
    <n v="2"/>
    <x v="1"/>
    <n v="864.19999999947095"/>
    <x v="2"/>
    <n v="0"/>
    <n v="0"/>
    <n v="0"/>
    <x v="5"/>
    <n v="966760"/>
    <x v="3536"/>
    <x v="1"/>
  </r>
  <r>
    <n v="188"/>
    <x v="4"/>
    <x v="4"/>
    <n v="3"/>
    <n v="2"/>
    <x v="1"/>
    <n v="954.99999999972795"/>
    <x v="2"/>
    <n v="0"/>
    <n v="0"/>
    <n v="0"/>
    <x v="5"/>
    <n v="890239"/>
    <x v="3537"/>
    <x v="1"/>
  </r>
  <r>
    <n v="189"/>
    <x v="4"/>
    <x v="4"/>
    <n v="3"/>
    <n v="3"/>
    <x v="1"/>
    <n v="1226.7999999998799"/>
    <x v="2"/>
    <n v="0"/>
    <n v="0"/>
    <n v="0"/>
    <x v="5"/>
    <n v="595985"/>
    <x v="3538"/>
    <x v="1"/>
  </r>
  <r>
    <n v="160"/>
    <x v="4"/>
    <x v="4"/>
    <n v="2"/>
    <n v="3"/>
    <x v="1"/>
    <n v="2124.6000000005001"/>
    <x v="2"/>
    <n v="0"/>
    <n v="0"/>
    <n v="0"/>
    <x v="6"/>
    <n v="985472"/>
    <x v="3539"/>
    <x v="1"/>
  </r>
  <r>
    <n v="161"/>
    <x v="4"/>
    <x v="4"/>
    <n v="3"/>
    <n v="2"/>
    <x v="1"/>
    <n v="1285.8000000008501"/>
    <x v="2"/>
    <n v="0"/>
    <n v="0"/>
    <n v="0"/>
    <x v="6"/>
    <n v="1218224"/>
    <x v="3540"/>
    <x v="0"/>
  </r>
  <r>
    <n v="162"/>
    <x v="4"/>
    <x v="4"/>
    <n v="2"/>
    <n v="3"/>
    <x v="1"/>
    <n v="1788.7999999999199"/>
    <x v="2"/>
    <n v="0"/>
    <n v="0"/>
    <n v="0"/>
    <x v="6"/>
    <n v="988940"/>
    <x v="3541"/>
    <x v="1"/>
  </r>
  <r>
    <n v="163"/>
    <x v="4"/>
    <x v="4"/>
    <n v="2"/>
    <n v="1"/>
    <x v="1"/>
    <n v="1078.5999999996"/>
    <x v="2"/>
    <n v="0"/>
    <n v="0"/>
    <n v="0"/>
    <x v="6"/>
    <n v="1233481"/>
    <x v="3542"/>
    <x v="1"/>
  </r>
  <r>
    <n v="164"/>
    <x v="4"/>
    <x v="4"/>
    <n v="2"/>
    <n v="2"/>
    <x v="1"/>
    <n v="1362.4000000000101"/>
    <x v="2"/>
    <n v="0"/>
    <n v="0"/>
    <n v="0"/>
    <x v="6"/>
    <n v="1156330"/>
    <x v="3543"/>
    <x v="1"/>
  </r>
  <r>
    <n v="165"/>
    <x v="4"/>
    <x v="4"/>
    <n v="2"/>
    <n v="3"/>
    <x v="1"/>
    <n v="1222.5999999998301"/>
    <x v="2"/>
    <n v="0"/>
    <n v="0"/>
    <n v="0"/>
    <x v="6"/>
    <n v="1138308"/>
    <x v="3544"/>
    <x v="1"/>
  </r>
  <r>
    <n v="166"/>
    <x v="4"/>
    <x v="4"/>
    <n v="2"/>
    <n v="1"/>
    <x v="1"/>
    <n v="828.39999999961799"/>
    <x v="2"/>
    <n v="0"/>
    <n v="0"/>
    <n v="0"/>
    <x v="6"/>
    <n v="1245196"/>
    <x v="3545"/>
    <x v="0"/>
  </r>
  <r>
    <n v="167"/>
    <x v="4"/>
    <x v="4"/>
    <n v="2"/>
    <n v="2"/>
    <x v="1"/>
    <n v="944.600000001117"/>
    <x v="2"/>
    <n v="0"/>
    <n v="0"/>
    <n v="0"/>
    <x v="6"/>
    <n v="1105148"/>
    <x v="3546"/>
    <x v="1"/>
  </r>
  <r>
    <n v="168"/>
    <x v="4"/>
    <x v="4"/>
    <n v="3"/>
    <n v="3"/>
    <x v="1"/>
    <n v="1162.7999999994599"/>
    <x v="2"/>
    <n v="0"/>
    <n v="0"/>
    <n v="0"/>
    <x v="6"/>
    <n v="991792"/>
    <x v="3547"/>
    <x v="1"/>
  </r>
  <r>
    <n v="169"/>
    <x v="4"/>
    <x v="4"/>
    <n v="3"/>
    <n v="3"/>
    <x v="1"/>
    <n v="985.99999999962097"/>
    <x v="2"/>
    <n v="0"/>
    <n v="0"/>
    <n v="0"/>
    <x v="6"/>
    <n v="672881"/>
    <x v="3548"/>
    <x v="1"/>
  </r>
  <r>
    <n v="170"/>
    <x v="4"/>
    <x v="4"/>
    <n v="2"/>
    <n v="3"/>
    <x v="1"/>
    <n v="1070.39999999969"/>
    <x v="2"/>
    <n v="0"/>
    <n v="0"/>
    <n v="0"/>
    <x v="6"/>
    <n v="988388"/>
    <x v="3549"/>
    <x v="1"/>
  </r>
  <r>
    <n v="171"/>
    <x v="4"/>
    <x v="4"/>
    <n v="3"/>
    <n v="3"/>
    <x v="1"/>
    <n v="1168.6000000004501"/>
    <x v="2"/>
    <n v="0"/>
    <n v="0"/>
    <n v="0"/>
    <x v="6"/>
    <n v="954016"/>
    <x v="3550"/>
    <x v="1"/>
  </r>
  <r>
    <n v="172"/>
    <x v="4"/>
    <x v="4"/>
    <n v="2"/>
    <n v="2"/>
    <x v="1"/>
    <n v="975.20000000059804"/>
    <x v="2"/>
    <n v="0"/>
    <n v="0"/>
    <n v="0"/>
    <x v="6"/>
    <n v="1152647"/>
    <x v="3551"/>
    <x v="1"/>
  </r>
  <r>
    <n v="173"/>
    <x v="4"/>
    <x v="4"/>
    <n v="3"/>
    <n v="2"/>
    <x v="1"/>
    <n v="996.19999999944798"/>
    <x v="2"/>
    <n v="0"/>
    <n v="0"/>
    <n v="0"/>
    <x v="6"/>
    <n v="1085181"/>
    <x v="3552"/>
    <x v="1"/>
  </r>
  <r>
    <n v="174"/>
    <x v="4"/>
    <x v="4"/>
    <n v="2"/>
    <n v="2"/>
    <x v="1"/>
    <n v="987.00000000064904"/>
    <x v="2"/>
    <n v="0"/>
    <n v="0"/>
    <n v="0"/>
    <x v="6"/>
    <n v="1073839"/>
    <x v="3553"/>
    <x v="1"/>
  </r>
  <r>
    <n v="175"/>
    <x v="4"/>
    <x v="4"/>
    <n v="3"/>
    <n v="2"/>
    <x v="1"/>
    <n v="1086.1999999995901"/>
    <x v="2"/>
    <n v="0"/>
    <n v="0"/>
    <n v="0"/>
    <x v="6"/>
    <n v="1066023"/>
    <x v="3554"/>
    <x v="1"/>
  </r>
  <r>
    <n v="176"/>
    <x v="4"/>
    <x v="4"/>
    <n v="3"/>
    <n v="3"/>
    <x v="1"/>
    <n v="1291.2"/>
    <x v="2"/>
    <n v="0"/>
    <n v="0"/>
    <n v="0"/>
    <x v="6"/>
    <n v="872672"/>
    <x v="3555"/>
    <x v="1"/>
  </r>
  <r>
    <n v="177"/>
    <x v="4"/>
    <x v="4"/>
    <n v="2"/>
    <n v="3"/>
    <x v="1"/>
    <n v="989.79999999926395"/>
    <x v="2"/>
    <n v="0"/>
    <n v="0"/>
    <n v="0"/>
    <x v="6"/>
    <n v="1066479"/>
    <x v="3556"/>
    <x v="1"/>
  </r>
  <r>
    <n v="178"/>
    <x v="4"/>
    <x v="4"/>
    <n v="3"/>
    <n v="3"/>
    <x v="1"/>
    <n v="977.60000000022296"/>
    <x v="2"/>
    <n v="0"/>
    <n v="0"/>
    <n v="0"/>
    <x v="6"/>
    <n v="1066955"/>
    <x v="3557"/>
    <x v="1"/>
  </r>
  <r>
    <n v="179"/>
    <x v="4"/>
    <x v="4"/>
    <n v="3"/>
    <n v="3"/>
    <x v="1"/>
    <n v="1027.39999999883"/>
    <x v="2"/>
    <n v="0"/>
    <n v="0"/>
    <n v="0"/>
    <x v="6"/>
    <n v="904702"/>
    <x v="3558"/>
    <x v="1"/>
  </r>
  <r>
    <n v="180"/>
    <x v="4"/>
    <x v="4"/>
    <n v="3"/>
    <n v="3"/>
    <x v="1"/>
    <n v="997.40000000068096"/>
    <x v="2"/>
    <n v="0"/>
    <n v="0"/>
    <n v="0"/>
    <x v="6"/>
    <n v="1024992"/>
    <x v="3559"/>
    <x v="1"/>
  </r>
  <r>
    <n v="181"/>
    <x v="4"/>
    <x v="4"/>
    <n v="2"/>
    <n v="3"/>
    <x v="1"/>
    <n v="1310.9999999997499"/>
    <x v="2"/>
    <n v="0"/>
    <n v="0"/>
    <n v="0"/>
    <x v="6"/>
    <n v="952252"/>
    <x v="3560"/>
    <x v="1"/>
  </r>
  <r>
    <n v="182"/>
    <x v="4"/>
    <x v="4"/>
    <n v="2"/>
    <n v="3"/>
    <x v="1"/>
    <n v="1100.39999999927"/>
    <x v="2"/>
    <n v="0"/>
    <n v="0"/>
    <n v="0"/>
    <x v="6"/>
    <n v="989292"/>
    <x v="3561"/>
    <x v="1"/>
  </r>
  <r>
    <n v="183"/>
    <x v="4"/>
    <x v="4"/>
    <n v="3"/>
    <n v="3"/>
    <x v="1"/>
    <n v="1108.40000000039"/>
    <x v="2"/>
    <n v="0"/>
    <n v="0"/>
    <n v="0"/>
    <x v="6"/>
    <n v="990424"/>
    <x v="3562"/>
    <x v="1"/>
  </r>
  <r>
    <n v="184"/>
    <x v="4"/>
    <x v="4"/>
    <n v="2"/>
    <n v="2"/>
    <x v="1"/>
    <n v="941.200000000464"/>
    <x v="2"/>
    <n v="0"/>
    <n v="0"/>
    <n v="0"/>
    <x v="6"/>
    <n v="1152654"/>
    <x v="3563"/>
    <x v="1"/>
  </r>
  <r>
    <n v="185"/>
    <x v="4"/>
    <x v="4"/>
    <n v="2"/>
    <n v="3"/>
    <x v="1"/>
    <n v="1091.79999999967"/>
    <x v="2"/>
    <n v="0"/>
    <n v="0"/>
    <n v="0"/>
    <x v="6"/>
    <n v="990462"/>
    <x v="3564"/>
    <x v="1"/>
  </r>
  <r>
    <n v="186"/>
    <x v="4"/>
    <x v="4"/>
    <n v="3"/>
    <n v="3"/>
    <x v="1"/>
    <n v="1080.40000000074"/>
    <x v="2"/>
    <n v="0"/>
    <n v="0"/>
    <n v="0"/>
    <x v="6"/>
    <n v="952186"/>
    <x v="3565"/>
    <x v="1"/>
  </r>
  <r>
    <n v="187"/>
    <x v="4"/>
    <x v="4"/>
    <n v="3"/>
    <n v="2"/>
    <x v="1"/>
    <n v="864.19999999947095"/>
    <x v="2"/>
    <n v="0"/>
    <n v="0"/>
    <n v="0"/>
    <x v="6"/>
    <n v="1194516"/>
    <x v="3566"/>
    <x v="1"/>
  </r>
  <r>
    <n v="188"/>
    <x v="4"/>
    <x v="4"/>
    <n v="3"/>
    <n v="2"/>
    <x v="1"/>
    <n v="954.99999999972795"/>
    <x v="2"/>
    <n v="0"/>
    <n v="0"/>
    <n v="0"/>
    <x v="6"/>
    <n v="499986"/>
    <x v="3567"/>
    <x v="1"/>
  </r>
  <r>
    <n v="189"/>
    <x v="4"/>
    <x v="4"/>
    <n v="3"/>
    <n v="3"/>
    <x v="1"/>
    <n v="1226.7999999998799"/>
    <x v="2"/>
    <n v="0"/>
    <n v="0"/>
    <n v="0"/>
    <x v="6"/>
    <n v="911211"/>
    <x v="3568"/>
    <x v="1"/>
  </r>
  <r>
    <n v="160"/>
    <x v="4"/>
    <x v="4"/>
    <n v="2"/>
    <n v="3"/>
    <x v="1"/>
    <n v="0"/>
    <x v="3"/>
    <n v="0"/>
    <n v="0"/>
    <n v="0"/>
    <x v="0"/>
    <n v="0"/>
    <x v="3569"/>
    <x v="0"/>
  </r>
  <r>
    <n v="161"/>
    <x v="4"/>
    <x v="4"/>
    <n v="3"/>
    <n v="2"/>
    <x v="1"/>
    <n v="0"/>
    <x v="3"/>
    <n v="0"/>
    <n v="0"/>
    <n v="0"/>
    <x v="0"/>
    <n v="0"/>
    <x v="3570"/>
    <x v="0"/>
  </r>
  <r>
    <n v="162"/>
    <x v="4"/>
    <x v="4"/>
    <n v="2"/>
    <n v="3"/>
    <x v="1"/>
    <n v="0"/>
    <x v="3"/>
    <n v="0"/>
    <n v="0"/>
    <n v="0"/>
    <x v="0"/>
    <n v="0"/>
    <x v="3571"/>
    <x v="0"/>
  </r>
  <r>
    <n v="163"/>
    <x v="4"/>
    <x v="4"/>
    <n v="2"/>
    <n v="1"/>
    <x v="1"/>
    <n v="0"/>
    <x v="3"/>
    <n v="0"/>
    <n v="0"/>
    <n v="0"/>
    <x v="0"/>
    <n v="0"/>
    <x v="3572"/>
    <x v="0"/>
  </r>
  <r>
    <n v="164"/>
    <x v="4"/>
    <x v="4"/>
    <n v="2"/>
    <n v="2"/>
    <x v="1"/>
    <n v="0"/>
    <x v="3"/>
    <n v="0"/>
    <n v="0"/>
    <n v="0"/>
    <x v="0"/>
    <n v="0"/>
    <x v="3573"/>
    <x v="0"/>
  </r>
  <r>
    <n v="165"/>
    <x v="4"/>
    <x v="4"/>
    <n v="2"/>
    <n v="3"/>
    <x v="1"/>
    <n v="0"/>
    <x v="3"/>
    <n v="0"/>
    <n v="0"/>
    <n v="0"/>
    <x v="0"/>
    <n v="0"/>
    <x v="3574"/>
    <x v="0"/>
  </r>
  <r>
    <n v="166"/>
    <x v="4"/>
    <x v="4"/>
    <n v="2"/>
    <n v="1"/>
    <x v="1"/>
    <n v="0"/>
    <x v="3"/>
    <n v="0"/>
    <n v="0"/>
    <n v="0"/>
    <x v="0"/>
    <n v="0"/>
    <x v="3575"/>
    <x v="0"/>
  </r>
  <r>
    <n v="167"/>
    <x v="4"/>
    <x v="4"/>
    <n v="2"/>
    <n v="2"/>
    <x v="1"/>
    <n v="0"/>
    <x v="3"/>
    <n v="0"/>
    <n v="0"/>
    <n v="0"/>
    <x v="0"/>
    <n v="0"/>
    <x v="3576"/>
    <x v="0"/>
  </r>
  <r>
    <n v="168"/>
    <x v="4"/>
    <x v="4"/>
    <n v="3"/>
    <n v="3"/>
    <x v="1"/>
    <n v="0"/>
    <x v="3"/>
    <n v="0"/>
    <n v="0"/>
    <n v="0"/>
    <x v="0"/>
    <n v="0"/>
    <x v="3577"/>
    <x v="0"/>
  </r>
  <r>
    <n v="169"/>
    <x v="4"/>
    <x v="4"/>
    <n v="3"/>
    <n v="3"/>
    <x v="1"/>
    <n v="0"/>
    <x v="3"/>
    <n v="0"/>
    <n v="0"/>
    <n v="0"/>
    <x v="0"/>
    <n v="0"/>
    <x v="3578"/>
    <x v="0"/>
  </r>
  <r>
    <n v="170"/>
    <x v="4"/>
    <x v="4"/>
    <n v="2"/>
    <n v="3"/>
    <x v="1"/>
    <n v="0"/>
    <x v="3"/>
    <n v="0"/>
    <n v="0"/>
    <n v="0"/>
    <x v="0"/>
    <n v="0"/>
    <x v="3579"/>
    <x v="0"/>
  </r>
  <r>
    <n v="171"/>
    <x v="4"/>
    <x v="4"/>
    <n v="3"/>
    <n v="3"/>
    <x v="1"/>
    <n v="0"/>
    <x v="3"/>
    <n v="0"/>
    <n v="0"/>
    <n v="0"/>
    <x v="0"/>
    <n v="0"/>
    <x v="3580"/>
    <x v="0"/>
  </r>
  <r>
    <n v="172"/>
    <x v="4"/>
    <x v="4"/>
    <n v="2"/>
    <n v="2"/>
    <x v="1"/>
    <n v="0"/>
    <x v="3"/>
    <n v="0"/>
    <n v="0"/>
    <n v="0"/>
    <x v="0"/>
    <n v="0"/>
    <x v="3581"/>
    <x v="0"/>
  </r>
  <r>
    <n v="173"/>
    <x v="4"/>
    <x v="4"/>
    <n v="3"/>
    <n v="2"/>
    <x v="1"/>
    <n v="0"/>
    <x v="3"/>
    <n v="0"/>
    <n v="0"/>
    <n v="0"/>
    <x v="0"/>
    <n v="0"/>
    <x v="3582"/>
    <x v="0"/>
  </r>
  <r>
    <n v="174"/>
    <x v="4"/>
    <x v="4"/>
    <n v="2"/>
    <n v="2"/>
    <x v="1"/>
    <n v="0"/>
    <x v="3"/>
    <n v="0"/>
    <n v="0"/>
    <n v="0"/>
    <x v="0"/>
    <n v="0"/>
    <x v="3583"/>
    <x v="0"/>
  </r>
  <r>
    <n v="175"/>
    <x v="4"/>
    <x v="4"/>
    <n v="3"/>
    <n v="2"/>
    <x v="1"/>
    <n v="0"/>
    <x v="3"/>
    <n v="0"/>
    <n v="0"/>
    <n v="0"/>
    <x v="0"/>
    <n v="0"/>
    <x v="3584"/>
    <x v="0"/>
  </r>
  <r>
    <n v="176"/>
    <x v="4"/>
    <x v="4"/>
    <n v="3"/>
    <n v="3"/>
    <x v="1"/>
    <n v="0"/>
    <x v="3"/>
    <n v="0"/>
    <n v="0"/>
    <n v="0"/>
    <x v="0"/>
    <n v="0"/>
    <x v="3585"/>
    <x v="0"/>
  </r>
  <r>
    <n v="177"/>
    <x v="4"/>
    <x v="4"/>
    <n v="2"/>
    <n v="3"/>
    <x v="1"/>
    <n v="0"/>
    <x v="3"/>
    <n v="0"/>
    <n v="0"/>
    <n v="0"/>
    <x v="0"/>
    <n v="0"/>
    <x v="3586"/>
    <x v="0"/>
  </r>
  <r>
    <n v="178"/>
    <x v="4"/>
    <x v="4"/>
    <n v="3"/>
    <n v="3"/>
    <x v="1"/>
    <n v="0"/>
    <x v="3"/>
    <n v="0"/>
    <n v="0"/>
    <n v="0"/>
    <x v="0"/>
    <n v="0"/>
    <x v="3587"/>
    <x v="0"/>
  </r>
  <r>
    <n v="179"/>
    <x v="4"/>
    <x v="4"/>
    <n v="3"/>
    <n v="3"/>
    <x v="1"/>
    <n v="0"/>
    <x v="3"/>
    <n v="0"/>
    <n v="0"/>
    <n v="0"/>
    <x v="0"/>
    <n v="0"/>
    <x v="3588"/>
    <x v="0"/>
  </r>
  <r>
    <n v="180"/>
    <x v="4"/>
    <x v="4"/>
    <n v="3"/>
    <n v="3"/>
    <x v="1"/>
    <n v="0"/>
    <x v="3"/>
    <n v="0"/>
    <n v="0"/>
    <n v="0"/>
    <x v="0"/>
    <n v="0"/>
    <x v="3589"/>
    <x v="0"/>
  </r>
  <r>
    <n v="181"/>
    <x v="4"/>
    <x v="4"/>
    <n v="2"/>
    <n v="3"/>
    <x v="1"/>
    <n v="0"/>
    <x v="3"/>
    <n v="0"/>
    <n v="0"/>
    <n v="0"/>
    <x v="0"/>
    <n v="0"/>
    <x v="3590"/>
    <x v="0"/>
  </r>
  <r>
    <n v="182"/>
    <x v="4"/>
    <x v="4"/>
    <n v="2"/>
    <n v="3"/>
    <x v="1"/>
    <n v="0"/>
    <x v="3"/>
    <n v="0"/>
    <n v="0"/>
    <n v="0"/>
    <x v="0"/>
    <n v="0"/>
    <x v="3591"/>
    <x v="0"/>
  </r>
  <r>
    <n v="183"/>
    <x v="4"/>
    <x v="4"/>
    <n v="3"/>
    <n v="3"/>
    <x v="1"/>
    <n v="0"/>
    <x v="3"/>
    <n v="0"/>
    <n v="0"/>
    <n v="0"/>
    <x v="0"/>
    <n v="0"/>
    <x v="3592"/>
    <x v="0"/>
  </r>
  <r>
    <n v="184"/>
    <x v="4"/>
    <x v="4"/>
    <n v="2"/>
    <n v="2"/>
    <x v="1"/>
    <n v="0"/>
    <x v="3"/>
    <n v="0"/>
    <n v="0"/>
    <n v="0"/>
    <x v="0"/>
    <n v="0"/>
    <x v="3593"/>
    <x v="0"/>
  </r>
  <r>
    <n v="185"/>
    <x v="4"/>
    <x v="4"/>
    <n v="2"/>
    <n v="3"/>
    <x v="1"/>
    <n v="0"/>
    <x v="3"/>
    <n v="0"/>
    <n v="0"/>
    <n v="0"/>
    <x v="0"/>
    <n v="0"/>
    <x v="3594"/>
    <x v="0"/>
  </r>
  <r>
    <n v="186"/>
    <x v="4"/>
    <x v="4"/>
    <n v="3"/>
    <n v="3"/>
    <x v="1"/>
    <n v="0"/>
    <x v="3"/>
    <n v="0"/>
    <n v="0"/>
    <n v="0"/>
    <x v="0"/>
    <n v="0"/>
    <x v="3595"/>
    <x v="0"/>
  </r>
  <r>
    <n v="187"/>
    <x v="4"/>
    <x v="4"/>
    <n v="3"/>
    <n v="2"/>
    <x v="1"/>
    <n v="0"/>
    <x v="3"/>
    <n v="0"/>
    <n v="0"/>
    <n v="0"/>
    <x v="0"/>
    <n v="0"/>
    <x v="3596"/>
    <x v="0"/>
  </r>
  <r>
    <n v="188"/>
    <x v="4"/>
    <x v="4"/>
    <n v="3"/>
    <n v="2"/>
    <x v="1"/>
    <n v="0"/>
    <x v="3"/>
    <n v="0"/>
    <n v="0"/>
    <n v="0"/>
    <x v="0"/>
    <n v="0"/>
    <x v="3597"/>
    <x v="0"/>
  </r>
  <r>
    <n v="189"/>
    <x v="4"/>
    <x v="4"/>
    <n v="3"/>
    <n v="3"/>
    <x v="1"/>
    <n v="0"/>
    <x v="3"/>
    <n v="0"/>
    <n v="0"/>
    <n v="0"/>
    <x v="0"/>
    <n v="0"/>
    <x v="35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BA191-F4F4-6143-B35B-7A4C4D46DB5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:C11" firstHeaderRow="1" firstDataRow="1" firstDataCol="2" rowPageCount="1" colPageCount="1"/>
  <pivotFields count="15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1"/>
        <item x="10"/>
        <item x="12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">
        <item x="1"/>
        <item h="1" x="0"/>
        <item h="1" m="1" x="2"/>
        <item t="default"/>
      </items>
    </pivotField>
    <pivotField compact="0" outline="0" showAll="0"/>
    <pivotField axis="axisRow" compact="0" outline="0" multipleItemSelectionAllowed="1" showAll="0">
      <items count="6">
        <item h="1" x="2"/>
        <item h="1" x="3"/>
        <item x="0"/>
        <item x="1"/>
        <item h="1" m="1" x="4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compact="0" outline="0" multipleItemSelectionAllowed="1" showAll="0">
      <items count="4">
        <item x="1"/>
        <item x="0"/>
        <item h="1" m="1" x="2"/>
        <item t="default"/>
      </items>
    </pivotField>
  </pivotFields>
  <rowFields count="2">
    <field x="7"/>
    <field x="1"/>
  </rowFields>
  <rowItems count="7">
    <i>
      <x v="2"/>
      <x/>
    </i>
    <i r="1">
      <x v="1"/>
    </i>
    <i t="default">
      <x v="2"/>
    </i>
    <i>
      <x v="3"/>
      <x/>
    </i>
    <i r="1">
      <x v="1"/>
    </i>
    <i t="default">
      <x v="3"/>
    </i>
    <i t="grand">
      <x/>
    </i>
  </rowItems>
  <colItems count="1">
    <i/>
  </colItems>
  <pageFields count="1">
    <pageField fld="5" hier="-1"/>
  </pageFields>
  <dataFields count="1">
    <dataField name="Average of embedding_time" fld="8" subtotal="average" baseField="0" baseItem="0"/>
  </dataFields>
  <chartFormats count="2">
    <chartFormat chart="0" format="273" series="1">
      <pivotArea type="data" grandCol="1" outline="0" fieldPosition="0">
        <references count="1">
          <reference field="4294967294" count="1" selected="0">
            <x v="0"/>
          </reference>
        </references>
      </pivotArea>
    </chartFormat>
    <chartFormat chart="0" format="27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754F-D3A8-324A-90B7-866C317796AF}">
  <dimension ref="A1:O3502"/>
  <sheetViews>
    <sheetView workbookViewId="0">
      <pane ySplit="1" topLeftCell="A2431" activePane="bottomLeft" state="frozen"/>
      <selection pane="bottomLeft" activeCell="F2457" sqref="F2457"/>
    </sheetView>
  </sheetViews>
  <sheetFormatPr baseColWidth="10" defaultRowHeight="16" x14ac:dyDescent="0.2"/>
  <cols>
    <col min="6" max="6" width="12.6640625" bestFit="1" customWidth="1"/>
    <col min="7" max="7" width="20" bestFit="1" customWidth="1"/>
    <col min="9" max="9" width="14.6640625" bestFit="1" customWidth="1"/>
    <col min="11" max="11" width="13.6640625" bestFit="1" customWidth="1"/>
    <col min="12" max="12" width="13.6640625" customWidth="1"/>
    <col min="15" max="15" width="10.83203125" style="10"/>
  </cols>
  <sheetData>
    <row r="1" spans="1:15" x14ac:dyDescent="0.2">
      <c r="A1" t="s">
        <v>17</v>
      </c>
      <c r="B1" t="s">
        <v>2</v>
      </c>
      <c r="C1" t="s">
        <v>3</v>
      </c>
      <c r="D1" s="1" t="s">
        <v>0</v>
      </c>
      <c r="E1" s="1" t="s">
        <v>1</v>
      </c>
      <c r="F1" s="1" t="s">
        <v>7</v>
      </c>
      <c r="G1" s="1" t="s">
        <v>13</v>
      </c>
      <c r="H1" s="1" t="s">
        <v>6</v>
      </c>
      <c r="I1" s="1" t="s">
        <v>15</v>
      </c>
      <c r="J1" s="1" t="s">
        <v>10</v>
      </c>
      <c r="K1" s="1" t="s">
        <v>12</v>
      </c>
      <c r="L1" s="1" t="s">
        <v>19</v>
      </c>
      <c r="M1" s="1" t="s">
        <v>11</v>
      </c>
      <c r="N1" s="1" t="s">
        <v>14</v>
      </c>
      <c r="O1" s="8" t="s">
        <v>9</v>
      </c>
    </row>
    <row r="2" spans="1:15" x14ac:dyDescent="0.2">
      <c r="A2">
        <v>1</v>
      </c>
      <c r="B2">
        <v>4</v>
      </c>
      <c r="C2" s="2">
        <v>3</v>
      </c>
      <c r="D2" s="2">
        <v>2</v>
      </c>
      <c r="E2" s="2">
        <v>1</v>
      </c>
      <c r="F2" s="2" t="s">
        <v>5</v>
      </c>
      <c r="G2" s="2">
        <v>372.80000000024</v>
      </c>
      <c r="H2" s="2" t="s">
        <v>8</v>
      </c>
      <c r="I2" s="2">
        <v>12162.9999999993</v>
      </c>
      <c r="J2" s="2">
        <v>1000</v>
      </c>
      <c r="K2" s="2">
        <v>20</v>
      </c>
      <c r="L2" s="2">
        <v>0</v>
      </c>
      <c r="M2" s="2">
        <v>111346.37</v>
      </c>
      <c r="N2" s="2">
        <f>G2+M2+I2</f>
        <v>123882.16999999953</v>
      </c>
      <c r="O2" s="9" t="s">
        <v>5</v>
      </c>
    </row>
    <row r="3" spans="1:15" x14ac:dyDescent="0.2">
      <c r="A3">
        <v>2</v>
      </c>
      <c r="B3">
        <v>4</v>
      </c>
      <c r="C3" s="2">
        <v>3</v>
      </c>
      <c r="D3" s="2">
        <v>2</v>
      </c>
      <c r="E3" s="2">
        <v>2</v>
      </c>
      <c r="F3" s="2" t="s">
        <v>5</v>
      </c>
      <c r="G3" s="2">
        <v>392.199999999932</v>
      </c>
      <c r="H3" s="2" t="s">
        <v>8</v>
      </c>
      <c r="I3" s="2">
        <v>19805.999999999101</v>
      </c>
      <c r="J3" s="2">
        <v>1000</v>
      </c>
      <c r="K3" s="2">
        <v>20</v>
      </c>
      <c r="L3" s="2">
        <v>0</v>
      </c>
      <c r="M3" s="2">
        <v>103425.97</v>
      </c>
      <c r="N3" s="2">
        <f t="shared" ref="N3:N55" si="0">G3+M3+I3</f>
        <v>123624.16999999904</v>
      </c>
      <c r="O3" s="9" t="s">
        <v>5</v>
      </c>
    </row>
    <row r="4" spans="1:15" x14ac:dyDescent="0.2">
      <c r="A4">
        <v>3</v>
      </c>
      <c r="B4">
        <v>4</v>
      </c>
      <c r="C4" s="2">
        <v>3</v>
      </c>
      <c r="D4" s="2">
        <v>2</v>
      </c>
      <c r="E4" s="2">
        <v>3</v>
      </c>
      <c r="F4" s="2" t="s">
        <v>5</v>
      </c>
      <c r="G4" s="2">
        <v>404.80000000044902</v>
      </c>
      <c r="H4" s="2" t="s">
        <v>8</v>
      </c>
      <c r="I4" s="2">
        <v>20533.0000000004</v>
      </c>
      <c r="J4" s="2">
        <v>1000</v>
      </c>
      <c r="K4" s="2">
        <v>20</v>
      </c>
      <c r="L4" s="2">
        <v>0</v>
      </c>
      <c r="M4" s="2">
        <v>110865.97</v>
      </c>
      <c r="N4" s="2">
        <f t="shared" si="0"/>
        <v>131803.77000000086</v>
      </c>
      <c r="O4" s="9" t="s">
        <v>5</v>
      </c>
    </row>
    <row r="5" spans="1:15" x14ac:dyDescent="0.2">
      <c r="A5">
        <v>4</v>
      </c>
      <c r="B5">
        <v>4</v>
      </c>
      <c r="C5" s="2">
        <v>3</v>
      </c>
      <c r="D5" s="2">
        <v>3</v>
      </c>
      <c r="E5" s="2">
        <v>1</v>
      </c>
      <c r="F5" s="2" t="s">
        <v>5</v>
      </c>
      <c r="G5" s="2">
        <v>328.60000000027901</v>
      </c>
      <c r="H5" s="2" t="s">
        <v>8</v>
      </c>
      <c r="I5" s="2">
        <v>21143.9999999996</v>
      </c>
      <c r="J5" s="2">
        <v>1000</v>
      </c>
      <c r="K5" s="2">
        <v>20</v>
      </c>
      <c r="L5" s="2">
        <v>0</v>
      </c>
      <c r="M5" s="2">
        <v>105226.37</v>
      </c>
      <c r="N5" s="2">
        <f t="shared" si="0"/>
        <v>126698.96999999988</v>
      </c>
      <c r="O5" s="9" t="s">
        <v>5</v>
      </c>
    </row>
    <row r="6" spans="1:15" x14ac:dyDescent="0.2">
      <c r="A6">
        <v>5</v>
      </c>
      <c r="B6">
        <v>4</v>
      </c>
      <c r="C6" s="2">
        <v>3</v>
      </c>
      <c r="D6" s="2">
        <v>3</v>
      </c>
      <c r="E6" s="2">
        <v>2</v>
      </c>
      <c r="F6" s="2" t="s">
        <v>5</v>
      </c>
      <c r="G6" s="2">
        <v>253.600000000276</v>
      </c>
      <c r="H6" s="2" t="s">
        <v>8</v>
      </c>
      <c r="I6" s="2">
        <v>20588.000000000098</v>
      </c>
      <c r="J6" s="2">
        <v>1000</v>
      </c>
      <c r="K6" s="2">
        <v>20</v>
      </c>
      <c r="L6" s="2">
        <v>0</v>
      </c>
      <c r="M6" s="2">
        <v>108466.77</v>
      </c>
      <c r="N6" s="2">
        <f t="shared" si="0"/>
        <v>129308.37000000039</v>
      </c>
      <c r="O6" s="9" t="s">
        <v>5</v>
      </c>
    </row>
    <row r="7" spans="1:15" x14ac:dyDescent="0.2">
      <c r="A7">
        <v>6</v>
      </c>
      <c r="B7">
        <v>4</v>
      </c>
      <c r="C7" s="2">
        <v>3</v>
      </c>
      <c r="D7" s="2">
        <v>3</v>
      </c>
      <c r="E7" s="2">
        <v>3</v>
      </c>
      <c r="F7" s="2" t="s">
        <v>5</v>
      </c>
      <c r="G7" s="2">
        <v>288.20000000067103</v>
      </c>
      <c r="H7" s="2" t="s">
        <v>8</v>
      </c>
      <c r="I7" s="2">
        <v>31807.0000000006</v>
      </c>
      <c r="J7" s="2">
        <v>1000</v>
      </c>
      <c r="K7" s="2">
        <v>20</v>
      </c>
      <c r="L7" s="2">
        <v>0</v>
      </c>
      <c r="M7" s="2">
        <v>94506.37</v>
      </c>
      <c r="N7" s="2">
        <f t="shared" si="0"/>
        <v>126601.57000000126</v>
      </c>
      <c r="O7" s="9" t="s">
        <v>5</v>
      </c>
    </row>
    <row r="8" spans="1:15" x14ac:dyDescent="0.2">
      <c r="A8">
        <v>7</v>
      </c>
      <c r="B8">
        <v>4</v>
      </c>
      <c r="C8" s="2">
        <v>4</v>
      </c>
      <c r="D8" s="2">
        <v>2</v>
      </c>
      <c r="E8" s="2">
        <v>1</v>
      </c>
      <c r="F8" s="2" t="s">
        <v>5</v>
      </c>
      <c r="G8" s="2">
        <v>262.99999999999102</v>
      </c>
      <c r="H8" s="2" t="s">
        <v>8</v>
      </c>
      <c r="I8" s="2">
        <v>19309.999999999101</v>
      </c>
      <c r="J8" s="2">
        <v>1000</v>
      </c>
      <c r="K8" s="2">
        <v>20</v>
      </c>
      <c r="L8" s="2">
        <v>0</v>
      </c>
      <c r="M8" s="2">
        <v>111006.37</v>
      </c>
      <c r="N8" s="2">
        <f t="shared" si="0"/>
        <v>130579.36999999908</v>
      </c>
      <c r="O8" s="9" t="s">
        <v>5</v>
      </c>
    </row>
    <row r="9" spans="1:15" x14ac:dyDescent="0.2">
      <c r="A9">
        <v>8</v>
      </c>
      <c r="B9">
        <v>4</v>
      </c>
      <c r="C9" s="2">
        <v>4</v>
      </c>
      <c r="D9" s="2">
        <v>2</v>
      </c>
      <c r="E9" s="2">
        <v>2</v>
      </c>
      <c r="F9" s="2" t="s">
        <v>5</v>
      </c>
      <c r="G9" s="2">
        <v>285.999999999831</v>
      </c>
      <c r="H9" s="2" t="s">
        <v>8</v>
      </c>
      <c r="I9" s="2">
        <v>44251.000000000902</v>
      </c>
      <c r="J9" s="2">
        <v>1000</v>
      </c>
      <c r="K9" s="2">
        <v>20</v>
      </c>
      <c r="L9" s="2">
        <v>0</v>
      </c>
      <c r="M9" s="2">
        <v>109807.17</v>
      </c>
      <c r="N9" s="2">
        <f t="shared" si="0"/>
        <v>154344.17000000074</v>
      </c>
      <c r="O9" s="9" t="s">
        <v>5</v>
      </c>
    </row>
    <row r="10" spans="1:15" x14ac:dyDescent="0.2">
      <c r="A10">
        <v>9</v>
      </c>
      <c r="B10">
        <v>4</v>
      </c>
      <c r="C10" s="2">
        <v>4</v>
      </c>
      <c r="D10" s="2">
        <v>2</v>
      </c>
      <c r="E10" s="2">
        <v>3</v>
      </c>
      <c r="F10" s="2" t="s">
        <v>5</v>
      </c>
      <c r="G10" s="2">
        <v>248.399999999904</v>
      </c>
      <c r="H10" s="2" t="s">
        <v>8</v>
      </c>
      <c r="I10" s="2">
        <v>40224.000000000298</v>
      </c>
      <c r="J10" s="2">
        <v>1000</v>
      </c>
      <c r="K10" s="2">
        <v>20</v>
      </c>
      <c r="L10" s="2">
        <v>0</v>
      </c>
      <c r="M10" s="2">
        <v>100885.97</v>
      </c>
      <c r="N10" s="2">
        <f t="shared" si="0"/>
        <v>141358.3700000002</v>
      </c>
      <c r="O10" s="9" t="s">
        <v>5</v>
      </c>
    </row>
    <row r="11" spans="1:15" x14ac:dyDescent="0.2">
      <c r="A11">
        <v>10</v>
      </c>
      <c r="B11">
        <v>4</v>
      </c>
      <c r="C11" s="2">
        <v>4</v>
      </c>
      <c r="D11" s="2">
        <v>3</v>
      </c>
      <c r="E11" s="2">
        <v>1</v>
      </c>
      <c r="F11" s="2" t="s">
        <v>5</v>
      </c>
      <c r="G11" s="2">
        <v>246.20000000012999</v>
      </c>
      <c r="H11" s="2" t="s">
        <v>8</v>
      </c>
      <c r="I11" s="2">
        <v>36633.000000000102</v>
      </c>
      <c r="J11" s="2">
        <v>1000</v>
      </c>
      <c r="K11" s="2">
        <v>20</v>
      </c>
      <c r="L11" s="2">
        <v>0</v>
      </c>
      <c r="M11" s="2">
        <v>149366.37</v>
      </c>
      <c r="N11" s="2">
        <f t="shared" si="0"/>
        <v>186245.57000000024</v>
      </c>
      <c r="O11" s="9" t="s">
        <v>5</v>
      </c>
    </row>
    <row r="12" spans="1:15" x14ac:dyDescent="0.2">
      <c r="A12">
        <v>11</v>
      </c>
      <c r="B12">
        <v>4</v>
      </c>
      <c r="C12" s="2">
        <v>4</v>
      </c>
      <c r="D12" s="2">
        <v>3</v>
      </c>
      <c r="E12" s="2">
        <v>2</v>
      </c>
      <c r="F12" s="2" t="s">
        <v>5</v>
      </c>
      <c r="G12" s="2">
        <v>291.60000000025798</v>
      </c>
      <c r="H12" s="2" t="s">
        <v>8</v>
      </c>
      <c r="I12" s="2">
        <v>45753.999999998698</v>
      </c>
      <c r="J12" s="2">
        <v>1000</v>
      </c>
      <c r="K12" s="2">
        <v>20</v>
      </c>
      <c r="L12" s="2">
        <v>0</v>
      </c>
      <c r="M12" s="2">
        <v>101265.97</v>
      </c>
      <c r="N12" s="2">
        <f t="shared" si="0"/>
        <v>147311.56999999896</v>
      </c>
      <c r="O12" s="9" t="s">
        <v>5</v>
      </c>
    </row>
    <row r="13" spans="1:15" x14ac:dyDescent="0.2">
      <c r="A13">
        <v>12</v>
      </c>
      <c r="B13">
        <v>4</v>
      </c>
      <c r="C13" s="2">
        <v>4</v>
      </c>
      <c r="D13" s="2">
        <v>3</v>
      </c>
      <c r="E13" s="2">
        <v>3</v>
      </c>
      <c r="F13" s="2" t="s">
        <v>5</v>
      </c>
      <c r="G13" s="2">
        <v>221.79999999991699</v>
      </c>
      <c r="H13" s="2" t="s">
        <v>8</v>
      </c>
      <c r="I13" s="2">
        <v>86401.000000000393</v>
      </c>
      <c r="J13" s="2">
        <v>1000</v>
      </c>
      <c r="K13" s="2">
        <v>20</v>
      </c>
      <c r="L13" s="2">
        <v>0</v>
      </c>
      <c r="M13" s="2">
        <v>117465.97</v>
      </c>
      <c r="N13" s="2">
        <f t="shared" si="0"/>
        <v>204088.77000000031</v>
      </c>
      <c r="O13" s="9" t="s">
        <v>4</v>
      </c>
    </row>
    <row r="14" spans="1:15" x14ac:dyDescent="0.2">
      <c r="A14">
        <v>13</v>
      </c>
      <c r="B14">
        <v>4</v>
      </c>
      <c r="C14" s="2">
        <v>4</v>
      </c>
      <c r="D14" s="2">
        <v>2</v>
      </c>
      <c r="E14" s="2">
        <v>1</v>
      </c>
      <c r="F14" s="2" t="s">
        <v>5</v>
      </c>
      <c r="G14" s="2">
        <v>149.60000000030499</v>
      </c>
      <c r="H14" s="2" t="s">
        <v>8</v>
      </c>
      <c r="I14" s="2">
        <v>15811.0000000011</v>
      </c>
      <c r="J14" s="2">
        <v>1000</v>
      </c>
      <c r="K14" s="2">
        <v>20</v>
      </c>
      <c r="L14" s="2">
        <v>0</v>
      </c>
      <c r="M14" s="2">
        <v>98826.37</v>
      </c>
      <c r="N14" s="2">
        <f t="shared" si="0"/>
        <v>114786.97000000141</v>
      </c>
      <c r="O14" s="9" t="s">
        <v>5</v>
      </c>
    </row>
    <row r="15" spans="1:15" x14ac:dyDescent="0.2">
      <c r="A15">
        <v>14</v>
      </c>
      <c r="B15">
        <v>4</v>
      </c>
      <c r="C15" s="2">
        <v>4</v>
      </c>
      <c r="D15" s="2">
        <v>2</v>
      </c>
      <c r="E15" s="2">
        <v>2</v>
      </c>
      <c r="F15" s="2" t="s">
        <v>5</v>
      </c>
      <c r="G15" s="2">
        <v>167.19999999992299</v>
      </c>
      <c r="H15" s="2" t="s">
        <v>8</v>
      </c>
      <c r="I15" s="2">
        <v>36612.999999999098</v>
      </c>
      <c r="J15" s="2">
        <v>1000</v>
      </c>
      <c r="K15" s="2">
        <v>20</v>
      </c>
      <c r="L15" s="2">
        <v>0</v>
      </c>
      <c r="M15" s="2">
        <v>109546.37</v>
      </c>
      <c r="N15" s="2">
        <f t="shared" si="0"/>
        <v>146326.56999999902</v>
      </c>
      <c r="O15" s="9" t="s">
        <v>5</v>
      </c>
    </row>
    <row r="16" spans="1:15" x14ac:dyDescent="0.2">
      <c r="A16">
        <v>15</v>
      </c>
      <c r="B16">
        <v>4</v>
      </c>
      <c r="C16" s="2">
        <v>4</v>
      </c>
      <c r="D16" s="2">
        <v>2</v>
      </c>
      <c r="E16" s="2">
        <v>3</v>
      </c>
      <c r="F16" s="2" t="s">
        <v>5</v>
      </c>
      <c r="G16" s="2">
        <v>168.999999999642</v>
      </c>
      <c r="H16" s="2" t="s">
        <v>8</v>
      </c>
      <c r="I16" s="2">
        <v>31031.000000000498</v>
      </c>
      <c r="J16" s="2">
        <v>1000</v>
      </c>
      <c r="K16" s="2">
        <v>20</v>
      </c>
      <c r="L16" s="2">
        <v>0</v>
      </c>
      <c r="M16" s="2">
        <v>106086.37</v>
      </c>
      <c r="N16" s="2">
        <f t="shared" si="0"/>
        <v>137286.37000000014</v>
      </c>
      <c r="O16" s="9" t="s">
        <v>5</v>
      </c>
    </row>
    <row r="17" spans="1:15" x14ac:dyDescent="0.2">
      <c r="A17">
        <v>16</v>
      </c>
      <c r="B17">
        <v>4</v>
      </c>
      <c r="C17" s="2">
        <v>4</v>
      </c>
      <c r="D17" s="2">
        <v>3</v>
      </c>
      <c r="E17" s="2">
        <v>1</v>
      </c>
      <c r="F17" s="2" t="s">
        <v>5</v>
      </c>
      <c r="G17" s="2">
        <v>240.00000000050699</v>
      </c>
      <c r="H17" s="2" t="s">
        <v>8</v>
      </c>
      <c r="I17" s="2">
        <v>33037.000000000196</v>
      </c>
      <c r="J17" s="2">
        <v>1000</v>
      </c>
      <c r="K17" s="2">
        <v>20</v>
      </c>
      <c r="L17" s="2">
        <v>0</v>
      </c>
      <c r="M17" s="2">
        <v>103086.37</v>
      </c>
      <c r="N17" s="2">
        <f t="shared" si="0"/>
        <v>136363.37000000069</v>
      </c>
      <c r="O17" s="9" t="s">
        <v>5</v>
      </c>
    </row>
    <row r="18" spans="1:15" x14ac:dyDescent="0.2">
      <c r="A18">
        <v>17</v>
      </c>
      <c r="B18">
        <v>4</v>
      </c>
      <c r="C18" s="2">
        <v>4</v>
      </c>
      <c r="D18" s="2">
        <v>3</v>
      </c>
      <c r="E18" s="2">
        <v>2</v>
      </c>
      <c r="F18" s="2" t="s">
        <v>5</v>
      </c>
      <c r="G18" s="2">
        <v>214.20000000063001</v>
      </c>
      <c r="H18" s="2" t="s">
        <v>8</v>
      </c>
      <c r="I18" s="2">
        <v>36053.0000000008</v>
      </c>
      <c r="J18" s="2">
        <v>1000</v>
      </c>
      <c r="K18" s="2">
        <v>20</v>
      </c>
      <c r="L18" s="2">
        <v>0</v>
      </c>
      <c r="M18" s="2">
        <v>114226.77</v>
      </c>
      <c r="N18" s="2">
        <f t="shared" si="0"/>
        <v>150493.97000000143</v>
      </c>
      <c r="O18" s="9" t="s">
        <v>5</v>
      </c>
    </row>
    <row r="19" spans="1:15" x14ac:dyDescent="0.2">
      <c r="A19">
        <v>18</v>
      </c>
      <c r="B19">
        <v>4</v>
      </c>
      <c r="C19" s="2">
        <v>4</v>
      </c>
      <c r="D19" s="2">
        <v>3</v>
      </c>
      <c r="E19" s="2">
        <v>3</v>
      </c>
      <c r="F19" s="2" t="s">
        <v>5</v>
      </c>
      <c r="G19" s="2">
        <v>297.99999999973198</v>
      </c>
      <c r="H19" s="2" t="s">
        <v>8</v>
      </c>
      <c r="I19" s="2">
        <v>70577.000000000102</v>
      </c>
      <c r="J19" s="2">
        <v>1000</v>
      </c>
      <c r="K19" s="2">
        <v>20</v>
      </c>
      <c r="L19" s="2">
        <v>0</v>
      </c>
      <c r="M19" s="2">
        <v>118306.37</v>
      </c>
      <c r="N19" s="2">
        <f t="shared" si="0"/>
        <v>189181.36999999982</v>
      </c>
      <c r="O19" s="9" t="s">
        <v>5</v>
      </c>
    </row>
    <row r="20" spans="1:15" x14ac:dyDescent="0.2">
      <c r="A20">
        <v>19</v>
      </c>
      <c r="B20">
        <v>4</v>
      </c>
      <c r="C20" s="2">
        <v>5</v>
      </c>
      <c r="D20" s="2">
        <v>2</v>
      </c>
      <c r="E20" s="2">
        <v>1</v>
      </c>
      <c r="F20" s="2" t="s">
        <v>5</v>
      </c>
      <c r="G20" s="2">
        <v>138.60000000001099</v>
      </c>
      <c r="H20" s="2" t="s">
        <v>8</v>
      </c>
      <c r="I20" s="2">
        <v>26892.000000000098</v>
      </c>
      <c r="J20" s="2">
        <v>1000</v>
      </c>
      <c r="K20" s="2">
        <v>20</v>
      </c>
      <c r="L20" s="2">
        <v>0</v>
      </c>
      <c r="M20" s="2">
        <v>112286.77</v>
      </c>
      <c r="N20" s="2">
        <f t="shared" si="0"/>
        <v>139317.37000000011</v>
      </c>
      <c r="O20" s="9" t="s">
        <v>5</v>
      </c>
    </row>
    <row r="21" spans="1:15" x14ac:dyDescent="0.2">
      <c r="A21">
        <v>20</v>
      </c>
      <c r="B21">
        <v>4</v>
      </c>
      <c r="C21" s="2">
        <v>5</v>
      </c>
      <c r="D21" s="2">
        <v>2</v>
      </c>
      <c r="E21" s="2">
        <v>2</v>
      </c>
      <c r="F21" s="2" t="s">
        <v>5</v>
      </c>
      <c r="G21" s="2">
        <v>176.599999999993</v>
      </c>
      <c r="H21" s="2" t="s">
        <v>8</v>
      </c>
      <c r="I21" s="2">
        <v>66229.999999999098</v>
      </c>
      <c r="J21" s="2">
        <v>1000</v>
      </c>
      <c r="K21" s="2">
        <v>20</v>
      </c>
      <c r="L21" s="2">
        <v>0</v>
      </c>
      <c r="M21" s="2">
        <v>99585.97</v>
      </c>
      <c r="N21" s="2">
        <f t="shared" si="0"/>
        <v>165992.56999999908</v>
      </c>
      <c r="O21" s="9" t="s">
        <v>5</v>
      </c>
    </row>
    <row r="22" spans="1:15" x14ac:dyDescent="0.2">
      <c r="A22">
        <v>21</v>
      </c>
      <c r="B22">
        <v>4</v>
      </c>
      <c r="C22" s="2">
        <v>5</v>
      </c>
      <c r="D22" s="2">
        <v>2</v>
      </c>
      <c r="E22" s="2">
        <v>3</v>
      </c>
      <c r="F22" s="2" t="s">
        <v>5</v>
      </c>
      <c r="G22" s="2">
        <v>167.000000000428</v>
      </c>
      <c r="H22" s="2" t="s">
        <v>8</v>
      </c>
      <c r="I22" s="2">
        <v>90562.000000000204</v>
      </c>
      <c r="J22" s="2">
        <v>1000</v>
      </c>
      <c r="K22" s="2">
        <v>20</v>
      </c>
      <c r="L22" s="2">
        <v>0</v>
      </c>
      <c r="M22" s="2">
        <v>102966.37</v>
      </c>
      <c r="N22" s="2">
        <f t="shared" si="0"/>
        <v>193695.37000000064</v>
      </c>
      <c r="O22" s="9" t="s">
        <v>5</v>
      </c>
    </row>
    <row r="23" spans="1:15" x14ac:dyDescent="0.2">
      <c r="A23">
        <v>22</v>
      </c>
      <c r="B23">
        <v>4</v>
      </c>
      <c r="C23" s="2">
        <v>5</v>
      </c>
      <c r="D23" s="2">
        <v>3</v>
      </c>
      <c r="E23" s="2">
        <v>1</v>
      </c>
      <c r="F23" s="2" t="s">
        <v>5</v>
      </c>
      <c r="G23" s="2">
        <v>168.59999999994099</v>
      </c>
      <c r="H23" s="2" t="s">
        <v>8</v>
      </c>
      <c r="I23" s="2">
        <v>66720.000000000102</v>
      </c>
      <c r="J23" s="2">
        <v>1000</v>
      </c>
      <c r="K23" s="2">
        <v>20</v>
      </c>
      <c r="L23" s="2">
        <v>0</v>
      </c>
      <c r="M23" s="2">
        <v>100086.37</v>
      </c>
      <c r="N23" s="2">
        <f t="shared" si="0"/>
        <v>166974.97000000003</v>
      </c>
      <c r="O23" s="9" t="s">
        <v>5</v>
      </c>
    </row>
    <row r="24" spans="1:15" x14ac:dyDescent="0.2">
      <c r="A24">
        <v>23</v>
      </c>
      <c r="B24">
        <v>4</v>
      </c>
      <c r="C24" s="2">
        <v>5</v>
      </c>
      <c r="D24" s="2">
        <v>3</v>
      </c>
      <c r="E24" s="2">
        <v>2</v>
      </c>
      <c r="F24" s="2" t="s">
        <v>5</v>
      </c>
      <c r="G24" s="2">
        <v>169.399999999698</v>
      </c>
      <c r="H24" s="2" t="s">
        <v>8</v>
      </c>
      <c r="I24" s="2">
        <v>74979.0000000008</v>
      </c>
      <c r="J24" s="2">
        <v>1000</v>
      </c>
      <c r="K24" s="2">
        <v>20</v>
      </c>
      <c r="L24" s="2">
        <v>0</v>
      </c>
      <c r="M24" s="2">
        <v>116006.77</v>
      </c>
      <c r="N24" s="2">
        <f t="shared" si="0"/>
        <v>191155.17000000051</v>
      </c>
      <c r="O24" s="9" t="s">
        <v>5</v>
      </c>
    </row>
    <row r="25" spans="1:15" x14ac:dyDescent="0.2">
      <c r="A25">
        <v>24</v>
      </c>
      <c r="B25">
        <v>4</v>
      </c>
      <c r="C25" s="2">
        <v>5</v>
      </c>
      <c r="D25" s="2">
        <v>3</v>
      </c>
      <c r="E25" s="2">
        <v>3</v>
      </c>
      <c r="F25" s="2" t="s">
        <v>5</v>
      </c>
      <c r="G25" s="2">
        <v>231.99999999974401</v>
      </c>
      <c r="H25" s="2" t="s">
        <v>8</v>
      </c>
      <c r="I25" s="2">
        <v>208974.99999999901</v>
      </c>
      <c r="J25" s="2">
        <v>1000</v>
      </c>
      <c r="K25" s="2">
        <v>20</v>
      </c>
      <c r="L25" s="2">
        <v>0</v>
      </c>
      <c r="M25" s="2">
        <v>109666.77</v>
      </c>
      <c r="N25" s="2">
        <f t="shared" si="0"/>
        <v>318873.76999999874</v>
      </c>
      <c r="O25" s="9" t="s">
        <v>5</v>
      </c>
    </row>
    <row r="26" spans="1:15" x14ac:dyDescent="0.2">
      <c r="A26">
        <v>25</v>
      </c>
      <c r="B26">
        <v>4</v>
      </c>
      <c r="C26" s="2">
        <v>6</v>
      </c>
      <c r="D26" s="2">
        <v>3</v>
      </c>
      <c r="E26" s="2">
        <v>1</v>
      </c>
      <c r="F26" s="2" t="s">
        <v>5</v>
      </c>
      <c r="G26" s="2">
        <v>206.40000000007299</v>
      </c>
      <c r="H26" s="2" t="s">
        <v>8</v>
      </c>
      <c r="I26" s="2">
        <v>130214.000000001</v>
      </c>
      <c r="J26" s="2">
        <v>1000</v>
      </c>
      <c r="K26" s="2">
        <v>20</v>
      </c>
      <c r="L26" s="2">
        <v>0</v>
      </c>
      <c r="M26" s="2">
        <v>105706.37</v>
      </c>
      <c r="N26" s="2">
        <f t="shared" si="0"/>
        <v>236126.77000000107</v>
      </c>
      <c r="O26" s="9" t="s">
        <v>5</v>
      </c>
    </row>
    <row r="27" spans="1:15" x14ac:dyDescent="0.2">
      <c r="A27">
        <v>26</v>
      </c>
      <c r="B27">
        <v>4</v>
      </c>
      <c r="C27" s="2">
        <v>6</v>
      </c>
      <c r="D27" s="2">
        <v>3</v>
      </c>
      <c r="E27" s="2">
        <v>2</v>
      </c>
      <c r="F27" s="2" t="s">
        <v>5</v>
      </c>
      <c r="G27" s="2">
        <v>197.600000000264</v>
      </c>
      <c r="H27" s="2" t="s">
        <v>8</v>
      </c>
      <c r="I27" s="2">
        <v>151166</v>
      </c>
      <c r="J27" s="2">
        <v>1000</v>
      </c>
      <c r="K27" s="2">
        <v>20</v>
      </c>
      <c r="L27" s="2">
        <v>0</v>
      </c>
      <c r="M27" s="2">
        <v>153966.37</v>
      </c>
      <c r="N27" s="2">
        <f t="shared" si="0"/>
        <v>305329.97000000026</v>
      </c>
      <c r="O27" s="9" t="s">
        <v>5</v>
      </c>
    </row>
    <row r="28" spans="1:15" x14ac:dyDescent="0.2">
      <c r="A28">
        <v>27</v>
      </c>
      <c r="B28">
        <v>4</v>
      </c>
      <c r="C28" s="2">
        <v>6</v>
      </c>
      <c r="D28" s="2">
        <v>3</v>
      </c>
      <c r="E28" s="2">
        <v>3</v>
      </c>
      <c r="F28" s="2" t="s">
        <v>5</v>
      </c>
      <c r="G28" s="2">
        <v>270.59999999963202</v>
      </c>
      <c r="H28" s="2" t="s">
        <v>8</v>
      </c>
      <c r="I28" s="2">
        <v>369866</v>
      </c>
      <c r="J28" s="2">
        <v>1000</v>
      </c>
      <c r="K28" s="2">
        <v>20</v>
      </c>
      <c r="L28" s="2">
        <v>0</v>
      </c>
      <c r="M28" s="2">
        <v>124266.77</v>
      </c>
      <c r="N28" s="2">
        <f t="shared" si="0"/>
        <v>494403.36999999965</v>
      </c>
      <c r="O28" s="9" t="s">
        <v>5</v>
      </c>
    </row>
    <row r="29" spans="1:15" x14ac:dyDescent="0.2">
      <c r="A29">
        <v>1</v>
      </c>
      <c r="B29">
        <v>4</v>
      </c>
      <c r="C29" s="2">
        <v>3</v>
      </c>
      <c r="D29" s="2">
        <v>2</v>
      </c>
      <c r="E29" s="2">
        <v>1</v>
      </c>
      <c r="F29" s="2" t="s">
        <v>5</v>
      </c>
      <c r="G29" s="2">
        <v>372.80000000024</v>
      </c>
      <c r="H29" s="2" t="s">
        <v>16</v>
      </c>
      <c r="I29" s="2">
        <v>5699.9999999902702</v>
      </c>
      <c r="J29" s="2">
        <v>1000</v>
      </c>
      <c r="K29" s="2">
        <v>20</v>
      </c>
      <c r="L29" s="2">
        <v>0</v>
      </c>
      <c r="M29" s="2">
        <v>85228.41</v>
      </c>
      <c r="N29" s="2">
        <f t="shared" si="0"/>
        <v>91301.209999990504</v>
      </c>
      <c r="O29" s="9" t="s">
        <v>5</v>
      </c>
    </row>
    <row r="30" spans="1:15" x14ac:dyDescent="0.2">
      <c r="A30">
        <v>2</v>
      </c>
      <c r="B30">
        <v>4</v>
      </c>
      <c r="C30" s="2">
        <v>3</v>
      </c>
      <c r="D30" s="2">
        <v>2</v>
      </c>
      <c r="E30" s="2">
        <v>2</v>
      </c>
      <c r="F30" s="2" t="s">
        <v>5</v>
      </c>
      <c r="G30" s="2">
        <v>392.199999999932</v>
      </c>
      <c r="H30" s="2" t="s">
        <v>16</v>
      </c>
      <c r="I30" s="2">
        <v>13064.000000042601</v>
      </c>
      <c r="J30" s="2">
        <v>1000</v>
      </c>
      <c r="K30" s="2">
        <v>20</v>
      </c>
      <c r="L30" s="2">
        <v>0</v>
      </c>
      <c r="M30" s="2">
        <v>96748.01</v>
      </c>
      <c r="N30" s="2">
        <f t="shared" si="0"/>
        <v>110204.21000004254</v>
      </c>
      <c r="O30" s="9" t="s">
        <v>5</v>
      </c>
    </row>
    <row r="31" spans="1:15" x14ac:dyDescent="0.2">
      <c r="A31">
        <v>3</v>
      </c>
      <c r="B31">
        <v>4</v>
      </c>
      <c r="C31" s="2">
        <v>3</v>
      </c>
      <c r="D31" s="2">
        <v>2</v>
      </c>
      <c r="E31" s="2">
        <v>3</v>
      </c>
      <c r="F31" s="2" t="s">
        <v>5</v>
      </c>
      <c r="G31" s="2">
        <v>404.80000000044902</v>
      </c>
      <c r="H31" s="2" t="s">
        <v>16</v>
      </c>
      <c r="I31" s="2">
        <v>13018.999999985699</v>
      </c>
      <c r="J31" s="2">
        <v>1000</v>
      </c>
      <c r="K31" s="2">
        <v>20</v>
      </c>
      <c r="L31" s="2">
        <v>0</v>
      </c>
      <c r="M31" s="2">
        <v>110147.61</v>
      </c>
      <c r="N31" s="2">
        <f t="shared" si="0"/>
        <v>123571.40999998615</v>
      </c>
      <c r="O31" s="9" t="s">
        <v>5</v>
      </c>
    </row>
    <row r="32" spans="1:15" x14ac:dyDescent="0.2">
      <c r="A32">
        <v>4</v>
      </c>
      <c r="B32">
        <v>4</v>
      </c>
      <c r="C32" s="2">
        <v>3</v>
      </c>
      <c r="D32" s="2">
        <v>3</v>
      </c>
      <c r="E32" s="2">
        <v>1</v>
      </c>
      <c r="F32" s="2" t="s">
        <v>5</v>
      </c>
      <c r="G32" s="2">
        <v>328.60000000027901</v>
      </c>
      <c r="H32" s="2" t="s">
        <v>16</v>
      </c>
      <c r="I32" s="2">
        <v>12460.999999973399</v>
      </c>
      <c r="J32" s="2">
        <v>1000</v>
      </c>
      <c r="K32" s="2">
        <v>20</v>
      </c>
      <c r="L32" s="2">
        <v>0</v>
      </c>
      <c r="M32" s="2">
        <v>110828.01</v>
      </c>
      <c r="N32" s="2">
        <f t="shared" si="0"/>
        <v>123617.60999997368</v>
      </c>
      <c r="O32" s="9" t="s">
        <v>5</v>
      </c>
    </row>
    <row r="33" spans="1:15" x14ac:dyDescent="0.2">
      <c r="A33">
        <v>5</v>
      </c>
      <c r="B33">
        <v>4</v>
      </c>
      <c r="C33" s="2">
        <v>3</v>
      </c>
      <c r="D33" s="2">
        <v>3</v>
      </c>
      <c r="E33" s="2">
        <v>2</v>
      </c>
      <c r="F33" s="2" t="s">
        <v>5</v>
      </c>
      <c r="G33" s="2">
        <v>253.600000000276</v>
      </c>
      <c r="H33" s="2" t="s">
        <v>16</v>
      </c>
      <c r="I33" s="2">
        <v>11733.999999989899</v>
      </c>
      <c r="J33" s="2">
        <v>1000</v>
      </c>
      <c r="K33" s="2">
        <v>20</v>
      </c>
      <c r="L33" s="2">
        <v>0</v>
      </c>
      <c r="M33" s="2">
        <v>97308.81</v>
      </c>
      <c r="N33" s="2">
        <f t="shared" si="0"/>
        <v>109296.40999999018</v>
      </c>
      <c r="O33" s="9" t="s">
        <v>5</v>
      </c>
    </row>
    <row r="34" spans="1:15" x14ac:dyDescent="0.2">
      <c r="A34">
        <v>6</v>
      </c>
      <c r="B34">
        <v>4</v>
      </c>
      <c r="C34" s="2">
        <v>3</v>
      </c>
      <c r="D34" s="2">
        <v>3</v>
      </c>
      <c r="E34" s="2">
        <v>3</v>
      </c>
      <c r="F34" s="2" t="s">
        <v>5</v>
      </c>
      <c r="G34" s="2">
        <v>288.20000000067103</v>
      </c>
      <c r="H34" s="2" t="s">
        <v>16</v>
      </c>
      <c r="I34" s="2">
        <v>17467.000000010601</v>
      </c>
      <c r="J34" s="2">
        <v>1000</v>
      </c>
      <c r="K34" s="2">
        <v>20</v>
      </c>
      <c r="L34" s="2">
        <v>0</v>
      </c>
      <c r="M34" s="2">
        <v>98907.61</v>
      </c>
      <c r="N34" s="2">
        <f t="shared" si="0"/>
        <v>116662.81000001126</v>
      </c>
      <c r="O34" s="9" t="s">
        <v>5</v>
      </c>
    </row>
    <row r="35" spans="1:15" x14ac:dyDescent="0.2">
      <c r="A35">
        <v>7</v>
      </c>
      <c r="B35">
        <v>4</v>
      </c>
      <c r="C35" s="2">
        <v>4</v>
      </c>
      <c r="D35" s="2">
        <v>2</v>
      </c>
      <c r="E35" s="2">
        <v>1</v>
      </c>
      <c r="F35" s="2" t="s">
        <v>5</v>
      </c>
      <c r="G35" s="2">
        <v>262.99999999999102</v>
      </c>
      <c r="H35" s="2" t="s">
        <v>16</v>
      </c>
      <c r="I35" s="2">
        <v>9952.99999999588</v>
      </c>
      <c r="J35" s="2">
        <v>1000</v>
      </c>
      <c r="K35" s="2">
        <v>20</v>
      </c>
      <c r="L35" s="2">
        <v>0</v>
      </c>
      <c r="M35" s="2">
        <v>94508.01</v>
      </c>
      <c r="N35" s="2">
        <f t="shared" si="0"/>
        <v>104724.00999999586</v>
      </c>
      <c r="O35" s="9" t="s">
        <v>5</v>
      </c>
    </row>
    <row r="36" spans="1:15" x14ac:dyDescent="0.2">
      <c r="A36">
        <v>8</v>
      </c>
      <c r="B36">
        <v>4</v>
      </c>
      <c r="C36" s="2">
        <v>4</v>
      </c>
      <c r="D36" s="2">
        <v>2</v>
      </c>
      <c r="E36" s="2">
        <v>2</v>
      </c>
      <c r="F36" s="2" t="s">
        <v>5</v>
      </c>
      <c r="G36" s="2">
        <v>285.999999999831</v>
      </c>
      <c r="H36" s="2" t="s">
        <v>16</v>
      </c>
      <c r="I36" s="2">
        <v>15918.9999999967</v>
      </c>
      <c r="J36" s="2">
        <v>1000</v>
      </c>
      <c r="K36" s="2">
        <v>20</v>
      </c>
      <c r="L36" s="2">
        <v>0</v>
      </c>
      <c r="M36" s="2">
        <v>95427.21</v>
      </c>
      <c r="N36" s="2">
        <f t="shared" si="0"/>
        <v>111632.20999999653</v>
      </c>
      <c r="O36" s="9" t="s">
        <v>5</v>
      </c>
    </row>
    <row r="37" spans="1:15" x14ac:dyDescent="0.2">
      <c r="A37">
        <v>9</v>
      </c>
      <c r="B37">
        <v>4</v>
      </c>
      <c r="C37" s="2">
        <v>4</v>
      </c>
      <c r="D37" s="2">
        <v>2</v>
      </c>
      <c r="E37" s="2">
        <v>3</v>
      </c>
      <c r="F37" s="2" t="s">
        <v>5</v>
      </c>
      <c r="G37" s="2">
        <v>248.399999999904</v>
      </c>
      <c r="H37" s="2" t="s">
        <v>16</v>
      </c>
      <c r="I37" s="2">
        <v>40880.0000000156</v>
      </c>
      <c r="J37" s="2">
        <v>1000</v>
      </c>
      <c r="K37" s="2">
        <v>20</v>
      </c>
      <c r="L37" s="2">
        <v>0</v>
      </c>
      <c r="M37" s="2">
        <v>97387.61</v>
      </c>
      <c r="N37" s="2">
        <f t="shared" si="0"/>
        <v>138516.01000001549</v>
      </c>
      <c r="O37" s="9" t="s">
        <v>5</v>
      </c>
    </row>
    <row r="38" spans="1:15" x14ac:dyDescent="0.2">
      <c r="A38">
        <v>10</v>
      </c>
      <c r="B38">
        <v>4</v>
      </c>
      <c r="C38" s="2">
        <v>4</v>
      </c>
      <c r="D38" s="2">
        <v>3</v>
      </c>
      <c r="E38" s="2">
        <v>1</v>
      </c>
      <c r="F38" s="2" t="s">
        <v>5</v>
      </c>
      <c r="G38" s="2">
        <v>246.20000000012999</v>
      </c>
      <c r="H38" s="2" t="s">
        <v>16</v>
      </c>
      <c r="I38" s="2">
        <v>26859.000000001699</v>
      </c>
      <c r="J38" s="2">
        <v>1000</v>
      </c>
      <c r="K38" s="2">
        <v>20</v>
      </c>
      <c r="L38" s="2">
        <v>0</v>
      </c>
      <c r="M38" s="2">
        <v>96227.61</v>
      </c>
      <c r="N38" s="2">
        <f t="shared" si="0"/>
        <v>123332.81000000183</v>
      </c>
      <c r="O38" s="9" t="s">
        <v>5</v>
      </c>
    </row>
    <row r="39" spans="1:15" x14ac:dyDescent="0.2">
      <c r="A39">
        <v>11</v>
      </c>
      <c r="B39">
        <v>4</v>
      </c>
      <c r="C39" s="2">
        <v>4</v>
      </c>
      <c r="D39" s="2">
        <v>3</v>
      </c>
      <c r="E39" s="2">
        <v>2</v>
      </c>
      <c r="F39" s="2" t="s">
        <v>5</v>
      </c>
      <c r="G39" s="2">
        <v>291.60000000025798</v>
      </c>
      <c r="H39" s="2" t="s">
        <v>16</v>
      </c>
      <c r="I39" s="2">
        <v>35631.9999999641</v>
      </c>
      <c r="J39" s="2">
        <v>1000</v>
      </c>
      <c r="K39" s="2">
        <v>20</v>
      </c>
      <c r="L39" s="2">
        <v>0</v>
      </c>
      <c r="M39" s="2">
        <v>104227.61</v>
      </c>
      <c r="N39" s="2">
        <f t="shared" si="0"/>
        <v>140151.20999996434</v>
      </c>
      <c r="O39" s="9" t="s">
        <v>5</v>
      </c>
    </row>
    <row r="40" spans="1:15" x14ac:dyDescent="0.2">
      <c r="A40">
        <v>12</v>
      </c>
      <c r="B40">
        <v>4</v>
      </c>
      <c r="C40" s="2">
        <v>4</v>
      </c>
      <c r="D40" s="2">
        <v>3</v>
      </c>
      <c r="E40" s="2">
        <v>3</v>
      </c>
      <c r="F40" s="2" t="s">
        <v>5</v>
      </c>
      <c r="G40" s="2">
        <v>221.79999999991699</v>
      </c>
      <c r="H40" s="2" t="s">
        <v>16</v>
      </c>
      <c r="I40" s="2">
        <v>45082.999999976899</v>
      </c>
      <c r="J40" s="2">
        <v>1000</v>
      </c>
      <c r="K40" s="2">
        <v>20</v>
      </c>
      <c r="L40" s="2">
        <v>0</v>
      </c>
      <c r="M40" s="2">
        <v>100827.61</v>
      </c>
      <c r="N40" s="2">
        <f t="shared" si="0"/>
        <v>146132.40999997681</v>
      </c>
      <c r="O40" s="9" t="s">
        <v>5</v>
      </c>
    </row>
    <row r="41" spans="1:15" x14ac:dyDescent="0.2">
      <c r="A41">
        <v>13</v>
      </c>
      <c r="B41">
        <v>4</v>
      </c>
      <c r="C41" s="2">
        <v>4</v>
      </c>
      <c r="D41" s="2">
        <v>2</v>
      </c>
      <c r="E41" s="2">
        <v>1</v>
      </c>
      <c r="F41" s="2" t="s">
        <v>5</v>
      </c>
      <c r="G41" s="2">
        <v>149.60000000030499</v>
      </c>
      <c r="H41" s="2" t="s">
        <v>16</v>
      </c>
      <c r="I41" s="2">
        <v>7323.9999999827896</v>
      </c>
      <c r="J41" s="2">
        <v>1000</v>
      </c>
      <c r="K41" s="2">
        <v>20</v>
      </c>
      <c r="L41" s="2">
        <v>0</v>
      </c>
      <c r="M41" s="2">
        <v>91707.61</v>
      </c>
      <c r="N41" s="2">
        <f t="shared" si="0"/>
        <v>99181.209999983097</v>
      </c>
      <c r="O41" s="9" t="s">
        <v>5</v>
      </c>
    </row>
    <row r="42" spans="1:15" x14ac:dyDescent="0.2">
      <c r="A42">
        <v>14</v>
      </c>
      <c r="B42">
        <v>4</v>
      </c>
      <c r="C42" s="2">
        <v>4</v>
      </c>
      <c r="D42" s="2">
        <v>2</v>
      </c>
      <c r="E42" s="2">
        <v>2</v>
      </c>
      <c r="F42" s="2" t="s">
        <v>5</v>
      </c>
      <c r="G42" s="2">
        <v>167.19999999992299</v>
      </c>
      <c r="H42" s="2" t="s">
        <v>16</v>
      </c>
      <c r="I42" s="2">
        <v>16728.000000000498</v>
      </c>
      <c r="J42" s="2">
        <v>1000</v>
      </c>
      <c r="K42" s="2">
        <v>20</v>
      </c>
      <c r="L42" s="2">
        <v>0</v>
      </c>
      <c r="M42" s="2">
        <v>97748.01</v>
      </c>
      <c r="N42" s="2">
        <f t="shared" si="0"/>
        <v>114643.21000000041</v>
      </c>
      <c r="O42" s="9" t="s">
        <v>5</v>
      </c>
    </row>
    <row r="43" spans="1:15" x14ac:dyDescent="0.2">
      <c r="A43">
        <v>15</v>
      </c>
      <c r="B43">
        <v>4</v>
      </c>
      <c r="C43" s="2">
        <v>4</v>
      </c>
      <c r="D43" s="2">
        <v>2</v>
      </c>
      <c r="E43" s="2">
        <v>3</v>
      </c>
      <c r="F43" s="2" t="s">
        <v>5</v>
      </c>
      <c r="G43" s="2">
        <v>168.999999999642</v>
      </c>
      <c r="H43" s="2" t="s">
        <v>16</v>
      </c>
      <c r="I43" s="2">
        <v>35496.000000023298</v>
      </c>
      <c r="J43" s="2">
        <v>1000</v>
      </c>
      <c r="K43" s="2">
        <v>20</v>
      </c>
      <c r="L43" s="2">
        <v>0</v>
      </c>
      <c r="M43" s="2">
        <v>109188.41</v>
      </c>
      <c r="N43" s="2">
        <f t="shared" si="0"/>
        <v>144853.41000002294</v>
      </c>
      <c r="O43" s="9" t="s">
        <v>5</v>
      </c>
    </row>
    <row r="44" spans="1:15" x14ac:dyDescent="0.2">
      <c r="A44">
        <v>16</v>
      </c>
      <c r="B44">
        <v>4</v>
      </c>
      <c r="C44" s="2">
        <v>4</v>
      </c>
      <c r="D44" s="2">
        <v>3</v>
      </c>
      <c r="E44" s="2">
        <v>1</v>
      </c>
      <c r="F44" s="2" t="s">
        <v>5</v>
      </c>
      <c r="G44" s="2">
        <v>240.00000000050699</v>
      </c>
      <c r="H44" s="2" t="s">
        <v>16</v>
      </c>
      <c r="I44" s="2">
        <v>29365.999999981799</v>
      </c>
      <c r="J44" s="2">
        <v>1000</v>
      </c>
      <c r="K44" s="2">
        <v>20</v>
      </c>
      <c r="L44" s="2">
        <v>0</v>
      </c>
      <c r="M44" s="2">
        <v>112428.01</v>
      </c>
      <c r="N44" s="2">
        <f t="shared" si="0"/>
        <v>142034.00999998231</v>
      </c>
      <c r="O44" s="9" t="s">
        <v>5</v>
      </c>
    </row>
    <row r="45" spans="1:15" x14ac:dyDescent="0.2">
      <c r="A45">
        <v>17</v>
      </c>
      <c r="B45">
        <v>4</v>
      </c>
      <c r="C45" s="2">
        <v>4</v>
      </c>
      <c r="D45" s="2">
        <v>3</v>
      </c>
      <c r="E45" s="2">
        <v>2</v>
      </c>
      <c r="F45" s="2" t="s">
        <v>5</v>
      </c>
      <c r="G45" s="2">
        <v>214.20000000063001</v>
      </c>
      <c r="H45" s="2" t="s">
        <v>16</v>
      </c>
      <c r="I45" s="2">
        <v>22088.999999994001</v>
      </c>
      <c r="J45" s="2">
        <v>1000</v>
      </c>
      <c r="K45" s="2">
        <v>20</v>
      </c>
      <c r="L45" s="2">
        <v>0</v>
      </c>
      <c r="M45" s="2">
        <v>98748.01</v>
      </c>
      <c r="N45" s="2">
        <f t="shared" si="0"/>
        <v>121051.20999999462</v>
      </c>
      <c r="O45" s="9" t="s">
        <v>5</v>
      </c>
    </row>
    <row r="46" spans="1:15" x14ac:dyDescent="0.2">
      <c r="A46">
        <v>18</v>
      </c>
      <c r="B46">
        <v>4</v>
      </c>
      <c r="C46" s="2">
        <v>4</v>
      </c>
      <c r="D46" s="2">
        <v>3</v>
      </c>
      <c r="E46" s="2">
        <v>3</v>
      </c>
      <c r="F46" s="2" t="s">
        <v>5</v>
      </c>
      <c r="G46" s="2">
        <v>297.99999999973198</v>
      </c>
      <c r="H46" s="2" t="s">
        <v>16</v>
      </c>
      <c r="I46" s="2">
        <v>54940.999999985303</v>
      </c>
      <c r="J46" s="2">
        <v>1000</v>
      </c>
      <c r="K46" s="2">
        <v>20</v>
      </c>
      <c r="L46" s="2">
        <v>0</v>
      </c>
      <c r="M46" s="2">
        <v>98387.61</v>
      </c>
      <c r="N46" s="2">
        <f t="shared" si="0"/>
        <v>153626.60999998503</v>
      </c>
      <c r="O46" s="9" t="s">
        <v>5</v>
      </c>
    </row>
    <row r="47" spans="1:15" x14ac:dyDescent="0.2">
      <c r="A47">
        <v>19</v>
      </c>
      <c r="B47">
        <v>4</v>
      </c>
      <c r="C47" s="2">
        <v>5</v>
      </c>
      <c r="D47" s="2">
        <v>2</v>
      </c>
      <c r="E47" s="2">
        <v>1</v>
      </c>
      <c r="F47" s="2" t="s">
        <v>5</v>
      </c>
      <c r="G47" s="2">
        <v>138.60000000001099</v>
      </c>
      <c r="H47" s="2" t="s">
        <v>16</v>
      </c>
      <c r="I47" s="2">
        <v>9796.99999999184</v>
      </c>
      <c r="J47" s="2">
        <v>1000</v>
      </c>
      <c r="K47" s="2">
        <v>20</v>
      </c>
      <c r="L47" s="2">
        <v>0</v>
      </c>
      <c r="M47" s="2">
        <v>95787.61</v>
      </c>
      <c r="N47" s="2">
        <f t="shared" si="0"/>
        <v>105723.20999999184</v>
      </c>
      <c r="O47" s="9" t="s">
        <v>5</v>
      </c>
    </row>
    <row r="48" spans="1:15" x14ac:dyDescent="0.2">
      <c r="A48">
        <v>20</v>
      </c>
      <c r="B48">
        <v>4</v>
      </c>
      <c r="C48" s="2">
        <v>5</v>
      </c>
      <c r="D48" s="2">
        <v>2</v>
      </c>
      <c r="E48" s="2">
        <v>2</v>
      </c>
      <c r="F48" s="2" t="s">
        <v>5</v>
      </c>
      <c r="G48" s="2">
        <v>176.599999999993</v>
      </c>
      <c r="H48" s="2" t="s">
        <v>16</v>
      </c>
      <c r="I48" s="2">
        <v>73340.000000030195</v>
      </c>
      <c r="J48" s="2">
        <v>1000</v>
      </c>
      <c r="K48" s="2">
        <v>20</v>
      </c>
      <c r="L48" s="2">
        <v>0</v>
      </c>
      <c r="M48" s="2">
        <v>124867.61</v>
      </c>
      <c r="N48" s="2">
        <f t="shared" si="0"/>
        <v>198384.21000003017</v>
      </c>
      <c r="O48" s="9" t="s">
        <v>5</v>
      </c>
    </row>
    <row r="49" spans="1:15" x14ac:dyDescent="0.2">
      <c r="A49">
        <v>21</v>
      </c>
      <c r="B49">
        <v>4</v>
      </c>
      <c r="C49" s="2">
        <v>5</v>
      </c>
      <c r="D49" s="2">
        <v>2</v>
      </c>
      <c r="E49" s="2">
        <v>3</v>
      </c>
      <c r="F49" s="2" t="s">
        <v>5</v>
      </c>
      <c r="G49" s="2">
        <v>167.000000000428</v>
      </c>
      <c r="H49" s="2" t="s">
        <v>16</v>
      </c>
      <c r="I49" s="2">
        <v>33509.000000037799</v>
      </c>
      <c r="J49" s="2">
        <v>1000</v>
      </c>
      <c r="K49" s="2">
        <v>20</v>
      </c>
      <c r="L49" s="2">
        <v>0</v>
      </c>
      <c r="M49" s="2">
        <v>99348.41</v>
      </c>
      <c r="N49" s="2">
        <f t="shared" si="0"/>
        <v>133024.41000003822</v>
      </c>
      <c r="O49" s="9" t="s">
        <v>5</v>
      </c>
    </row>
    <row r="50" spans="1:15" x14ac:dyDescent="0.2">
      <c r="A50">
        <v>22</v>
      </c>
      <c r="B50">
        <v>4</v>
      </c>
      <c r="C50" s="2">
        <v>5</v>
      </c>
      <c r="D50" s="2">
        <v>3</v>
      </c>
      <c r="E50" s="2">
        <v>1</v>
      </c>
      <c r="F50" s="2" t="s">
        <v>5</v>
      </c>
      <c r="G50" s="2">
        <v>168.59999999994099</v>
      </c>
      <c r="H50" s="2" t="s">
        <v>16</v>
      </c>
      <c r="I50" s="2">
        <v>43980.0000000332</v>
      </c>
      <c r="J50" s="2">
        <v>1000</v>
      </c>
      <c r="K50" s="2">
        <v>20</v>
      </c>
      <c r="L50" s="2">
        <v>0</v>
      </c>
      <c r="M50" s="2">
        <v>111228.41</v>
      </c>
      <c r="N50" s="2">
        <f t="shared" si="0"/>
        <v>155377.01000003316</v>
      </c>
      <c r="O50" s="9" t="s">
        <v>5</v>
      </c>
    </row>
    <row r="51" spans="1:15" x14ac:dyDescent="0.2">
      <c r="A51">
        <v>23</v>
      </c>
      <c r="B51">
        <v>4</v>
      </c>
      <c r="C51" s="2">
        <v>5</v>
      </c>
      <c r="D51" s="2">
        <v>3</v>
      </c>
      <c r="E51" s="2">
        <v>2</v>
      </c>
      <c r="F51" s="2" t="s">
        <v>5</v>
      </c>
      <c r="G51" s="2">
        <v>169.399999999698</v>
      </c>
      <c r="H51" s="2" t="s">
        <v>16</v>
      </c>
      <c r="I51" s="2">
        <v>48980.000000028696</v>
      </c>
      <c r="J51" s="2">
        <v>1000</v>
      </c>
      <c r="K51" s="2">
        <v>20</v>
      </c>
      <c r="L51" s="2">
        <v>0</v>
      </c>
      <c r="M51" s="2">
        <v>98067.21</v>
      </c>
      <c r="N51" s="2">
        <f t="shared" si="0"/>
        <v>147216.61000002839</v>
      </c>
      <c r="O51" s="9" t="s">
        <v>5</v>
      </c>
    </row>
    <row r="52" spans="1:15" x14ac:dyDescent="0.2">
      <c r="A52">
        <v>24</v>
      </c>
      <c r="B52">
        <v>4</v>
      </c>
      <c r="C52" s="2">
        <v>5</v>
      </c>
      <c r="D52" s="2">
        <v>3</v>
      </c>
      <c r="E52" s="2">
        <v>3</v>
      </c>
      <c r="F52" s="2" t="s">
        <v>5</v>
      </c>
      <c r="G52" s="2">
        <v>231.99999999974401</v>
      </c>
      <c r="H52" s="2" t="s">
        <v>16</v>
      </c>
      <c r="I52" s="2">
        <v>93840.000000000204</v>
      </c>
      <c r="J52" s="2">
        <v>1000</v>
      </c>
      <c r="K52" s="2">
        <v>20</v>
      </c>
      <c r="L52" s="2">
        <v>0</v>
      </c>
      <c r="M52" s="2">
        <v>102228.01</v>
      </c>
      <c r="N52" s="2">
        <f t="shared" si="0"/>
        <v>196300.00999999995</v>
      </c>
      <c r="O52" s="9" t="s">
        <v>4</v>
      </c>
    </row>
    <row r="53" spans="1:15" x14ac:dyDescent="0.2">
      <c r="A53">
        <v>25</v>
      </c>
      <c r="B53">
        <v>4</v>
      </c>
      <c r="C53" s="2">
        <v>6</v>
      </c>
      <c r="D53" s="2">
        <v>3</v>
      </c>
      <c r="E53" s="2">
        <v>1</v>
      </c>
      <c r="F53" s="2" t="s">
        <v>5</v>
      </c>
      <c r="G53" s="2">
        <v>206.40000000007299</v>
      </c>
      <c r="H53" s="2" t="s">
        <v>16</v>
      </c>
      <c r="I53" s="2">
        <v>77981.999999963096</v>
      </c>
      <c r="J53" s="2">
        <v>1000</v>
      </c>
      <c r="K53" s="2">
        <v>20</v>
      </c>
      <c r="L53" s="2">
        <v>0</v>
      </c>
      <c r="M53" s="2">
        <v>99187.61</v>
      </c>
      <c r="N53" s="2">
        <f t="shared" si="0"/>
        <v>177376.00999996316</v>
      </c>
      <c r="O53" s="9" t="s">
        <v>5</v>
      </c>
    </row>
    <row r="54" spans="1:15" x14ac:dyDescent="0.2">
      <c r="A54">
        <v>26</v>
      </c>
      <c r="B54">
        <v>4</v>
      </c>
      <c r="C54" s="2">
        <v>6</v>
      </c>
      <c r="D54" s="2">
        <v>3</v>
      </c>
      <c r="E54" s="2">
        <v>2</v>
      </c>
      <c r="F54" s="2" t="s">
        <v>5</v>
      </c>
      <c r="G54" s="2">
        <v>197.600000000264</v>
      </c>
      <c r="H54" s="2" t="s">
        <v>16</v>
      </c>
      <c r="I54" s="2">
        <v>101684.00000003399</v>
      </c>
      <c r="J54" s="2">
        <v>1000</v>
      </c>
      <c r="K54" s="2">
        <v>20</v>
      </c>
      <c r="L54" s="2">
        <v>0</v>
      </c>
      <c r="M54" s="2">
        <v>98027.61</v>
      </c>
      <c r="N54" s="2">
        <f t="shared" si="0"/>
        <v>199909.21000003425</v>
      </c>
      <c r="O54" s="9" t="s">
        <v>5</v>
      </c>
    </row>
    <row r="55" spans="1:15" x14ac:dyDescent="0.2">
      <c r="A55">
        <v>27</v>
      </c>
      <c r="B55">
        <v>4</v>
      </c>
      <c r="C55" s="2">
        <v>6</v>
      </c>
      <c r="D55" s="2">
        <v>3</v>
      </c>
      <c r="E55" s="2">
        <v>3</v>
      </c>
      <c r="F55" s="2" t="s">
        <v>5</v>
      </c>
      <c r="G55" s="2">
        <v>270.59999999963202</v>
      </c>
      <c r="H55" s="2" t="s">
        <v>16</v>
      </c>
      <c r="I55" s="2">
        <v>158931.99999999299</v>
      </c>
      <c r="J55" s="2">
        <v>1000</v>
      </c>
      <c r="K55" s="2">
        <v>20</v>
      </c>
      <c r="L55" s="2">
        <v>0</v>
      </c>
      <c r="M55" s="2">
        <v>129068.01</v>
      </c>
      <c r="N55" s="2">
        <f t="shared" si="0"/>
        <v>288270.60999999259</v>
      </c>
      <c r="O55" s="9" t="s">
        <v>4</v>
      </c>
    </row>
    <row r="56" spans="1:15" x14ac:dyDescent="0.2">
      <c r="A56">
        <v>1</v>
      </c>
      <c r="B56">
        <v>4</v>
      </c>
      <c r="C56" s="2">
        <v>3</v>
      </c>
      <c r="D56" s="2">
        <v>2</v>
      </c>
      <c r="E56" s="2">
        <v>1</v>
      </c>
      <c r="F56" s="2" t="s">
        <v>5</v>
      </c>
      <c r="G56" s="2">
        <v>372.80000000024</v>
      </c>
      <c r="H56" s="2" t="s">
        <v>20</v>
      </c>
      <c r="I56" s="2">
        <v>0</v>
      </c>
      <c r="J56" s="2">
        <v>0</v>
      </c>
      <c r="K56" s="2">
        <v>0</v>
      </c>
      <c r="L56" s="2">
        <v>3000000</v>
      </c>
      <c r="M56" s="2">
        <v>48419</v>
      </c>
      <c r="N56" s="2">
        <f>L56+G56</f>
        <v>3000372.8000000003</v>
      </c>
      <c r="O56" s="9" t="s">
        <v>5</v>
      </c>
    </row>
    <row r="57" spans="1:15" x14ac:dyDescent="0.2">
      <c r="A57">
        <v>2</v>
      </c>
      <c r="B57">
        <v>4</v>
      </c>
      <c r="C57" s="2">
        <v>3</v>
      </c>
      <c r="D57" s="2">
        <v>2</v>
      </c>
      <c r="E57" s="2">
        <v>2</v>
      </c>
      <c r="F57" s="2" t="s">
        <v>5</v>
      </c>
      <c r="G57" s="2">
        <v>392.199999999932</v>
      </c>
      <c r="H57" s="2" t="s">
        <v>20</v>
      </c>
      <c r="I57" s="2">
        <v>0</v>
      </c>
      <c r="J57" s="2">
        <v>0</v>
      </c>
      <c r="K57" s="2">
        <v>0</v>
      </c>
      <c r="L57" s="2">
        <v>3000000</v>
      </c>
      <c r="M57" s="2">
        <v>131529</v>
      </c>
      <c r="N57" s="2">
        <f t="shared" ref="N57:N82" si="1">L57+G57</f>
        <v>3000392.1999999997</v>
      </c>
      <c r="O57" s="9" t="s">
        <v>5</v>
      </c>
    </row>
    <row r="58" spans="1:15" x14ac:dyDescent="0.2">
      <c r="A58">
        <v>3</v>
      </c>
      <c r="B58">
        <v>4</v>
      </c>
      <c r="C58" s="2">
        <v>3</v>
      </c>
      <c r="D58" s="2">
        <v>2</v>
      </c>
      <c r="E58" s="2">
        <v>3</v>
      </c>
      <c r="F58" s="2" t="s">
        <v>5</v>
      </c>
      <c r="G58" s="2">
        <v>404.80000000044902</v>
      </c>
      <c r="H58" s="2" t="s">
        <v>20</v>
      </c>
      <c r="I58" s="2">
        <v>0</v>
      </c>
      <c r="J58" s="2">
        <v>0</v>
      </c>
      <c r="K58" s="2">
        <v>0</v>
      </c>
      <c r="L58" s="2">
        <v>3000000</v>
      </c>
      <c r="M58" s="2">
        <v>0</v>
      </c>
      <c r="N58" s="2">
        <f t="shared" si="1"/>
        <v>3000404.8000000003</v>
      </c>
      <c r="O58" s="9" t="s">
        <v>5</v>
      </c>
    </row>
    <row r="59" spans="1:15" x14ac:dyDescent="0.2">
      <c r="A59">
        <v>4</v>
      </c>
      <c r="B59">
        <v>4</v>
      </c>
      <c r="C59" s="2">
        <v>3</v>
      </c>
      <c r="D59" s="2">
        <v>3</v>
      </c>
      <c r="E59" s="2">
        <v>1</v>
      </c>
      <c r="F59" s="2" t="s">
        <v>5</v>
      </c>
      <c r="G59" s="2">
        <v>328.60000000027901</v>
      </c>
      <c r="H59" s="2" t="s">
        <v>20</v>
      </c>
      <c r="I59" s="2">
        <v>0</v>
      </c>
      <c r="J59" s="2">
        <v>0</v>
      </c>
      <c r="K59" s="2">
        <v>0</v>
      </c>
      <c r="L59" s="2">
        <v>3000000</v>
      </c>
      <c r="M59" s="2">
        <v>65405</v>
      </c>
      <c r="N59" s="2">
        <f t="shared" si="1"/>
        <v>3000328.6</v>
      </c>
      <c r="O59" s="9" t="s">
        <v>5</v>
      </c>
    </row>
    <row r="60" spans="1:15" x14ac:dyDescent="0.2">
      <c r="A60">
        <v>5</v>
      </c>
      <c r="B60">
        <v>4</v>
      </c>
      <c r="C60" s="2">
        <v>3</v>
      </c>
      <c r="D60" s="2">
        <v>3</v>
      </c>
      <c r="E60" s="2">
        <v>2</v>
      </c>
      <c r="F60" s="2" t="s">
        <v>5</v>
      </c>
      <c r="G60" s="2">
        <v>253.600000000276</v>
      </c>
      <c r="H60" s="2" t="s">
        <v>20</v>
      </c>
      <c r="I60" s="2">
        <v>0</v>
      </c>
      <c r="J60" s="2">
        <v>0</v>
      </c>
      <c r="K60" s="2">
        <v>0</v>
      </c>
      <c r="L60" s="2">
        <v>3000000</v>
      </c>
      <c r="M60" s="2">
        <v>82660</v>
      </c>
      <c r="N60" s="2">
        <f t="shared" si="1"/>
        <v>3000253.6</v>
      </c>
      <c r="O60" s="9" t="s">
        <v>5</v>
      </c>
    </row>
    <row r="61" spans="1:15" x14ac:dyDescent="0.2">
      <c r="A61">
        <v>6</v>
      </c>
      <c r="B61">
        <v>4</v>
      </c>
      <c r="C61" s="2">
        <v>3</v>
      </c>
      <c r="D61" s="2">
        <v>3</v>
      </c>
      <c r="E61" s="2">
        <v>3</v>
      </c>
      <c r="F61" s="2" t="s">
        <v>5</v>
      </c>
      <c r="G61" s="2">
        <v>288.20000000067103</v>
      </c>
      <c r="H61" s="2" t="s">
        <v>20</v>
      </c>
      <c r="I61" s="2">
        <v>0</v>
      </c>
      <c r="J61" s="2">
        <v>0</v>
      </c>
      <c r="K61" s="2">
        <v>0</v>
      </c>
      <c r="L61" s="2">
        <v>3000000</v>
      </c>
      <c r="M61" s="2">
        <v>84307</v>
      </c>
      <c r="N61" s="2">
        <f t="shared" si="1"/>
        <v>3000288.2000000007</v>
      </c>
      <c r="O61" s="9" t="s">
        <v>5</v>
      </c>
    </row>
    <row r="62" spans="1:15" x14ac:dyDescent="0.2">
      <c r="A62">
        <v>7</v>
      </c>
      <c r="B62">
        <v>4</v>
      </c>
      <c r="C62" s="2">
        <v>4</v>
      </c>
      <c r="D62" s="2">
        <v>2</v>
      </c>
      <c r="E62" s="2">
        <v>1</v>
      </c>
      <c r="F62" s="2" t="s">
        <v>5</v>
      </c>
      <c r="G62" s="2">
        <v>262.99999999999102</v>
      </c>
      <c r="H62" s="2" t="s">
        <v>20</v>
      </c>
      <c r="I62" s="2">
        <v>0</v>
      </c>
      <c r="J62" s="2">
        <v>0</v>
      </c>
      <c r="K62" s="2">
        <v>0</v>
      </c>
      <c r="L62" s="2">
        <v>3000000</v>
      </c>
      <c r="M62" s="2">
        <v>97598</v>
      </c>
      <c r="N62" s="2">
        <f t="shared" si="1"/>
        <v>3000263</v>
      </c>
      <c r="O62" s="9" t="s">
        <v>5</v>
      </c>
    </row>
    <row r="63" spans="1:15" x14ac:dyDescent="0.2">
      <c r="A63">
        <v>8</v>
      </c>
      <c r="B63">
        <v>4</v>
      </c>
      <c r="C63" s="2">
        <v>4</v>
      </c>
      <c r="D63" s="2">
        <v>2</v>
      </c>
      <c r="E63" s="2">
        <v>2</v>
      </c>
      <c r="F63" s="2" t="s">
        <v>5</v>
      </c>
      <c r="G63" s="2">
        <v>285.999999999831</v>
      </c>
      <c r="H63" s="2" t="s">
        <v>20</v>
      </c>
      <c r="I63" s="2">
        <v>0</v>
      </c>
      <c r="J63" s="2">
        <v>0</v>
      </c>
      <c r="K63" s="2">
        <v>0</v>
      </c>
      <c r="L63" s="2">
        <v>3000000</v>
      </c>
      <c r="M63" s="2">
        <v>100282</v>
      </c>
      <c r="N63" s="2">
        <f t="shared" si="1"/>
        <v>3000286</v>
      </c>
      <c r="O63" s="9" t="s">
        <v>5</v>
      </c>
    </row>
    <row r="64" spans="1:15" x14ac:dyDescent="0.2">
      <c r="A64">
        <v>9</v>
      </c>
      <c r="B64">
        <v>4</v>
      </c>
      <c r="C64" s="2">
        <v>4</v>
      </c>
      <c r="D64" s="2">
        <v>2</v>
      </c>
      <c r="E64" s="2">
        <v>3</v>
      </c>
      <c r="F64" s="2" t="s">
        <v>5</v>
      </c>
      <c r="G64" s="2">
        <v>248.399999999904</v>
      </c>
      <c r="H64" s="2" t="s">
        <v>20</v>
      </c>
      <c r="I64" s="2">
        <v>0</v>
      </c>
      <c r="J64" s="2">
        <v>0</v>
      </c>
      <c r="K64" s="2">
        <v>0</v>
      </c>
      <c r="L64" s="2">
        <v>3000000</v>
      </c>
      <c r="M64" s="2">
        <v>85068</v>
      </c>
      <c r="N64" s="2">
        <f t="shared" si="1"/>
        <v>3000248.4</v>
      </c>
      <c r="O64" s="9" t="s">
        <v>5</v>
      </c>
    </row>
    <row r="65" spans="1:15" x14ac:dyDescent="0.2">
      <c r="A65">
        <v>10</v>
      </c>
      <c r="B65">
        <v>4</v>
      </c>
      <c r="C65" s="2">
        <v>4</v>
      </c>
      <c r="D65" s="2">
        <v>3</v>
      </c>
      <c r="E65" s="2">
        <v>1</v>
      </c>
      <c r="F65" s="2" t="s">
        <v>5</v>
      </c>
      <c r="G65" s="2">
        <v>246.20000000012999</v>
      </c>
      <c r="H65" s="2" t="s">
        <v>20</v>
      </c>
      <c r="I65" s="2">
        <v>0</v>
      </c>
      <c r="J65" s="2">
        <v>0</v>
      </c>
      <c r="K65" s="2">
        <v>0</v>
      </c>
      <c r="L65" s="2">
        <v>3000000</v>
      </c>
      <c r="M65" s="2">
        <v>116831</v>
      </c>
      <c r="N65" s="2">
        <f t="shared" si="1"/>
        <v>3000246.2</v>
      </c>
      <c r="O65" s="9" t="s">
        <v>5</v>
      </c>
    </row>
    <row r="66" spans="1:15" x14ac:dyDescent="0.2">
      <c r="A66">
        <v>11</v>
      </c>
      <c r="B66">
        <v>4</v>
      </c>
      <c r="C66" s="2">
        <v>4</v>
      </c>
      <c r="D66" s="2">
        <v>3</v>
      </c>
      <c r="E66" s="2">
        <v>2</v>
      </c>
      <c r="F66" s="2" t="s">
        <v>5</v>
      </c>
      <c r="G66" s="2">
        <v>291.60000000025798</v>
      </c>
      <c r="H66" s="2" t="s">
        <v>20</v>
      </c>
      <c r="I66" s="2">
        <v>0</v>
      </c>
      <c r="J66" s="2">
        <v>0</v>
      </c>
      <c r="K66" s="2">
        <v>0</v>
      </c>
      <c r="L66" s="2">
        <v>3000000</v>
      </c>
      <c r="M66" s="2">
        <v>119547</v>
      </c>
      <c r="N66" s="2">
        <f t="shared" si="1"/>
        <v>3000291.6</v>
      </c>
      <c r="O66" s="9" t="s">
        <v>5</v>
      </c>
    </row>
    <row r="67" spans="1:15" x14ac:dyDescent="0.2">
      <c r="A67">
        <v>12</v>
      </c>
      <c r="B67">
        <v>4</v>
      </c>
      <c r="C67" s="2">
        <v>4</v>
      </c>
      <c r="D67" s="2">
        <v>3</v>
      </c>
      <c r="E67" s="2">
        <v>3</v>
      </c>
      <c r="F67" s="2" t="s">
        <v>5</v>
      </c>
      <c r="G67" s="2">
        <v>221.79999999991699</v>
      </c>
      <c r="H67" s="2" t="s">
        <v>20</v>
      </c>
      <c r="I67" s="2">
        <v>0</v>
      </c>
      <c r="J67" s="2">
        <v>0</v>
      </c>
      <c r="K67" s="2">
        <v>0</v>
      </c>
      <c r="L67" s="2">
        <v>3000000</v>
      </c>
      <c r="M67" s="2">
        <v>104895</v>
      </c>
      <c r="N67" s="2">
        <f t="shared" si="1"/>
        <v>3000221.8</v>
      </c>
      <c r="O67" s="9" t="s">
        <v>5</v>
      </c>
    </row>
    <row r="68" spans="1:15" x14ac:dyDescent="0.2">
      <c r="A68">
        <v>13</v>
      </c>
      <c r="B68">
        <v>4</v>
      </c>
      <c r="C68" s="2">
        <v>4</v>
      </c>
      <c r="D68" s="2">
        <v>2</v>
      </c>
      <c r="E68" s="2">
        <v>1</v>
      </c>
      <c r="F68" s="2" t="s">
        <v>5</v>
      </c>
      <c r="G68" s="2">
        <v>149.60000000030499</v>
      </c>
      <c r="H68" s="2" t="s">
        <v>20</v>
      </c>
      <c r="I68" s="2">
        <v>0</v>
      </c>
      <c r="J68" s="2">
        <v>0</v>
      </c>
      <c r="K68" s="2">
        <v>0</v>
      </c>
      <c r="L68" s="2">
        <v>3000000</v>
      </c>
      <c r="M68" s="2">
        <v>81253</v>
      </c>
      <c r="N68" s="2">
        <f t="shared" si="1"/>
        <v>3000149.6</v>
      </c>
      <c r="O68" s="9" t="s">
        <v>5</v>
      </c>
    </row>
    <row r="69" spans="1:15" x14ac:dyDescent="0.2">
      <c r="A69">
        <v>14</v>
      </c>
      <c r="B69">
        <v>4</v>
      </c>
      <c r="C69" s="2">
        <v>4</v>
      </c>
      <c r="D69" s="2">
        <v>2</v>
      </c>
      <c r="E69" s="2">
        <v>2</v>
      </c>
      <c r="F69" s="2" t="s">
        <v>5</v>
      </c>
      <c r="G69" s="2">
        <v>167.19999999992299</v>
      </c>
      <c r="H69" s="2" t="s">
        <v>20</v>
      </c>
      <c r="I69" s="2">
        <v>0</v>
      </c>
      <c r="J69" s="2">
        <v>0</v>
      </c>
      <c r="K69" s="2">
        <v>0</v>
      </c>
      <c r="L69" s="2">
        <v>3000000</v>
      </c>
      <c r="M69" s="2">
        <v>82902</v>
      </c>
      <c r="N69" s="2">
        <f t="shared" si="1"/>
        <v>3000167.1999999997</v>
      </c>
      <c r="O69" s="9" t="s">
        <v>5</v>
      </c>
    </row>
    <row r="70" spans="1:15" x14ac:dyDescent="0.2">
      <c r="A70">
        <v>15</v>
      </c>
      <c r="B70">
        <v>4</v>
      </c>
      <c r="C70" s="2">
        <v>4</v>
      </c>
      <c r="D70" s="2">
        <v>2</v>
      </c>
      <c r="E70" s="2">
        <v>3</v>
      </c>
      <c r="F70" s="2" t="s">
        <v>5</v>
      </c>
      <c r="G70" s="2">
        <v>168.999999999642</v>
      </c>
      <c r="H70" s="2" t="s">
        <v>20</v>
      </c>
      <c r="I70" s="2">
        <v>0</v>
      </c>
      <c r="J70" s="2">
        <v>0</v>
      </c>
      <c r="K70" s="2">
        <v>0</v>
      </c>
      <c r="L70" s="2">
        <v>3000000</v>
      </c>
      <c r="M70" s="2">
        <v>116583</v>
      </c>
      <c r="N70" s="2">
        <f t="shared" si="1"/>
        <v>3000168.9999999995</v>
      </c>
      <c r="O70" s="9" t="s">
        <v>5</v>
      </c>
    </row>
    <row r="71" spans="1:15" x14ac:dyDescent="0.2">
      <c r="A71">
        <v>16</v>
      </c>
      <c r="B71">
        <v>4</v>
      </c>
      <c r="C71" s="2">
        <v>4</v>
      </c>
      <c r="D71" s="2">
        <v>3</v>
      </c>
      <c r="E71" s="2">
        <v>1</v>
      </c>
      <c r="F71" s="2" t="s">
        <v>5</v>
      </c>
      <c r="G71" s="2">
        <v>240.00000000050699</v>
      </c>
      <c r="H71" s="2" t="s">
        <v>20</v>
      </c>
      <c r="I71" s="2">
        <v>0</v>
      </c>
      <c r="J71" s="2">
        <v>0</v>
      </c>
      <c r="K71" s="2">
        <v>0</v>
      </c>
      <c r="L71" s="2">
        <v>3000000</v>
      </c>
      <c r="M71" s="2">
        <v>100943</v>
      </c>
      <c r="N71" s="2">
        <f t="shared" si="1"/>
        <v>3000240.0000000005</v>
      </c>
      <c r="O71" s="9" t="s">
        <v>5</v>
      </c>
    </row>
    <row r="72" spans="1:15" x14ac:dyDescent="0.2">
      <c r="A72">
        <v>17</v>
      </c>
      <c r="B72">
        <v>4</v>
      </c>
      <c r="C72" s="2">
        <v>4</v>
      </c>
      <c r="D72" s="2">
        <v>3</v>
      </c>
      <c r="E72" s="2">
        <v>2</v>
      </c>
      <c r="F72" s="2" t="s">
        <v>5</v>
      </c>
      <c r="G72" s="2">
        <v>214.20000000063001</v>
      </c>
      <c r="H72" s="2" t="s">
        <v>20</v>
      </c>
      <c r="I72" s="2">
        <v>0</v>
      </c>
      <c r="J72" s="2">
        <v>0</v>
      </c>
      <c r="K72" s="2">
        <v>0</v>
      </c>
      <c r="L72" s="2">
        <v>3000000</v>
      </c>
      <c r="M72" s="2">
        <v>50602</v>
      </c>
      <c r="N72" s="2">
        <f t="shared" si="1"/>
        <v>3000214.2000000007</v>
      </c>
      <c r="O72" s="9" t="s">
        <v>5</v>
      </c>
    </row>
    <row r="73" spans="1:15" x14ac:dyDescent="0.2">
      <c r="A73">
        <v>18</v>
      </c>
      <c r="B73">
        <v>4</v>
      </c>
      <c r="C73" s="2">
        <v>4</v>
      </c>
      <c r="D73" s="2">
        <v>3</v>
      </c>
      <c r="E73" s="2">
        <v>3</v>
      </c>
      <c r="F73" s="2" t="s">
        <v>5</v>
      </c>
      <c r="G73" s="2">
        <v>297.99999999973198</v>
      </c>
      <c r="H73" s="2" t="s">
        <v>20</v>
      </c>
      <c r="I73" s="2">
        <v>0</v>
      </c>
      <c r="J73" s="2">
        <v>0</v>
      </c>
      <c r="K73" s="2">
        <v>0</v>
      </c>
      <c r="L73" s="2">
        <v>3000000</v>
      </c>
      <c r="M73" s="2">
        <v>88714</v>
      </c>
      <c r="N73" s="2">
        <f t="shared" si="1"/>
        <v>3000297.9999999995</v>
      </c>
      <c r="O73" s="9" t="s">
        <v>5</v>
      </c>
    </row>
    <row r="74" spans="1:15" x14ac:dyDescent="0.2">
      <c r="A74">
        <v>19</v>
      </c>
      <c r="B74">
        <v>4</v>
      </c>
      <c r="C74" s="2">
        <v>5</v>
      </c>
      <c r="D74" s="2">
        <v>2</v>
      </c>
      <c r="E74" s="2">
        <v>1</v>
      </c>
      <c r="F74" s="2" t="s">
        <v>5</v>
      </c>
      <c r="G74" s="2">
        <v>138.60000000001099</v>
      </c>
      <c r="H74" s="2" t="s">
        <v>20</v>
      </c>
      <c r="I74" s="2">
        <v>0</v>
      </c>
      <c r="J74" s="2">
        <v>0</v>
      </c>
      <c r="K74" s="2">
        <v>0</v>
      </c>
      <c r="L74" s="2">
        <v>3000000</v>
      </c>
      <c r="M74" s="2">
        <v>149142</v>
      </c>
      <c r="N74" s="2">
        <f t="shared" si="1"/>
        <v>3000138.6</v>
      </c>
      <c r="O74" s="9" t="s">
        <v>5</v>
      </c>
    </row>
    <row r="75" spans="1:15" x14ac:dyDescent="0.2">
      <c r="A75">
        <v>20</v>
      </c>
      <c r="B75">
        <v>4</v>
      </c>
      <c r="C75" s="2">
        <v>5</v>
      </c>
      <c r="D75" s="2">
        <v>2</v>
      </c>
      <c r="E75" s="2">
        <v>2</v>
      </c>
      <c r="F75" s="2" t="s">
        <v>5</v>
      </c>
      <c r="G75" s="2">
        <v>176.599999999993</v>
      </c>
      <c r="H75" s="2" t="s">
        <v>20</v>
      </c>
      <c r="I75" s="2">
        <v>0</v>
      </c>
      <c r="J75" s="2">
        <v>0</v>
      </c>
      <c r="K75" s="2">
        <v>0</v>
      </c>
      <c r="L75" s="2">
        <v>3000000</v>
      </c>
      <c r="M75" s="2">
        <v>102892</v>
      </c>
      <c r="N75" s="2">
        <f t="shared" si="1"/>
        <v>3000176.6</v>
      </c>
      <c r="O75" s="9" t="s">
        <v>5</v>
      </c>
    </row>
    <row r="76" spans="1:15" x14ac:dyDescent="0.2">
      <c r="A76">
        <v>21</v>
      </c>
      <c r="B76">
        <v>4</v>
      </c>
      <c r="C76" s="2">
        <v>5</v>
      </c>
      <c r="D76" s="2">
        <v>2</v>
      </c>
      <c r="E76" s="2">
        <v>3</v>
      </c>
      <c r="F76" s="2" t="s">
        <v>5</v>
      </c>
      <c r="G76" s="2">
        <v>167.000000000428</v>
      </c>
      <c r="H76" s="2" t="s">
        <v>20</v>
      </c>
      <c r="I76" s="2">
        <v>0</v>
      </c>
      <c r="J76" s="2">
        <v>0</v>
      </c>
      <c r="K76" s="2">
        <v>0</v>
      </c>
      <c r="L76" s="2">
        <v>3000000</v>
      </c>
      <c r="M76" s="2">
        <v>101359</v>
      </c>
      <c r="N76" s="2">
        <f t="shared" si="1"/>
        <v>3000167.0000000005</v>
      </c>
      <c r="O76" s="9" t="s">
        <v>5</v>
      </c>
    </row>
    <row r="77" spans="1:15" x14ac:dyDescent="0.2">
      <c r="A77">
        <v>22</v>
      </c>
      <c r="B77">
        <v>4</v>
      </c>
      <c r="C77" s="2">
        <v>5</v>
      </c>
      <c r="D77" s="2">
        <v>3</v>
      </c>
      <c r="E77" s="2">
        <v>1</v>
      </c>
      <c r="F77" s="2" t="s">
        <v>5</v>
      </c>
      <c r="G77" s="2">
        <v>168.59999999994099</v>
      </c>
      <c r="H77" s="2" t="s">
        <v>20</v>
      </c>
      <c r="I77" s="2">
        <v>0</v>
      </c>
      <c r="J77" s="2">
        <v>0</v>
      </c>
      <c r="K77" s="2">
        <v>0</v>
      </c>
      <c r="L77" s="2">
        <v>3000000</v>
      </c>
      <c r="M77" s="2">
        <v>85173</v>
      </c>
      <c r="N77" s="2">
        <f t="shared" si="1"/>
        <v>3000168.6</v>
      </c>
      <c r="O77" s="9" t="s">
        <v>5</v>
      </c>
    </row>
    <row r="78" spans="1:15" x14ac:dyDescent="0.2">
      <c r="A78">
        <v>23</v>
      </c>
      <c r="B78">
        <v>4</v>
      </c>
      <c r="C78" s="2">
        <v>5</v>
      </c>
      <c r="D78" s="2">
        <v>3</v>
      </c>
      <c r="E78" s="2">
        <v>2</v>
      </c>
      <c r="F78" s="2" t="s">
        <v>5</v>
      </c>
      <c r="G78" s="2">
        <v>169.399999999698</v>
      </c>
      <c r="H78" s="2" t="s">
        <v>20</v>
      </c>
      <c r="I78" s="2">
        <v>0</v>
      </c>
      <c r="J78" s="2">
        <v>0</v>
      </c>
      <c r="K78" s="2">
        <v>0</v>
      </c>
      <c r="L78" s="2">
        <v>3000000</v>
      </c>
      <c r="M78" s="2">
        <v>87243</v>
      </c>
      <c r="N78" s="2">
        <f t="shared" si="1"/>
        <v>3000169.4</v>
      </c>
      <c r="O78" s="9" t="s">
        <v>5</v>
      </c>
    </row>
    <row r="79" spans="1:15" x14ac:dyDescent="0.2">
      <c r="A79">
        <v>24</v>
      </c>
      <c r="B79">
        <v>4</v>
      </c>
      <c r="C79" s="2">
        <v>5</v>
      </c>
      <c r="D79" s="2">
        <v>3</v>
      </c>
      <c r="E79" s="2">
        <v>3</v>
      </c>
      <c r="F79" s="2" t="s">
        <v>5</v>
      </c>
      <c r="G79" s="2">
        <v>231.99999999974401</v>
      </c>
      <c r="H79" s="2" t="s">
        <v>20</v>
      </c>
      <c r="I79" s="2">
        <v>0</v>
      </c>
      <c r="J79" s="2">
        <v>0</v>
      </c>
      <c r="K79" s="2">
        <v>0</v>
      </c>
      <c r="L79" s="2">
        <v>3000000</v>
      </c>
      <c r="M79" s="2">
        <v>91260</v>
      </c>
      <c r="N79" s="2">
        <f t="shared" si="1"/>
        <v>3000231.9999999995</v>
      </c>
      <c r="O79" s="9" t="s">
        <v>5</v>
      </c>
    </row>
    <row r="80" spans="1:15" x14ac:dyDescent="0.2">
      <c r="A80">
        <v>25</v>
      </c>
      <c r="B80">
        <v>4</v>
      </c>
      <c r="C80" s="2">
        <v>6</v>
      </c>
      <c r="D80" s="2">
        <v>3</v>
      </c>
      <c r="E80" s="2">
        <v>1</v>
      </c>
      <c r="F80" s="2" t="s">
        <v>5</v>
      </c>
      <c r="G80" s="2">
        <v>206.40000000007299</v>
      </c>
      <c r="H80" s="2" t="s">
        <v>20</v>
      </c>
      <c r="I80" s="2">
        <v>0</v>
      </c>
      <c r="J80" s="2">
        <v>0</v>
      </c>
      <c r="K80" s="2">
        <v>0</v>
      </c>
      <c r="L80" s="2">
        <v>3000000</v>
      </c>
      <c r="M80" s="2">
        <v>88569</v>
      </c>
      <c r="N80" s="2">
        <f t="shared" si="1"/>
        <v>3000206.4</v>
      </c>
      <c r="O80" s="9" t="s">
        <v>5</v>
      </c>
    </row>
    <row r="81" spans="1:15" x14ac:dyDescent="0.2">
      <c r="A81">
        <v>26</v>
      </c>
      <c r="B81">
        <v>4</v>
      </c>
      <c r="C81" s="2">
        <v>6</v>
      </c>
      <c r="D81" s="2">
        <v>3</v>
      </c>
      <c r="E81" s="2">
        <v>2</v>
      </c>
      <c r="F81" s="2" t="s">
        <v>5</v>
      </c>
      <c r="G81" s="2">
        <v>197.600000000264</v>
      </c>
      <c r="H81" s="2" t="s">
        <v>20</v>
      </c>
      <c r="I81" s="2">
        <v>0</v>
      </c>
      <c r="J81" s="2">
        <v>0</v>
      </c>
      <c r="K81" s="2">
        <v>0</v>
      </c>
      <c r="L81" s="2">
        <v>3000000</v>
      </c>
      <c r="M81" s="2">
        <v>105524</v>
      </c>
      <c r="N81" s="2">
        <f t="shared" si="1"/>
        <v>3000197.6</v>
      </c>
      <c r="O81" s="9" t="s">
        <v>5</v>
      </c>
    </row>
    <row r="82" spans="1:15" x14ac:dyDescent="0.2">
      <c r="A82">
        <v>27</v>
      </c>
      <c r="B82">
        <v>4</v>
      </c>
      <c r="C82" s="2">
        <v>6</v>
      </c>
      <c r="D82" s="2">
        <v>3</v>
      </c>
      <c r="E82" s="2">
        <v>3</v>
      </c>
      <c r="F82" s="2" t="s">
        <v>5</v>
      </c>
      <c r="G82" s="2">
        <v>270.59999999963202</v>
      </c>
      <c r="H82" s="2" t="s">
        <v>20</v>
      </c>
      <c r="I82" s="2">
        <v>0</v>
      </c>
      <c r="J82" s="2">
        <v>0</v>
      </c>
      <c r="K82" s="2">
        <v>0</v>
      </c>
      <c r="L82" s="2">
        <v>3000000</v>
      </c>
      <c r="M82" s="2">
        <v>112389</v>
      </c>
      <c r="N82" s="2">
        <f t="shared" si="1"/>
        <v>3000270.5999999996</v>
      </c>
      <c r="O82" s="9" t="s">
        <v>5</v>
      </c>
    </row>
    <row r="83" spans="1:15" x14ac:dyDescent="0.2">
      <c r="A83">
        <v>1</v>
      </c>
      <c r="B83">
        <v>4</v>
      </c>
      <c r="C83" s="2">
        <v>3</v>
      </c>
      <c r="D83" s="2">
        <v>2</v>
      </c>
      <c r="E83" s="2">
        <v>1</v>
      </c>
      <c r="F83" s="2" t="s">
        <v>4</v>
      </c>
      <c r="G83" s="2">
        <v>686.60000000022603</v>
      </c>
      <c r="H83" s="2" t="s">
        <v>8</v>
      </c>
      <c r="I83" s="2">
        <v>133155</v>
      </c>
      <c r="J83" s="2">
        <v>2000</v>
      </c>
      <c r="K83" s="2">
        <v>20</v>
      </c>
      <c r="L83" s="2">
        <v>0</v>
      </c>
      <c r="M83" s="2">
        <v>288805.57</v>
      </c>
      <c r="N83" s="2">
        <f t="shared" ref="N83:N146" si="2">G83+M83+I83</f>
        <v>422647.17000000022</v>
      </c>
      <c r="O83" s="9" t="s">
        <v>5</v>
      </c>
    </row>
    <row r="84" spans="1:15" x14ac:dyDescent="0.2">
      <c r="A84">
        <v>2</v>
      </c>
      <c r="B84">
        <v>4</v>
      </c>
      <c r="C84" s="2">
        <v>3</v>
      </c>
      <c r="D84" s="2">
        <v>2</v>
      </c>
      <c r="E84" s="2">
        <v>2</v>
      </c>
      <c r="F84" s="2" t="s">
        <v>4</v>
      </c>
      <c r="G84" s="2">
        <v>595.39999999991301</v>
      </c>
      <c r="H84" s="2" t="s">
        <v>8</v>
      </c>
      <c r="I84" s="2">
        <v>199936.00000000099</v>
      </c>
      <c r="J84" s="2">
        <v>2000</v>
      </c>
      <c r="K84" s="2">
        <v>20</v>
      </c>
      <c r="L84" s="2">
        <v>0</v>
      </c>
      <c r="M84" s="2">
        <v>205245.97</v>
      </c>
      <c r="N84" s="2">
        <f t="shared" si="2"/>
        <v>405777.37000000093</v>
      </c>
      <c r="O84" s="9" t="s">
        <v>4</v>
      </c>
    </row>
    <row r="85" spans="1:15" x14ac:dyDescent="0.2">
      <c r="A85">
        <v>3</v>
      </c>
      <c r="B85">
        <v>4</v>
      </c>
      <c r="C85" s="2">
        <v>3</v>
      </c>
      <c r="D85" s="2">
        <v>2</v>
      </c>
      <c r="E85" s="2">
        <v>3</v>
      </c>
      <c r="F85" s="2" t="s">
        <v>4</v>
      </c>
      <c r="G85" s="2">
        <v>510.39999999993302</v>
      </c>
      <c r="H85" s="2" t="s">
        <v>8</v>
      </c>
      <c r="I85" s="2">
        <v>165412</v>
      </c>
      <c r="J85" s="2">
        <v>2000</v>
      </c>
      <c r="K85" s="2">
        <v>20</v>
      </c>
      <c r="L85" s="2">
        <v>0</v>
      </c>
      <c r="M85" s="2">
        <v>268965.96999999997</v>
      </c>
      <c r="N85" s="2">
        <f t="shared" si="2"/>
        <v>434888.36999999988</v>
      </c>
      <c r="O85" s="9" t="s">
        <v>4</v>
      </c>
    </row>
    <row r="86" spans="1:15" x14ac:dyDescent="0.2">
      <c r="A86">
        <v>4</v>
      </c>
      <c r="B86">
        <v>4</v>
      </c>
      <c r="C86" s="2">
        <v>3</v>
      </c>
      <c r="D86" s="2">
        <v>3</v>
      </c>
      <c r="E86" s="2">
        <v>1</v>
      </c>
      <c r="F86" s="2" t="s">
        <v>4</v>
      </c>
      <c r="G86" s="2">
        <v>455.79999999958397</v>
      </c>
      <c r="H86" s="2" t="s">
        <v>8</v>
      </c>
      <c r="I86" s="2">
        <v>162882</v>
      </c>
      <c r="J86" s="2">
        <v>2000</v>
      </c>
      <c r="K86" s="2">
        <v>20</v>
      </c>
      <c r="L86" s="2">
        <v>0</v>
      </c>
      <c r="M86" s="2">
        <v>290765.96999999997</v>
      </c>
      <c r="N86" s="2">
        <f t="shared" si="2"/>
        <v>454103.76999999955</v>
      </c>
      <c r="O86" s="9" t="s">
        <v>4</v>
      </c>
    </row>
    <row r="87" spans="1:15" x14ac:dyDescent="0.2">
      <c r="A87">
        <v>5</v>
      </c>
      <c r="B87">
        <v>4</v>
      </c>
      <c r="C87" s="2">
        <v>3</v>
      </c>
      <c r="D87" s="2">
        <v>3</v>
      </c>
      <c r="E87" s="2">
        <v>2</v>
      </c>
      <c r="F87" s="2" t="s">
        <v>4</v>
      </c>
      <c r="G87" s="2">
        <v>514.60000000034302</v>
      </c>
      <c r="H87" s="2" t="s">
        <v>8</v>
      </c>
      <c r="I87" s="2">
        <v>141655.99999999901</v>
      </c>
      <c r="J87" s="2">
        <v>2000</v>
      </c>
      <c r="K87" s="2">
        <v>20</v>
      </c>
      <c r="L87" s="2">
        <v>0</v>
      </c>
      <c r="M87" s="2">
        <v>190805.97</v>
      </c>
      <c r="N87" s="2">
        <f t="shared" si="2"/>
        <v>332976.56999999937</v>
      </c>
      <c r="O87" s="9" t="s">
        <v>4</v>
      </c>
    </row>
    <row r="88" spans="1:15" x14ac:dyDescent="0.2">
      <c r="A88">
        <v>6</v>
      </c>
      <c r="B88">
        <v>4</v>
      </c>
      <c r="C88" s="2">
        <v>3</v>
      </c>
      <c r="D88" s="2">
        <v>3</v>
      </c>
      <c r="E88" s="2">
        <v>3</v>
      </c>
      <c r="F88" s="2" t="s">
        <v>4</v>
      </c>
      <c r="G88" s="2">
        <v>535.59999999990305</v>
      </c>
      <c r="H88" s="2" t="s">
        <v>8</v>
      </c>
      <c r="I88" s="2">
        <v>373666</v>
      </c>
      <c r="J88" s="2">
        <v>2000</v>
      </c>
      <c r="K88" s="2">
        <v>20</v>
      </c>
      <c r="L88" s="2">
        <v>0</v>
      </c>
      <c r="M88" s="2">
        <v>295044.77</v>
      </c>
      <c r="N88" s="2">
        <f t="shared" si="2"/>
        <v>669246.36999999988</v>
      </c>
      <c r="O88" s="9" t="s">
        <v>4</v>
      </c>
    </row>
    <row r="89" spans="1:15" x14ac:dyDescent="0.2">
      <c r="A89">
        <v>7</v>
      </c>
      <c r="B89">
        <v>4</v>
      </c>
      <c r="C89" s="2">
        <v>4</v>
      </c>
      <c r="D89" s="2">
        <v>2</v>
      </c>
      <c r="E89" s="2">
        <v>1</v>
      </c>
      <c r="F89" s="2" t="s">
        <v>4</v>
      </c>
      <c r="G89" s="2">
        <v>354.799999999855</v>
      </c>
      <c r="H89" s="2" t="s">
        <v>8</v>
      </c>
      <c r="I89" s="2">
        <v>163982.00000000099</v>
      </c>
      <c r="J89" s="2">
        <v>2000</v>
      </c>
      <c r="K89" s="2">
        <v>20</v>
      </c>
      <c r="L89" s="2">
        <v>0</v>
      </c>
      <c r="M89" s="2">
        <v>201045.57</v>
      </c>
      <c r="N89" s="2">
        <f t="shared" si="2"/>
        <v>365382.37000000081</v>
      </c>
      <c r="O89" s="9" t="s">
        <v>5</v>
      </c>
    </row>
    <row r="90" spans="1:15" x14ac:dyDescent="0.2">
      <c r="A90">
        <v>8</v>
      </c>
      <c r="B90">
        <v>4</v>
      </c>
      <c r="C90" s="2">
        <v>4</v>
      </c>
      <c r="D90" s="2">
        <v>2</v>
      </c>
      <c r="E90" s="2">
        <v>2</v>
      </c>
      <c r="F90" s="2" t="s">
        <v>4</v>
      </c>
      <c r="G90" s="2">
        <v>408.79999999958699</v>
      </c>
      <c r="H90" s="2" t="s">
        <v>8</v>
      </c>
      <c r="I90" s="2">
        <v>405767.00000000099</v>
      </c>
      <c r="J90" s="2">
        <v>2000</v>
      </c>
      <c r="K90" s="2">
        <v>20</v>
      </c>
      <c r="L90" s="2">
        <v>0</v>
      </c>
      <c r="M90" s="2">
        <v>211365.97</v>
      </c>
      <c r="N90" s="2">
        <f t="shared" si="2"/>
        <v>617541.7700000006</v>
      </c>
      <c r="O90" s="9" t="s">
        <v>4</v>
      </c>
    </row>
    <row r="91" spans="1:15" x14ac:dyDescent="0.2">
      <c r="A91">
        <v>9</v>
      </c>
      <c r="B91">
        <v>4</v>
      </c>
      <c r="C91" s="2">
        <v>4</v>
      </c>
      <c r="D91" s="2">
        <v>2</v>
      </c>
      <c r="E91" s="2">
        <v>3</v>
      </c>
      <c r="F91" s="2" t="s">
        <v>4</v>
      </c>
      <c r="G91" s="2">
        <v>315.400000000565</v>
      </c>
      <c r="H91" s="2" t="s">
        <v>8</v>
      </c>
      <c r="I91" s="2">
        <v>252100</v>
      </c>
      <c r="J91" s="2">
        <v>2000</v>
      </c>
      <c r="K91" s="2">
        <v>20</v>
      </c>
      <c r="L91" s="2">
        <v>0</v>
      </c>
      <c r="M91" s="2">
        <v>235403.97</v>
      </c>
      <c r="N91" s="2">
        <f t="shared" si="2"/>
        <v>487819.37000000058</v>
      </c>
      <c r="O91" s="9" t="s">
        <v>4</v>
      </c>
    </row>
    <row r="92" spans="1:15" x14ac:dyDescent="0.2">
      <c r="A92">
        <v>10</v>
      </c>
      <c r="B92">
        <v>4</v>
      </c>
      <c r="C92" s="2">
        <v>4</v>
      </c>
      <c r="D92" s="2">
        <v>3</v>
      </c>
      <c r="E92" s="2">
        <v>1</v>
      </c>
      <c r="F92" s="2" t="s">
        <v>4</v>
      </c>
      <c r="G92" s="2">
        <v>303.20000000010299</v>
      </c>
      <c r="H92" s="2" t="s">
        <v>8</v>
      </c>
      <c r="I92" s="2">
        <v>297907</v>
      </c>
      <c r="J92" s="2">
        <v>2000</v>
      </c>
      <c r="K92" s="2">
        <v>20</v>
      </c>
      <c r="L92" s="2">
        <v>0</v>
      </c>
      <c r="M92" s="2">
        <v>227526.37</v>
      </c>
      <c r="N92" s="2">
        <f t="shared" si="2"/>
        <v>525736.57000000007</v>
      </c>
      <c r="O92" s="9" t="s">
        <v>4</v>
      </c>
    </row>
    <row r="93" spans="1:15" x14ac:dyDescent="0.2">
      <c r="A93">
        <v>11</v>
      </c>
      <c r="B93">
        <v>4</v>
      </c>
      <c r="C93" s="2">
        <v>4</v>
      </c>
      <c r="D93" s="2">
        <v>3</v>
      </c>
      <c r="E93" s="2">
        <v>2</v>
      </c>
      <c r="F93" s="2" t="s">
        <v>4</v>
      </c>
      <c r="G93" s="2">
        <v>291.60000000025798</v>
      </c>
      <c r="H93" s="2" t="s">
        <v>8</v>
      </c>
      <c r="I93" s="2">
        <v>486182</v>
      </c>
      <c r="J93" s="2">
        <v>2000</v>
      </c>
      <c r="K93" s="2">
        <v>20</v>
      </c>
      <c r="L93" s="2">
        <v>0</v>
      </c>
      <c r="M93" s="2">
        <v>204844.77</v>
      </c>
      <c r="N93" s="2">
        <f t="shared" si="2"/>
        <v>691318.37000000023</v>
      </c>
      <c r="O93" s="9" t="s">
        <v>4</v>
      </c>
    </row>
    <row r="94" spans="1:15" x14ac:dyDescent="0.2">
      <c r="A94">
        <v>12</v>
      </c>
      <c r="B94">
        <v>4</v>
      </c>
      <c r="C94" s="2">
        <v>4</v>
      </c>
      <c r="D94" s="2">
        <v>3</v>
      </c>
      <c r="E94" s="2">
        <v>3</v>
      </c>
      <c r="F94" s="2" t="s">
        <v>4</v>
      </c>
      <c r="G94" s="2">
        <v>339.79999999971301</v>
      </c>
      <c r="H94" s="2" t="s">
        <v>8</v>
      </c>
      <c r="I94" s="2">
        <v>514257.00000000099</v>
      </c>
      <c r="J94" s="2">
        <v>2000</v>
      </c>
      <c r="K94" s="2">
        <v>20</v>
      </c>
      <c r="L94" s="2">
        <v>0</v>
      </c>
      <c r="M94" s="2">
        <v>237645.57</v>
      </c>
      <c r="N94" s="2">
        <f t="shared" si="2"/>
        <v>752242.37000000069</v>
      </c>
      <c r="O94" s="9" t="s">
        <v>4</v>
      </c>
    </row>
    <row r="95" spans="1:15" x14ac:dyDescent="0.2">
      <c r="A95">
        <v>13</v>
      </c>
      <c r="B95">
        <v>4</v>
      </c>
      <c r="C95" s="2">
        <v>4</v>
      </c>
      <c r="D95" s="2">
        <v>2</v>
      </c>
      <c r="E95" s="2">
        <v>1</v>
      </c>
      <c r="F95" s="2" t="s">
        <v>4</v>
      </c>
      <c r="G95" s="2">
        <v>225.19999999985899</v>
      </c>
      <c r="H95" s="2" t="s">
        <v>8</v>
      </c>
      <c r="I95" s="2">
        <v>231354.99999999901</v>
      </c>
      <c r="J95" s="2">
        <v>2000</v>
      </c>
      <c r="K95" s="2">
        <v>20</v>
      </c>
      <c r="L95" s="2">
        <v>0</v>
      </c>
      <c r="M95" s="2">
        <v>227726.37</v>
      </c>
      <c r="N95" s="2">
        <f t="shared" si="2"/>
        <v>459306.5699999989</v>
      </c>
      <c r="O95" s="9" t="s">
        <v>5</v>
      </c>
    </row>
    <row r="96" spans="1:15" x14ac:dyDescent="0.2">
      <c r="A96">
        <v>14</v>
      </c>
      <c r="B96">
        <v>4</v>
      </c>
      <c r="C96" s="2">
        <v>4</v>
      </c>
      <c r="D96" s="2">
        <v>2</v>
      </c>
      <c r="E96" s="2">
        <v>2</v>
      </c>
      <c r="F96" s="2" t="s">
        <v>4</v>
      </c>
      <c r="G96" s="2">
        <v>285.80000000033601</v>
      </c>
      <c r="H96" s="2" t="s">
        <v>8</v>
      </c>
      <c r="I96" s="2">
        <v>254110.00000000099</v>
      </c>
      <c r="J96" s="2">
        <v>2000</v>
      </c>
      <c r="K96" s="2">
        <v>20</v>
      </c>
      <c r="L96" s="2">
        <v>0</v>
      </c>
      <c r="M96" s="2">
        <v>197965.57</v>
      </c>
      <c r="N96" s="2">
        <f t="shared" si="2"/>
        <v>452361.37000000133</v>
      </c>
      <c r="O96" s="9" t="s">
        <v>4</v>
      </c>
    </row>
    <row r="97" spans="1:15" x14ac:dyDescent="0.2">
      <c r="A97">
        <v>15</v>
      </c>
      <c r="B97">
        <v>4</v>
      </c>
      <c r="C97" s="2">
        <v>4</v>
      </c>
      <c r="D97" s="2">
        <v>2</v>
      </c>
      <c r="E97" s="2">
        <v>3</v>
      </c>
      <c r="F97" s="2" t="s">
        <v>4</v>
      </c>
      <c r="G97" s="2">
        <v>273.80000000007999</v>
      </c>
      <c r="H97" s="2" t="s">
        <v>8</v>
      </c>
      <c r="I97" s="2">
        <v>343735.00000000099</v>
      </c>
      <c r="J97" s="2">
        <v>2000</v>
      </c>
      <c r="K97" s="2">
        <v>20</v>
      </c>
      <c r="L97" s="2">
        <v>0</v>
      </c>
      <c r="M97" s="2">
        <v>198165.57</v>
      </c>
      <c r="N97" s="2">
        <f t="shared" si="2"/>
        <v>542174.37000000104</v>
      </c>
      <c r="O97" s="9" t="s">
        <v>4</v>
      </c>
    </row>
    <row r="98" spans="1:15" x14ac:dyDescent="0.2">
      <c r="A98">
        <v>16</v>
      </c>
      <c r="B98">
        <v>4</v>
      </c>
      <c r="C98" s="2">
        <v>4</v>
      </c>
      <c r="D98" s="2">
        <v>3</v>
      </c>
      <c r="E98" s="2">
        <v>1</v>
      </c>
      <c r="F98" s="2" t="s">
        <v>4</v>
      </c>
      <c r="G98" s="2">
        <v>261.80000000017901</v>
      </c>
      <c r="H98" s="2" t="s">
        <v>8</v>
      </c>
      <c r="I98" s="2">
        <v>356192.00000000198</v>
      </c>
      <c r="J98" s="2">
        <v>2000</v>
      </c>
      <c r="K98" s="2">
        <v>20</v>
      </c>
      <c r="L98" s="2">
        <v>0</v>
      </c>
      <c r="M98" s="2">
        <v>223526.37</v>
      </c>
      <c r="N98" s="2">
        <f t="shared" si="2"/>
        <v>579980.17000000214</v>
      </c>
      <c r="O98" s="9" t="s">
        <v>4</v>
      </c>
    </row>
    <row r="99" spans="1:15" x14ac:dyDescent="0.2">
      <c r="A99">
        <v>17</v>
      </c>
      <c r="B99">
        <v>4</v>
      </c>
      <c r="C99" s="2">
        <v>4</v>
      </c>
      <c r="D99" s="2">
        <v>3</v>
      </c>
      <c r="E99" s="2">
        <v>2</v>
      </c>
      <c r="F99" s="2" t="s">
        <v>4</v>
      </c>
      <c r="G99" s="2">
        <v>255.000000001004</v>
      </c>
      <c r="H99" s="2" t="s">
        <v>8</v>
      </c>
      <c r="I99" s="2">
        <v>274740.00000000099</v>
      </c>
      <c r="J99" s="2">
        <v>2000</v>
      </c>
      <c r="K99" s="2">
        <v>20</v>
      </c>
      <c r="L99" s="2">
        <v>0</v>
      </c>
      <c r="M99" s="2">
        <v>230726.37</v>
      </c>
      <c r="N99" s="2">
        <f t="shared" si="2"/>
        <v>505721.37000000197</v>
      </c>
      <c r="O99" s="9" t="s">
        <v>4</v>
      </c>
    </row>
    <row r="100" spans="1:15" x14ac:dyDescent="0.2">
      <c r="A100">
        <v>18</v>
      </c>
      <c r="B100">
        <v>4</v>
      </c>
      <c r="C100" s="2">
        <v>4</v>
      </c>
      <c r="D100" s="2">
        <v>3</v>
      </c>
      <c r="E100" s="2">
        <v>3</v>
      </c>
      <c r="F100" s="2" t="s">
        <v>4</v>
      </c>
      <c r="G100" s="2">
        <v>307.79999999950297</v>
      </c>
      <c r="H100" s="2" t="s">
        <v>8</v>
      </c>
      <c r="I100" s="2">
        <v>771308.99999999895</v>
      </c>
      <c r="J100" s="2">
        <v>2000</v>
      </c>
      <c r="K100" s="2">
        <v>20</v>
      </c>
      <c r="L100" s="2">
        <v>0</v>
      </c>
      <c r="M100" s="2">
        <v>270764.37</v>
      </c>
      <c r="N100" s="2">
        <f t="shared" si="2"/>
        <v>1042381.1699999985</v>
      </c>
      <c r="O100" s="9" t="s">
        <v>4</v>
      </c>
    </row>
    <row r="101" spans="1:15" x14ac:dyDescent="0.2">
      <c r="A101">
        <v>19</v>
      </c>
      <c r="B101">
        <v>4</v>
      </c>
      <c r="C101" s="2">
        <v>5</v>
      </c>
      <c r="D101" s="2">
        <v>2</v>
      </c>
      <c r="E101" s="2">
        <v>1</v>
      </c>
      <c r="F101" s="2" t="s">
        <v>4</v>
      </c>
      <c r="G101" s="2">
        <v>241.399999999459</v>
      </c>
      <c r="H101" s="2" t="s">
        <v>8</v>
      </c>
      <c r="I101" s="2">
        <v>274275.99999999697</v>
      </c>
      <c r="J101" s="2">
        <v>2000</v>
      </c>
      <c r="K101" s="2">
        <v>20</v>
      </c>
      <c r="L101" s="2">
        <v>0</v>
      </c>
      <c r="M101" s="2">
        <v>207166.37</v>
      </c>
      <c r="N101" s="2">
        <f t="shared" si="2"/>
        <v>481683.76999999641</v>
      </c>
      <c r="O101" s="9" t="s">
        <v>5</v>
      </c>
    </row>
    <row r="102" spans="1:15" x14ac:dyDescent="0.2">
      <c r="A102">
        <v>20</v>
      </c>
      <c r="B102">
        <v>4</v>
      </c>
      <c r="C102" s="2">
        <v>5</v>
      </c>
      <c r="D102" s="2">
        <v>2</v>
      </c>
      <c r="E102" s="2">
        <v>2</v>
      </c>
      <c r="F102" s="2" t="s">
        <v>4</v>
      </c>
      <c r="G102" s="2">
        <v>301.59999999952402</v>
      </c>
      <c r="H102" s="2" t="s">
        <v>8</v>
      </c>
      <c r="I102" s="2">
        <v>556574.00000000105</v>
      </c>
      <c r="J102" s="2">
        <v>2000</v>
      </c>
      <c r="K102" s="2">
        <v>20</v>
      </c>
      <c r="L102" s="2">
        <v>0</v>
      </c>
      <c r="M102" s="2">
        <v>208166.37</v>
      </c>
      <c r="N102" s="2">
        <f t="shared" si="2"/>
        <v>765041.97000000055</v>
      </c>
      <c r="O102" s="9" t="s">
        <v>4</v>
      </c>
    </row>
    <row r="103" spans="1:15" x14ac:dyDescent="0.2">
      <c r="A103">
        <v>21</v>
      </c>
      <c r="B103">
        <v>4</v>
      </c>
      <c r="C103" s="2">
        <v>5</v>
      </c>
      <c r="D103" s="2">
        <v>2</v>
      </c>
      <c r="E103" s="2">
        <v>3</v>
      </c>
      <c r="F103" s="2" t="s">
        <v>4</v>
      </c>
      <c r="G103" s="2">
        <v>295.000000000201</v>
      </c>
      <c r="H103" s="2" t="s">
        <v>8</v>
      </c>
      <c r="I103" s="2">
        <v>1036061</v>
      </c>
      <c r="J103" s="2">
        <v>2000</v>
      </c>
      <c r="K103" s="2">
        <v>20</v>
      </c>
      <c r="L103" s="2">
        <v>0</v>
      </c>
      <c r="M103" s="2">
        <v>209485.97</v>
      </c>
      <c r="N103" s="2">
        <f t="shared" si="2"/>
        <v>1245841.9700000002</v>
      </c>
      <c r="O103" s="9" t="s">
        <v>4</v>
      </c>
    </row>
    <row r="104" spans="1:15" x14ac:dyDescent="0.2">
      <c r="A104">
        <v>22</v>
      </c>
      <c r="B104">
        <v>4</v>
      </c>
      <c r="C104" s="2">
        <v>5</v>
      </c>
      <c r="D104" s="2">
        <v>3</v>
      </c>
      <c r="E104" s="2">
        <v>1</v>
      </c>
      <c r="F104" s="2" t="s">
        <v>4</v>
      </c>
      <c r="G104" s="2">
        <v>284.20000000011203</v>
      </c>
      <c r="H104" s="2" t="s">
        <v>8</v>
      </c>
      <c r="I104" s="2">
        <v>788309.00000000198</v>
      </c>
      <c r="J104" s="2">
        <v>2000</v>
      </c>
      <c r="K104" s="2">
        <v>20</v>
      </c>
      <c r="L104" s="2">
        <v>0</v>
      </c>
      <c r="M104" s="2">
        <v>237887.17</v>
      </c>
      <c r="N104" s="2">
        <f t="shared" si="2"/>
        <v>1026480.3700000021</v>
      </c>
      <c r="O104" s="9" t="s">
        <v>4</v>
      </c>
    </row>
    <row r="105" spans="1:15" x14ac:dyDescent="0.2">
      <c r="A105">
        <v>23</v>
      </c>
      <c r="B105">
        <v>4</v>
      </c>
      <c r="C105" s="2">
        <v>5</v>
      </c>
      <c r="D105" s="2">
        <v>3</v>
      </c>
      <c r="E105" s="2">
        <v>2</v>
      </c>
      <c r="F105" s="2" t="s">
        <v>4</v>
      </c>
      <c r="G105" s="2">
        <v>292.800000000426</v>
      </c>
      <c r="H105" s="2" t="s">
        <v>8</v>
      </c>
      <c r="I105" s="2">
        <v>713013</v>
      </c>
      <c r="J105" s="2">
        <v>2000</v>
      </c>
      <c r="K105" s="2">
        <v>20</v>
      </c>
      <c r="L105" s="2">
        <v>0</v>
      </c>
      <c r="M105" s="2">
        <v>296286.37</v>
      </c>
      <c r="N105" s="2">
        <f t="shared" si="2"/>
        <v>1009592.1700000004</v>
      </c>
      <c r="O105" s="9" t="s">
        <v>4</v>
      </c>
    </row>
    <row r="106" spans="1:15" x14ac:dyDescent="0.2">
      <c r="A106">
        <v>24</v>
      </c>
      <c r="B106">
        <v>4</v>
      </c>
      <c r="C106" s="2">
        <v>5</v>
      </c>
      <c r="D106" s="2">
        <v>3</v>
      </c>
      <c r="E106" s="2">
        <v>3</v>
      </c>
      <c r="F106" s="2" t="s">
        <v>4</v>
      </c>
      <c r="G106" s="2">
        <v>352.60000000043601</v>
      </c>
      <c r="H106" s="2" t="s">
        <v>8</v>
      </c>
      <c r="I106" s="2">
        <v>1699718</v>
      </c>
      <c r="J106" s="2">
        <v>2000</v>
      </c>
      <c r="K106" s="2">
        <v>20</v>
      </c>
      <c r="L106" s="2">
        <v>0</v>
      </c>
      <c r="M106" s="2">
        <v>192927.17</v>
      </c>
      <c r="N106" s="2">
        <f t="shared" si="2"/>
        <v>1892997.7700000005</v>
      </c>
      <c r="O106" s="9" t="s">
        <v>4</v>
      </c>
    </row>
    <row r="107" spans="1:15" x14ac:dyDescent="0.2">
      <c r="A107">
        <v>25</v>
      </c>
      <c r="B107">
        <v>4</v>
      </c>
      <c r="C107" s="2">
        <v>6</v>
      </c>
      <c r="D107" s="2">
        <v>3</v>
      </c>
      <c r="E107" s="2">
        <v>1</v>
      </c>
      <c r="F107" s="2" t="s">
        <v>4</v>
      </c>
      <c r="G107" s="2">
        <v>315.00000000015399</v>
      </c>
      <c r="H107" s="2" t="s">
        <v>8</v>
      </c>
      <c r="I107" s="2">
        <v>748591.99999999895</v>
      </c>
      <c r="J107" s="2">
        <v>2000</v>
      </c>
      <c r="K107" s="2">
        <v>20</v>
      </c>
      <c r="L107" s="2">
        <v>0</v>
      </c>
      <c r="M107" s="2">
        <v>215366.77</v>
      </c>
      <c r="N107" s="2">
        <f t="shared" si="2"/>
        <v>964273.76999999909</v>
      </c>
      <c r="O107" s="9" t="s">
        <v>4</v>
      </c>
    </row>
    <row r="108" spans="1:15" x14ac:dyDescent="0.2">
      <c r="A108">
        <v>26</v>
      </c>
      <c r="B108">
        <v>4</v>
      </c>
      <c r="C108" s="2">
        <v>6</v>
      </c>
      <c r="D108" s="2">
        <v>3</v>
      </c>
      <c r="E108" s="2">
        <v>2</v>
      </c>
      <c r="F108" s="2" t="s">
        <v>4</v>
      </c>
      <c r="G108" s="2">
        <v>324.400000000224</v>
      </c>
      <c r="H108" s="2" t="s">
        <v>8</v>
      </c>
      <c r="I108" s="2">
        <v>1090027</v>
      </c>
      <c r="J108" s="2">
        <v>2000</v>
      </c>
      <c r="K108" s="2">
        <v>20</v>
      </c>
      <c r="L108" s="2">
        <v>0</v>
      </c>
      <c r="M108" s="2">
        <v>207129.57</v>
      </c>
      <c r="N108" s="2">
        <f t="shared" si="2"/>
        <v>1297480.9700000002</v>
      </c>
      <c r="O108" s="9" t="s">
        <v>4</v>
      </c>
    </row>
    <row r="109" spans="1:15" x14ac:dyDescent="0.2">
      <c r="A109">
        <v>27</v>
      </c>
      <c r="B109">
        <v>4</v>
      </c>
      <c r="C109" s="2">
        <v>6</v>
      </c>
      <c r="D109" s="2">
        <v>3</v>
      </c>
      <c r="E109" s="2">
        <v>3</v>
      </c>
      <c r="F109" s="2" t="s">
        <v>4</v>
      </c>
      <c r="G109" s="2">
        <v>408.40000000024202</v>
      </c>
      <c r="H109" s="2" t="s">
        <v>8</v>
      </c>
      <c r="I109" s="2">
        <v>1930913</v>
      </c>
      <c r="J109" s="2">
        <v>2000</v>
      </c>
      <c r="K109" s="2">
        <v>20</v>
      </c>
      <c r="L109" s="2">
        <v>0</v>
      </c>
      <c r="M109" s="2">
        <v>220085.57</v>
      </c>
      <c r="N109" s="2">
        <f t="shared" si="2"/>
        <v>2151406.9700000002</v>
      </c>
      <c r="O109" s="9" t="s">
        <v>4</v>
      </c>
    </row>
    <row r="110" spans="1:15" x14ac:dyDescent="0.2">
      <c r="A110">
        <v>1</v>
      </c>
      <c r="B110">
        <v>4</v>
      </c>
      <c r="C110" s="2">
        <v>3</v>
      </c>
      <c r="D110" s="2">
        <v>2</v>
      </c>
      <c r="E110" s="2">
        <v>1</v>
      </c>
      <c r="F110" s="2" t="s">
        <v>4</v>
      </c>
      <c r="G110" s="2">
        <v>686.60000000022603</v>
      </c>
      <c r="H110" s="2" t="s">
        <v>8</v>
      </c>
      <c r="I110" s="2">
        <v>133155</v>
      </c>
      <c r="J110" s="2">
        <v>3000</v>
      </c>
      <c r="K110" s="2">
        <v>20</v>
      </c>
      <c r="L110" s="2">
        <v>0</v>
      </c>
      <c r="M110" s="2">
        <v>425245.57</v>
      </c>
      <c r="N110" s="2">
        <f t="shared" si="2"/>
        <v>559087.17000000016</v>
      </c>
      <c r="O110" s="9" t="s">
        <v>5</v>
      </c>
    </row>
    <row r="111" spans="1:15" x14ac:dyDescent="0.2">
      <c r="A111">
        <v>2</v>
      </c>
      <c r="B111">
        <v>4</v>
      </c>
      <c r="C111" s="2">
        <v>3</v>
      </c>
      <c r="D111" s="2">
        <v>2</v>
      </c>
      <c r="E111" s="2">
        <v>2</v>
      </c>
      <c r="F111" s="2" t="s">
        <v>4</v>
      </c>
      <c r="G111" s="2">
        <v>595.39999999991301</v>
      </c>
      <c r="H111" s="2" t="s">
        <v>8</v>
      </c>
      <c r="I111" s="2">
        <v>199936.00000000099</v>
      </c>
      <c r="J111" s="2">
        <v>3000</v>
      </c>
      <c r="K111" s="2">
        <v>20</v>
      </c>
      <c r="L111" s="2">
        <v>0</v>
      </c>
      <c r="M111" s="2">
        <v>299905.96999999997</v>
      </c>
      <c r="N111" s="2">
        <f t="shared" si="2"/>
        <v>500437.37000000087</v>
      </c>
      <c r="O111" s="9" t="s">
        <v>4</v>
      </c>
    </row>
    <row r="112" spans="1:15" x14ac:dyDescent="0.2">
      <c r="A112">
        <v>3</v>
      </c>
      <c r="B112">
        <v>4</v>
      </c>
      <c r="C112" s="2">
        <v>3</v>
      </c>
      <c r="D112" s="2">
        <v>2</v>
      </c>
      <c r="E112" s="2">
        <v>3</v>
      </c>
      <c r="F112" s="2" t="s">
        <v>4</v>
      </c>
      <c r="G112" s="2">
        <v>510.39999999993302</v>
      </c>
      <c r="H112" s="2" t="s">
        <v>8</v>
      </c>
      <c r="I112" s="2">
        <v>165412</v>
      </c>
      <c r="J112" s="2">
        <v>3000</v>
      </c>
      <c r="K112" s="2">
        <v>20</v>
      </c>
      <c r="L112" s="2">
        <v>0</v>
      </c>
      <c r="M112" s="2">
        <v>395485.97</v>
      </c>
      <c r="N112" s="2">
        <f t="shared" si="2"/>
        <v>561408.36999999988</v>
      </c>
      <c r="O112" s="9" t="s">
        <v>4</v>
      </c>
    </row>
    <row r="113" spans="1:15" x14ac:dyDescent="0.2">
      <c r="A113">
        <v>4</v>
      </c>
      <c r="B113">
        <v>4</v>
      </c>
      <c r="C113" s="2">
        <v>3</v>
      </c>
      <c r="D113" s="2">
        <v>3</v>
      </c>
      <c r="E113" s="2">
        <v>1</v>
      </c>
      <c r="F113" s="2" t="s">
        <v>4</v>
      </c>
      <c r="G113" s="2">
        <v>455.79999999958397</v>
      </c>
      <c r="H113" s="2" t="s">
        <v>8</v>
      </c>
      <c r="I113" s="2">
        <v>162882</v>
      </c>
      <c r="J113" s="2">
        <v>3000</v>
      </c>
      <c r="K113" s="2">
        <v>20</v>
      </c>
      <c r="L113" s="2">
        <v>0</v>
      </c>
      <c r="M113" s="2">
        <v>428185.97</v>
      </c>
      <c r="N113" s="2">
        <f t="shared" si="2"/>
        <v>591523.76999999955</v>
      </c>
      <c r="O113" s="9" t="s">
        <v>4</v>
      </c>
    </row>
    <row r="114" spans="1:15" x14ac:dyDescent="0.2">
      <c r="A114">
        <v>5</v>
      </c>
      <c r="B114">
        <v>4</v>
      </c>
      <c r="C114" s="2">
        <v>3</v>
      </c>
      <c r="D114" s="2">
        <v>3</v>
      </c>
      <c r="E114" s="2">
        <v>2</v>
      </c>
      <c r="F114" s="2" t="s">
        <v>4</v>
      </c>
      <c r="G114" s="2">
        <v>514.60000000034302</v>
      </c>
      <c r="H114" s="2" t="s">
        <v>8</v>
      </c>
      <c r="I114" s="2">
        <v>141655.99999999901</v>
      </c>
      <c r="J114" s="2">
        <v>3000</v>
      </c>
      <c r="K114" s="2">
        <v>20</v>
      </c>
      <c r="L114" s="2">
        <v>0</v>
      </c>
      <c r="M114" s="2">
        <v>278245.96999999997</v>
      </c>
      <c r="N114" s="2">
        <f t="shared" si="2"/>
        <v>420416.56999999931</v>
      </c>
      <c r="O114" s="9" t="s">
        <v>5</v>
      </c>
    </row>
    <row r="115" spans="1:15" x14ac:dyDescent="0.2">
      <c r="A115">
        <v>6</v>
      </c>
      <c r="B115">
        <v>4</v>
      </c>
      <c r="C115" s="2">
        <v>3</v>
      </c>
      <c r="D115" s="2">
        <v>3</v>
      </c>
      <c r="E115" s="2">
        <v>3</v>
      </c>
      <c r="F115" s="2" t="s">
        <v>4</v>
      </c>
      <c r="G115" s="2">
        <v>535.59999999990305</v>
      </c>
      <c r="H115" s="2" t="s">
        <v>8</v>
      </c>
      <c r="I115" s="2">
        <v>373666</v>
      </c>
      <c r="J115" s="2">
        <v>3000</v>
      </c>
      <c r="K115" s="2">
        <v>20</v>
      </c>
      <c r="L115" s="2">
        <v>0</v>
      </c>
      <c r="M115" s="2">
        <v>434604.77</v>
      </c>
      <c r="N115" s="2">
        <f t="shared" si="2"/>
        <v>808806.36999999988</v>
      </c>
      <c r="O115" s="9" t="s">
        <v>4</v>
      </c>
    </row>
    <row r="116" spans="1:15" x14ac:dyDescent="0.2">
      <c r="A116">
        <v>7</v>
      </c>
      <c r="B116">
        <v>4</v>
      </c>
      <c r="C116" s="2">
        <v>4</v>
      </c>
      <c r="D116" s="2">
        <v>2</v>
      </c>
      <c r="E116" s="2">
        <v>1</v>
      </c>
      <c r="F116" s="2" t="s">
        <v>4</v>
      </c>
      <c r="G116" s="2">
        <v>354.799999999855</v>
      </c>
      <c r="H116" s="2" t="s">
        <v>8</v>
      </c>
      <c r="I116" s="2">
        <v>163982.00000000099</v>
      </c>
      <c r="J116" s="2">
        <v>3000</v>
      </c>
      <c r="K116" s="2">
        <v>20</v>
      </c>
      <c r="L116" s="2">
        <v>0</v>
      </c>
      <c r="M116" s="2">
        <v>293605.57</v>
      </c>
      <c r="N116" s="2">
        <f t="shared" si="2"/>
        <v>457942.37000000087</v>
      </c>
      <c r="O116" s="9" t="s">
        <v>4</v>
      </c>
    </row>
    <row r="117" spans="1:15" x14ac:dyDescent="0.2">
      <c r="A117">
        <v>8</v>
      </c>
      <c r="B117">
        <v>4</v>
      </c>
      <c r="C117" s="2">
        <v>4</v>
      </c>
      <c r="D117" s="2">
        <v>2</v>
      </c>
      <c r="E117" s="2">
        <v>2</v>
      </c>
      <c r="F117" s="2" t="s">
        <v>4</v>
      </c>
      <c r="G117" s="2">
        <v>408.79999999958699</v>
      </c>
      <c r="H117" s="2" t="s">
        <v>8</v>
      </c>
      <c r="I117" s="2">
        <v>405767.00000000099</v>
      </c>
      <c r="J117" s="2">
        <v>3000</v>
      </c>
      <c r="K117" s="2">
        <v>20</v>
      </c>
      <c r="L117" s="2">
        <v>0</v>
      </c>
      <c r="M117" s="2">
        <v>309085.96999999997</v>
      </c>
      <c r="N117" s="2">
        <f t="shared" si="2"/>
        <v>715261.77000000048</v>
      </c>
      <c r="O117" s="9" t="s">
        <v>4</v>
      </c>
    </row>
    <row r="118" spans="1:15" x14ac:dyDescent="0.2">
      <c r="A118">
        <v>9</v>
      </c>
      <c r="B118">
        <v>4</v>
      </c>
      <c r="C118" s="2">
        <v>4</v>
      </c>
      <c r="D118" s="2">
        <v>2</v>
      </c>
      <c r="E118" s="2">
        <v>3</v>
      </c>
      <c r="F118" s="2" t="s">
        <v>4</v>
      </c>
      <c r="G118" s="2">
        <v>315.400000000565</v>
      </c>
      <c r="H118" s="2" t="s">
        <v>8</v>
      </c>
      <c r="I118" s="2">
        <v>252100</v>
      </c>
      <c r="J118" s="2">
        <v>3000</v>
      </c>
      <c r="K118" s="2">
        <v>20</v>
      </c>
      <c r="L118" s="2">
        <v>0</v>
      </c>
      <c r="M118" s="2">
        <v>345143.97</v>
      </c>
      <c r="N118" s="2">
        <f t="shared" si="2"/>
        <v>597559.37000000058</v>
      </c>
      <c r="O118" s="9" t="s">
        <v>4</v>
      </c>
    </row>
    <row r="119" spans="1:15" x14ac:dyDescent="0.2">
      <c r="A119">
        <v>10</v>
      </c>
      <c r="B119">
        <v>4</v>
      </c>
      <c r="C119" s="2">
        <v>4</v>
      </c>
      <c r="D119" s="2">
        <v>3</v>
      </c>
      <c r="E119" s="2">
        <v>1</v>
      </c>
      <c r="F119" s="2" t="s">
        <v>4</v>
      </c>
      <c r="G119" s="2">
        <v>303.20000000010299</v>
      </c>
      <c r="H119" s="2" t="s">
        <v>8</v>
      </c>
      <c r="I119" s="2">
        <v>297907</v>
      </c>
      <c r="J119" s="2">
        <v>3000</v>
      </c>
      <c r="K119" s="2">
        <v>20</v>
      </c>
      <c r="L119" s="2">
        <v>0</v>
      </c>
      <c r="M119" s="2">
        <v>333326.37</v>
      </c>
      <c r="N119" s="2">
        <f t="shared" si="2"/>
        <v>631536.57000000007</v>
      </c>
      <c r="O119" s="9" t="s">
        <v>4</v>
      </c>
    </row>
    <row r="120" spans="1:15" x14ac:dyDescent="0.2">
      <c r="A120">
        <v>11</v>
      </c>
      <c r="B120">
        <v>4</v>
      </c>
      <c r="C120" s="2">
        <v>4</v>
      </c>
      <c r="D120" s="2">
        <v>3</v>
      </c>
      <c r="E120" s="2">
        <v>2</v>
      </c>
      <c r="F120" s="2" t="s">
        <v>4</v>
      </c>
      <c r="G120" s="2">
        <v>291.60000000025798</v>
      </c>
      <c r="H120" s="2" t="s">
        <v>8</v>
      </c>
      <c r="I120" s="2">
        <v>486182</v>
      </c>
      <c r="J120" s="2">
        <v>3000</v>
      </c>
      <c r="K120" s="2">
        <v>20</v>
      </c>
      <c r="L120" s="2">
        <v>0</v>
      </c>
      <c r="M120" s="2">
        <v>299304.77</v>
      </c>
      <c r="N120" s="2">
        <f t="shared" si="2"/>
        <v>785778.37000000034</v>
      </c>
      <c r="O120" s="9" t="s">
        <v>4</v>
      </c>
    </row>
    <row r="121" spans="1:15" x14ac:dyDescent="0.2">
      <c r="A121">
        <v>12</v>
      </c>
      <c r="B121">
        <v>4</v>
      </c>
      <c r="C121" s="2">
        <v>4</v>
      </c>
      <c r="D121" s="2">
        <v>3</v>
      </c>
      <c r="E121" s="2">
        <v>3</v>
      </c>
      <c r="F121" s="2" t="s">
        <v>4</v>
      </c>
      <c r="G121" s="2">
        <v>339.79999999971301</v>
      </c>
      <c r="H121" s="2" t="s">
        <v>8</v>
      </c>
      <c r="I121" s="2">
        <v>514257.00000000099</v>
      </c>
      <c r="J121" s="2">
        <v>3000</v>
      </c>
      <c r="K121" s="2">
        <v>20</v>
      </c>
      <c r="L121" s="2">
        <v>0</v>
      </c>
      <c r="M121" s="2">
        <v>348505.57</v>
      </c>
      <c r="N121" s="2">
        <f t="shared" si="2"/>
        <v>863102.37000000069</v>
      </c>
      <c r="O121" s="9" t="s">
        <v>4</v>
      </c>
    </row>
    <row r="122" spans="1:15" x14ac:dyDescent="0.2">
      <c r="A122">
        <v>13</v>
      </c>
      <c r="B122">
        <v>4</v>
      </c>
      <c r="C122" s="2">
        <v>4</v>
      </c>
      <c r="D122" s="2">
        <v>2</v>
      </c>
      <c r="E122" s="2">
        <v>1</v>
      </c>
      <c r="F122" s="2" t="s">
        <v>4</v>
      </c>
      <c r="G122" s="2">
        <v>225.19999999985899</v>
      </c>
      <c r="H122" s="2" t="s">
        <v>8</v>
      </c>
      <c r="I122" s="2">
        <v>231354.99999999901</v>
      </c>
      <c r="J122" s="2">
        <v>3000</v>
      </c>
      <c r="K122" s="2">
        <v>20</v>
      </c>
      <c r="L122" s="2">
        <v>0</v>
      </c>
      <c r="M122" s="2">
        <v>333626.37</v>
      </c>
      <c r="N122" s="2">
        <f t="shared" si="2"/>
        <v>565206.5699999989</v>
      </c>
      <c r="O122" s="9" t="s">
        <v>5</v>
      </c>
    </row>
    <row r="123" spans="1:15" x14ac:dyDescent="0.2">
      <c r="A123">
        <v>14</v>
      </c>
      <c r="B123">
        <v>4</v>
      </c>
      <c r="C123" s="2">
        <v>4</v>
      </c>
      <c r="D123" s="2">
        <v>2</v>
      </c>
      <c r="E123" s="2">
        <v>2</v>
      </c>
      <c r="F123" s="2" t="s">
        <v>4</v>
      </c>
      <c r="G123" s="2">
        <v>285.80000000033601</v>
      </c>
      <c r="H123" s="2" t="s">
        <v>8</v>
      </c>
      <c r="I123" s="2">
        <v>254110.00000000099</v>
      </c>
      <c r="J123" s="2">
        <v>3000</v>
      </c>
      <c r="K123" s="2">
        <v>20</v>
      </c>
      <c r="L123" s="2">
        <v>0</v>
      </c>
      <c r="M123" s="2">
        <v>288985.57</v>
      </c>
      <c r="N123" s="2">
        <f t="shared" si="2"/>
        <v>543381.37000000128</v>
      </c>
      <c r="O123" s="9" t="s">
        <v>4</v>
      </c>
    </row>
    <row r="124" spans="1:15" x14ac:dyDescent="0.2">
      <c r="A124">
        <v>15</v>
      </c>
      <c r="B124">
        <v>4</v>
      </c>
      <c r="C124" s="2">
        <v>4</v>
      </c>
      <c r="D124" s="2">
        <v>2</v>
      </c>
      <c r="E124" s="2">
        <v>3</v>
      </c>
      <c r="F124" s="2" t="s">
        <v>4</v>
      </c>
      <c r="G124" s="2">
        <v>273.80000000007999</v>
      </c>
      <c r="H124" s="2" t="s">
        <v>8</v>
      </c>
      <c r="I124" s="2">
        <v>343735.00000000099</v>
      </c>
      <c r="J124" s="2">
        <v>3000</v>
      </c>
      <c r="K124" s="2">
        <v>20</v>
      </c>
      <c r="L124" s="2">
        <v>0</v>
      </c>
      <c r="M124" s="2">
        <v>289285.57</v>
      </c>
      <c r="N124" s="2">
        <f t="shared" si="2"/>
        <v>633294.37000000104</v>
      </c>
      <c r="O124" s="9" t="s">
        <v>4</v>
      </c>
    </row>
    <row r="125" spans="1:15" x14ac:dyDescent="0.2">
      <c r="A125">
        <v>16</v>
      </c>
      <c r="B125">
        <v>4</v>
      </c>
      <c r="C125" s="2">
        <v>4</v>
      </c>
      <c r="D125" s="2">
        <v>3</v>
      </c>
      <c r="E125" s="2">
        <v>1</v>
      </c>
      <c r="F125" s="2" t="s">
        <v>4</v>
      </c>
      <c r="G125" s="2">
        <v>261.80000000017901</v>
      </c>
      <c r="H125" s="2" t="s">
        <v>8</v>
      </c>
      <c r="I125" s="2">
        <v>356192.00000000198</v>
      </c>
      <c r="J125" s="2">
        <v>3000</v>
      </c>
      <c r="K125" s="2">
        <v>20</v>
      </c>
      <c r="L125" s="2">
        <v>0</v>
      </c>
      <c r="M125" s="2">
        <v>327326.37</v>
      </c>
      <c r="N125" s="2">
        <f t="shared" si="2"/>
        <v>683780.17000000214</v>
      </c>
      <c r="O125" s="9" t="s">
        <v>4</v>
      </c>
    </row>
    <row r="126" spans="1:15" x14ac:dyDescent="0.2">
      <c r="A126">
        <v>17</v>
      </c>
      <c r="B126">
        <v>4</v>
      </c>
      <c r="C126" s="2">
        <v>4</v>
      </c>
      <c r="D126" s="2">
        <v>3</v>
      </c>
      <c r="E126" s="2">
        <v>2</v>
      </c>
      <c r="F126" s="2" t="s">
        <v>4</v>
      </c>
      <c r="G126" s="2">
        <v>255.000000001004</v>
      </c>
      <c r="H126" s="2" t="s">
        <v>8</v>
      </c>
      <c r="I126" s="2">
        <v>274740.00000000099</v>
      </c>
      <c r="J126" s="2">
        <v>3000</v>
      </c>
      <c r="K126" s="2">
        <v>20</v>
      </c>
      <c r="L126" s="2">
        <v>0</v>
      </c>
      <c r="M126" s="2">
        <v>338126.37</v>
      </c>
      <c r="N126" s="2">
        <f t="shared" si="2"/>
        <v>613121.37000000197</v>
      </c>
      <c r="O126" s="9" t="s">
        <v>4</v>
      </c>
    </row>
    <row r="127" spans="1:15" x14ac:dyDescent="0.2">
      <c r="A127">
        <v>18</v>
      </c>
      <c r="B127">
        <v>4</v>
      </c>
      <c r="C127" s="2">
        <v>4</v>
      </c>
      <c r="D127" s="2">
        <v>3</v>
      </c>
      <c r="E127" s="2">
        <v>3</v>
      </c>
      <c r="F127" s="2" t="s">
        <v>4</v>
      </c>
      <c r="G127" s="2">
        <v>307.79999999950297</v>
      </c>
      <c r="H127" s="2" t="s">
        <v>8</v>
      </c>
      <c r="I127" s="2">
        <v>771308.99999999895</v>
      </c>
      <c r="J127" s="2">
        <v>3000</v>
      </c>
      <c r="K127" s="2">
        <v>20</v>
      </c>
      <c r="L127" s="2">
        <v>0</v>
      </c>
      <c r="M127" s="2">
        <v>398184.37</v>
      </c>
      <c r="N127" s="2">
        <f t="shared" si="2"/>
        <v>1169801.1699999985</v>
      </c>
      <c r="O127" s="9" t="s">
        <v>4</v>
      </c>
    </row>
    <row r="128" spans="1:15" x14ac:dyDescent="0.2">
      <c r="A128">
        <v>19</v>
      </c>
      <c r="B128">
        <v>4</v>
      </c>
      <c r="C128" s="2">
        <v>5</v>
      </c>
      <c r="D128" s="2">
        <v>2</v>
      </c>
      <c r="E128" s="2">
        <v>1</v>
      </c>
      <c r="F128" s="2" t="s">
        <v>4</v>
      </c>
      <c r="G128" s="2">
        <v>241.399999999459</v>
      </c>
      <c r="H128" s="2" t="s">
        <v>8</v>
      </c>
      <c r="I128" s="2">
        <v>274275.99999999697</v>
      </c>
      <c r="J128" s="2">
        <v>3000</v>
      </c>
      <c r="K128" s="2">
        <v>20</v>
      </c>
      <c r="L128" s="2">
        <v>0</v>
      </c>
      <c r="M128" s="2">
        <v>302786.37</v>
      </c>
      <c r="N128" s="2">
        <f t="shared" si="2"/>
        <v>577303.76999999641</v>
      </c>
      <c r="O128" s="9" t="s">
        <v>5</v>
      </c>
    </row>
    <row r="129" spans="1:15" x14ac:dyDescent="0.2">
      <c r="A129">
        <v>20</v>
      </c>
      <c r="B129">
        <v>4</v>
      </c>
      <c r="C129" s="2">
        <v>5</v>
      </c>
      <c r="D129" s="2">
        <v>2</v>
      </c>
      <c r="E129" s="2">
        <v>2</v>
      </c>
      <c r="F129" s="2" t="s">
        <v>4</v>
      </c>
      <c r="G129" s="2">
        <v>301.59999999952402</v>
      </c>
      <c r="H129" s="2" t="s">
        <v>8</v>
      </c>
      <c r="I129" s="2">
        <v>556574.00000000105</v>
      </c>
      <c r="J129" s="2">
        <v>3000</v>
      </c>
      <c r="K129" s="2">
        <v>20</v>
      </c>
      <c r="L129" s="2">
        <v>0</v>
      </c>
      <c r="M129" s="2">
        <v>304286.37</v>
      </c>
      <c r="N129" s="2">
        <f t="shared" si="2"/>
        <v>861161.97000000055</v>
      </c>
      <c r="O129" s="9" t="s">
        <v>4</v>
      </c>
    </row>
    <row r="130" spans="1:15" x14ac:dyDescent="0.2">
      <c r="A130">
        <v>21</v>
      </c>
      <c r="B130">
        <v>4</v>
      </c>
      <c r="C130" s="2">
        <v>5</v>
      </c>
      <c r="D130" s="2">
        <v>2</v>
      </c>
      <c r="E130" s="2">
        <v>3</v>
      </c>
      <c r="F130" s="2" t="s">
        <v>4</v>
      </c>
      <c r="G130" s="2">
        <v>295.000000000201</v>
      </c>
      <c r="H130" s="2" t="s">
        <v>8</v>
      </c>
      <c r="I130" s="2">
        <v>1036061</v>
      </c>
      <c r="J130" s="2">
        <v>3000</v>
      </c>
      <c r="K130" s="2">
        <v>20</v>
      </c>
      <c r="L130" s="2">
        <v>0</v>
      </c>
      <c r="M130" s="2">
        <v>306265.96999999997</v>
      </c>
      <c r="N130" s="2">
        <f t="shared" si="2"/>
        <v>1342621.9700000002</v>
      </c>
      <c r="O130" s="9" t="s">
        <v>4</v>
      </c>
    </row>
    <row r="131" spans="1:15" x14ac:dyDescent="0.2">
      <c r="A131">
        <v>22</v>
      </c>
      <c r="B131">
        <v>4</v>
      </c>
      <c r="C131" s="2">
        <v>5</v>
      </c>
      <c r="D131" s="2">
        <v>3</v>
      </c>
      <c r="E131" s="2">
        <v>1</v>
      </c>
      <c r="F131" s="2" t="s">
        <v>4</v>
      </c>
      <c r="G131" s="2">
        <v>284.20000000011203</v>
      </c>
      <c r="H131" s="2" t="s">
        <v>8</v>
      </c>
      <c r="I131" s="2">
        <v>788309.00000000198</v>
      </c>
      <c r="J131" s="2">
        <v>3000</v>
      </c>
      <c r="K131" s="2">
        <v>20</v>
      </c>
      <c r="L131" s="2">
        <v>0</v>
      </c>
      <c r="M131" s="2">
        <v>348867.17</v>
      </c>
      <c r="N131" s="2">
        <f t="shared" si="2"/>
        <v>1137460.370000002</v>
      </c>
      <c r="O131" s="9" t="s">
        <v>4</v>
      </c>
    </row>
    <row r="132" spans="1:15" x14ac:dyDescent="0.2">
      <c r="A132">
        <v>23</v>
      </c>
      <c r="B132">
        <v>4</v>
      </c>
      <c r="C132" s="2">
        <v>5</v>
      </c>
      <c r="D132" s="2">
        <v>3</v>
      </c>
      <c r="E132" s="2">
        <v>2</v>
      </c>
      <c r="F132" s="2" t="s">
        <v>4</v>
      </c>
      <c r="G132" s="2">
        <v>292.800000000426</v>
      </c>
      <c r="H132" s="2" t="s">
        <v>8</v>
      </c>
      <c r="I132" s="2">
        <v>713013</v>
      </c>
      <c r="J132" s="2">
        <v>3000</v>
      </c>
      <c r="K132" s="2">
        <v>20</v>
      </c>
      <c r="L132" s="2">
        <v>0</v>
      </c>
      <c r="M132" s="2">
        <v>436466.37</v>
      </c>
      <c r="N132" s="2">
        <f t="shared" si="2"/>
        <v>1149772.1700000004</v>
      </c>
      <c r="O132" s="9" t="s">
        <v>4</v>
      </c>
    </row>
    <row r="133" spans="1:15" x14ac:dyDescent="0.2">
      <c r="A133">
        <v>24</v>
      </c>
      <c r="B133">
        <v>4</v>
      </c>
      <c r="C133" s="2">
        <v>5</v>
      </c>
      <c r="D133" s="2">
        <v>3</v>
      </c>
      <c r="E133" s="2">
        <v>3</v>
      </c>
      <c r="F133" s="2" t="s">
        <v>4</v>
      </c>
      <c r="G133" s="2">
        <v>352.60000000043601</v>
      </c>
      <c r="H133" s="2" t="s">
        <v>8</v>
      </c>
      <c r="I133" s="2">
        <v>1699718</v>
      </c>
      <c r="J133" s="2">
        <v>3000</v>
      </c>
      <c r="K133" s="2">
        <v>20</v>
      </c>
      <c r="L133" s="2">
        <v>0</v>
      </c>
      <c r="M133" s="2">
        <v>281427.17</v>
      </c>
      <c r="N133" s="2">
        <f t="shared" si="2"/>
        <v>1981497.7700000005</v>
      </c>
      <c r="O133" s="9" t="s">
        <v>4</v>
      </c>
    </row>
    <row r="134" spans="1:15" x14ac:dyDescent="0.2">
      <c r="A134">
        <v>25</v>
      </c>
      <c r="B134">
        <v>4</v>
      </c>
      <c r="C134" s="2">
        <v>6</v>
      </c>
      <c r="D134" s="2">
        <v>3</v>
      </c>
      <c r="E134" s="2">
        <v>1</v>
      </c>
      <c r="F134" s="2" t="s">
        <v>4</v>
      </c>
      <c r="G134" s="2">
        <v>315.00000000015399</v>
      </c>
      <c r="H134" s="2" t="s">
        <v>8</v>
      </c>
      <c r="I134" s="2">
        <v>748591.99999999895</v>
      </c>
      <c r="J134" s="2">
        <v>3000</v>
      </c>
      <c r="K134" s="2">
        <v>20</v>
      </c>
      <c r="L134" s="2">
        <v>0</v>
      </c>
      <c r="M134" s="2">
        <v>315086.77</v>
      </c>
      <c r="N134" s="2">
        <f t="shared" si="2"/>
        <v>1063993.7699999991</v>
      </c>
      <c r="O134" s="9" t="s">
        <v>4</v>
      </c>
    </row>
    <row r="135" spans="1:15" x14ac:dyDescent="0.2">
      <c r="A135">
        <v>26</v>
      </c>
      <c r="B135">
        <v>4</v>
      </c>
      <c r="C135" s="2">
        <v>6</v>
      </c>
      <c r="D135" s="2">
        <v>3</v>
      </c>
      <c r="E135" s="2">
        <v>2</v>
      </c>
      <c r="F135" s="2" t="s">
        <v>4</v>
      </c>
      <c r="G135" s="2">
        <v>324.400000000224</v>
      </c>
      <c r="H135" s="2" t="s">
        <v>8</v>
      </c>
      <c r="I135" s="2">
        <v>1090027</v>
      </c>
      <c r="J135" s="2">
        <v>3000</v>
      </c>
      <c r="K135" s="2">
        <v>20</v>
      </c>
      <c r="L135" s="2">
        <v>0</v>
      </c>
      <c r="M135" s="2">
        <v>302729.57</v>
      </c>
      <c r="N135" s="2">
        <f t="shared" si="2"/>
        <v>1393080.9700000002</v>
      </c>
      <c r="O135" s="9" t="s">
        <v>4</v>
      </c>
    </row>
    <row r="136" spans="1:15" x14ac:dyDescent="0.2">
      <c r="A136">
        <v>27</v>
      </c>
      <c r="B136">
        <v>4</v>
      </c>
      <c r="C136" s="2">
        <v>6</v>
      </c>
      <c r="D136" s="2">
        <v>3</v>
      </c>
      <c r="E136" s="2">
        <v>3</v>
      </c>
      <c r="F136" s="2" t="s">
        <v>4</v>
      </c>
      <c r="G136" s="2">
        <v>408.40000000024202</v>
      </c>
      <c r="H136" s="2" t="s">
        <v>8</v>
      </c>
      <c r="I136" s="2">
        <v>1930913</v>
      </c>
      <c r="J136" s="2">
        <v>3000</v>
      </c>
      <c r="K136" s="2">
        <v>20</v>
      </c>
      <c r="L136" s="2">
        <v>0</v>
      </c>
      <c r="M136" s="2">
        <v>322165.57</v>
      </c>
      <c r="N136" s="2">
        <f t="shared" si="2"/>
        <v>2253486.9700000002</v>
      </c>
      <c r="O136" s="9" t="s">
        <v>4</v>
      </c>
    </row>
    <row r="137" spans="1:15" x14ac:dyDescent="0.2">
      <c r="A137">
        <v>1</v>
      </c>
      <c r="B137">
        <v>4</v>
      </c>
      <c r="C137" s="2">
        <v>3</v>
      </c>
      <c r="D137" s="2">
        <v>2</v>
      </c>
      <c r="E137" s="2">
        <v>1</v>
      </c>
      <c r="F137" s="2" t="s">
        <v>4</v>
      </c>
      <c r="G137" s="2">
        <v>686.60000000022603</v>
      </c>
      <c r="H137" s="2" t="s">
        <v>8</v>
      </c>
      <c r="I137" s="2">
        <v>133155</v>
      </c>
      <c r="J137" s="2">
        <v>5000</v>
      </c>
      <c r="K137" s="2">
        <v>20</v>
      </c>
      <c r="L137" s="2">
        <v>0</v>
      </c>
      <c r="M137" s="2">
        <v>698125.57</v>
      </c>
      <c r="N137" s="2">
        <f t="shared" si="2"/>
        <v>831967.17000000016</v>
      </c>
      <c r="O137" s="9" t="s">
        <v>5</v>
      </c>
    </row>
    <row r="138" spans="1:15" x14ac:dyDescent="0.2">
      <c r="A138">
        <v>2</v>
      </c>
      <c r="B138">
        <v>4</v>
      </c>
      <c r="C138" s="2">
        <v>3</v>
      </c>
      <c r="D138" s="2">
        <v>2</v>
      </c>
      <c r="E138" s="2">
        <v>2</v>
      </c>
      <c r="F138" s="2" t="s">
        <v>4</v>
      </c>
      <c r="G138" s="2">
        <v>595.39999999991301</v>
      </c>
      <c r="H138" s="2" t="s">
        <v>8</v>
      </c>
      <c r="I138" s="2">
        <v>199936.00000000099</v>
      </c>
      <c r="J138" s="2">
        <v>5000</v>
      </c>
      <c r="K138" s="2">
        <v>20</v>
      </c>
      <c r="L138" s="2">
        <v>0</v>
      </c>
      <c r="M138" s="2">
        <v>489225.97</v>
      </c>
      <c r="N138" s="2">
        <f t="shared" si="2"/>
        <v>689757.37000000081</v>
      </c>
      <c r="O138" s="9" t="s">
        <v>4</v>
      </c>
    </row>
    <row r="139" spans="1:15" x14ac:dyDescent="0.2">
      <c r="A139">
        <v>3</v>
      </c>
      <c r="B139">
        <v>4</v>
      </c>
      <c r="C139" s="2">
        <v>3</v>
      </c>
      <c r="D139" s="2">
        <v>2</v>
      </c>
      <c r="E139" s="2">
        <v>3</v>
      </c>
      <c r="F139" s="2" t="s">
        <v>4</v>
      </c>
      <c r="G139" s="2">
        <v>510.39999999993302</v>
      </c>
      <c r="H139" s="2" t="s">
        <v>8</v>
      </c>
      <c r="I139" s="2">
        <v>165412</v>
      </c>
      <c r="J139" s="2">
        <v>5000</v>
      </c>
      <c r="K139" s="2">
        <v>20</v>
      </c>
      <c r="L139" s="2">
        <v>0</v>
      </c>
      <c r="M139" s="2">
        <v>648525.97</v>
      </c>
      <c r="N139" s="2">
        <f t="shared" si="2"/>
        <v>814448.36999999988</v>
      </c>
      <c r="O139" s="9" t="s">
        <v>4</v>
      </c>
    </row>
    <row r="140" spans="1:15" x14ac:dyDescent="0.2">
      <c r="A140">
        <v>4</v>
      </c>
      <c r="B140">
        <v>4</v>
      </c>
      <c r="C140" s="2">
        <v>3</v>
      </c>
      <c r="D140" s="2">
        <v>3</v>
      </c>
      <c r="E140" s="2">
        <v>1</v>
      </c>
      <c r="F140" s="2" t="s">
        <v>4</v>
      </c>
      <c r="G140" s="2">
        <v>455.79999999958397</v>
      </c>
      <c r="H140" s="2" t="s">
        <v>8</v>
      </c>
      <c r="I140" s="2">
        <v>162882</v>
      </c>
      <c r="J140" s="2">
        <v>5000</v>
      </c>
      <c r="K140" s="2">
        <v>20</v>
      </c>
      <c r="L140" s="2">
        <v>0</v>
      </c>
      <c r="M140" s="2">
        <v>703025.97</v>
      </c>
      <c r="N140" s="2">
        <f t="shared" si="2"/>
        <v>866363.76999999955</v>
      </c>
      <c r="O140" s="9" t="s">
        <v>5</v>
      </c>
    </row>
    <row r="141" spans="1:15" x14ac:dyDescent="0.2">
      <c r="A141">
        <v>5</v>
      </c>
      <c r="B141">
        <v>4</v>
      </c>
      <c r="C141" s="2">
        <v>3</v>
      </c>
      <c r="D141" s="2">
        <v>3</v>
      </c>
      <c r="E141" s="2">
        <v>2</v>
      </c>
      <c r="F141" s="2" t="s">
        <v>4</v>
      </c>
      <c r="G141" s="2">
        <v>514.60000000034302</v>
      </c>
      <c r="H141" s="2" t="s">
        <v>8</v>
      </c>
      <c r="I141" s="2">
        <v>141655.99999999901</v>
      </c>
      <c r="J141" s="2">
        <v>5000</v>
      </c>
      <c r="K141" s="2">
        <v>20</v>
      </c>
      <c r="L141" s="2">
        <v>0</v>
      </c>
      <c r="M141" s="2">
        <v>453125.97</v>
      </c>
      <c r="N141" s="2">
        <f t="shared" si="2"/>
        <v>595296.56999999937</v>
      </c>
      <c r="O141" s="9" t="s">
        <v>4</v>
      </c>
    </row>
    <row r="142" spans="1:15" x14ac:dyDescent="0.2">
      <c r="A142">
        <v>6</v>
      </c>
      <c r="B142">
        <v>4</v>
      </c>
      <c r="C142" s="2">
        <v>3</v>
      </c>
      <c r="D142" s="2">
        <v>3</v>
      </c>
      <c r="E142" s="2">
        <v>3</v>
      </c>
      <c r="F142" s="2" t="s">
        <v>4</v>
      </c>
      <c r="G142" s="2">
        <v>535.59999999990305</v>
      </c>
      <c r="H142" s="2" t="s">
        <v>8</v>
      </c>
      <c r="I142" s="2">
        <v>373666</v>
      </c>
      <c r="J142" s="2">
        <v>5000</v>
      </c>
      <c r="K142" s="2">
        <v>20</v>
      </c>
      <c r="L142" s="2">
        <v>0</v>
      </c>
      <c r="M142" s="2">
        <v>713724.77</v>
      </c>
      <c r="N142" s="2">
        <f t="shared" si="2"/>
        <v>1087926.3699999999</v>
      </c>
      <c r="O142" s="9" t="s">
        <v>4</v>
      </c>
    </row>
    <row r="143" spans="1:15" x14ac:dyDescent="0.2">
      <c r="A143">
        <v>7</v>
      </c>
      <c r="B143">
        <v>4</v>
      </c>
      <c r="C143" s="2">
        <v>4</v>
      </c>
      <c r="D143" s="2">
        <v>2</v>
      </c>
      <c r="E143" s="2">
        <v>1</v>
      </c>
      <c r="F143" s="2" t="s">
        <v>4</v>
      </c>
      <c r="G143" s="2">
        <v>354.799999999855</v>
      </c>
      <c r="H143" s="2" t="s">
        <v>8</v>
      </c>
      <c r="I143" s="2">
        <v>163982.00000000099</v>
      </c>
      <c r="J143" s="2">
        <v>5000</v>
      </c>
      <c r="K143" s="2">
        <v>20</v>
      </c>
      <c r="L143" s="2">
        <v>0</v>
      </c>
      <c r="M143" s="2">
        <v>478725.57</v>
      </c>
      <c r="N143" s="2">
        <f t="shared" si="2"/>
        <v>643062.37000000081</v>
      </c>
      <c r="O143" s="9" t="s">
        <v>5</v>
      </c>
    </row>
    <row r="144" spans="1:15" x14ac:dyDescent="0.2">
      <c r="A144">
        <v>8</v>
      </c>
      <c r="B144">
        <v>4</v>
      </c>
      <c r="C144" s="2">
        <v>4</v>
      </c>
      <c r="D144" s="2">
        <v>2</v>
      </c>
      <c r="E144" s="2">
        <v>2</v>
      </c>
      <c r="F144" s="2" t="s">
        <v>4</v>
      </c>
      <c r="G144" s="2">
        <v>408.79999999958699</v>
      </c>
      <c r="H144" s="2" t="s">
        <v>8</v>
      </c>
      <c r="I144" s="2">
        <v>405767.00000000099</v>
      </c>
      <c r="J144" s="2">
        <v>5000</v>
      </c>
      <c r="K144" s="2">
        <v>20</v>
      </c>
      <c r="L144" s="2">
        <v>0</v>
      </c>
      <c r="M144" s="2">
        <v>504525.97</v>
      </c>
      <c r="N144" s="2">
        <f t="shared" si="2"/>
        <v>910701.77000000048</v>
      </c>
      <c r="O144" s="9" t="s">
        <v>4</v>
      </c>
    </row>
    <row r="145" spans="1:15" x14ac:dyDescent="0.2">
      <c r="A145">
        <v>9</v>
      </c>
      <c r="B145">
        <v>4</v>
      </c>
      <c r="C145" s="2">
        <v>4</v>
      </c>
      <c r="D145" s="2">
        <v>2</v>
      </c>
      <c r="E145" s="2">
        <v>3</v>
      </c>
      <c r="F145" s="2" t="s">
        <v>4</v>
      </c>
      <c r="G145" s="2">
        <v>315.400000000565</v>
      </c>
      <c r="H145" s="2" t="s">
        <v>8</v>
      </c>
      <c r="I145" s="2">
        <v>252100</v>
      </c>
      <c r="J145" s="2">
        <v>5000</v>
      </c>
      <c r="K145" s="2">
        <v>20</v>
      </c>
      <c r="L145" s="2">
        <v>0</v>
      </c>
      <c r="M145" s="2">
        <v>564623.97</v>
      </c>
      <c r="N145" s="2">
        <f t="shared" si="2"/>
        <v>817039.37000000058</v>
      </c>
      <c r="O145" s="9" t="s">
        <v>4</v>
      </c>
    </row>
    <row r="146" spans="1:15" x14ac:dyDescent="0.2">
      <c r="A146">
        <v>10</v>
      </c>
      <c r="B146">
        <v>4</v>
      </c>
      <c r="C146" s="2">
        <v>4</v>
      </c>
      <c r="D146" s="2">
        <v>3</v>
      </c>
      <c r="E146" s="2">
        <v>1</v>
      </c>
      <c r="F146" s="2" t="s">
        <v>4</v>
      </c>
      <c r="G146" s="2">
        <v>303.20000000010299</v>
      </c>
      <c r="H146" s="2" t="s">
        <v>8</v>
      </c>
      <c r="I146" s="2">
        <v>297907</v>
      </c>
      <c r="J146" s="2">
        <v>5000</v>
      </c>
      <c r="K146" s="2">
        <v>20</v>
      </c>
      <c r="L146" s="2">
        <v>0</v>
      </c>
      <c r="M146" s="2">
        <v>544926.37</v>
      </c>
      <c r="N146" s="2">
        <f t="shared" si="2"/>
        <v>843136.57000000007</v>
      </c>
      <c r="O146" s="9" t="s">
        <v>4</v>
      </c>
    </row>
    <row r="147" spans="1:15" x14ac:dyDescent="0.2">
      <c r="A147">
        <v>11</v>
      </c>
      <c r="B147">
        <v>4</v>
      </c>
      <c r="C147" s="2">
        <v>4</v>
      </c>
      <c r="D147" s="2">
        <v>3</v>
      </c>
      <c r="E147" s="2">
        <v>2</v>
      </c>
      <c r="F147" s="2" t="s">
        <v>4</v>
      </c>
      <c r="G147" s="2">
        <v>291.60000000025798</v>
      </c>
      <c r="H147" s="2" t="s">
        <v>8</v>
      </c>
      <c r="I147" s="2">
        <v>486182</v>
      </c>
      <c r="J147" s="2">
        <v>5000</v>
      </c>
      <c r="K147" s="2">
        <v>20</v>
      </c>
      <c r="L147" s="2">
        <v>0</v>
      </c>
      <c r="M147" s="2">
        <v>488224.77</v>
      </c>
      <c r="N147" s="2">
        <f t="shared" ref="N147:N210" si="3">G147+M147+I147</f>
        <v>974698.37000000034</v>
      </c>
      <c r="O147" s="9" t="s">
        <v>4</v>
      </c>
    </row>
    <row r="148" spans="1:15" x14ac:dyDescent="0.2">
      <c r="A148">
        <v>12</v>
      </c>
      <c r="B148">
        <v>4</v>
      </c>
      <c r="C148" s="2">
        <v>4</v>
      </c>
      <c r="D148" s="2">
        <v>3</v>
      </c>
      <c r="E148" s="2">
        <v>3</v>
      </c>
      <c r="F148" s="2" t="s">
        <v>4</v>
      </c>
      <c r="G148" s="2">
        <v>339.79999999971301</v>
      </c>
      <c r="H148" s="2" t="s">
        <v>8</v>
      </c>
      <c r="I148" s="2">
        <v>514257.00000000099</v>
      </c>
      <c r="J148" s="2">
        <v>5000</v>
      </c>
      <c r="K148" s="2">
        <v>20</v>
      </c>
      <c r="L148" s="2">
        <v>0</v>
      </c>
      <c r="M148" s="2">
        <v>570225.56999999995</v>
      </c>
      <c r="N148" s="2">
        <f t="shared" si="3"/>
        <v>1084822.3700000006</v>
      </c>
      <c r="O148" s="9" t="s">
        <v>4</v>
      </c>
    </row>
    <row r="149" spans="1:15" x14ac:dyDescent="0.2">
      <c r="A149">
        <v>13</v>
      </c>
      <c r="B149">
        <v>4</v>
      </c>
      <c r="C149" s="2">
        <v>4</v>
      </c>
      <c r="D149" s="2">
        <v>2</v>
      </c>
      <c r="E149" s="2">
        <v>1</v>
      </c>
      <c r="F149" s="2" t="s">
        <v>4</v>
      </c>
      <c r="G149" s="2">
        <v>225.19999999985899</v>
      </c>
      <c r="H149" s="2" t="s">
        <v>8</v>
      </c>
      <c r="I149" s="2">
        <v>231354.99999999901</v>
      </c>
      <c r="J149" s="2">
        <v>5000</v>
      </c>
      <c r="K149" s="2">
        <v>20</v>
      </c>
      <c r="L149" s="2">
        <v>0</v>
      </c>
      <c r="M149" s="2">
        <v>545426.37</v>
      </c>
      <c r="N149" s="2">
        <f t="shared" si="3"/>
        <v>777006.5699999989</v>
      </c>
      <c r="O149" s="9" t="s">
        <v>5</v>
      </c>
    </row>
    <row r="150" spans="1:15" x14ac:dyDescent="0.2">
      <c r="A150">
        <v>14</v>
      </c>
      <c r="B150">
        <v>4</v>
      </c>
      <c r="C150" s="2">
        <v>4</v>
      </c>
      <c r="D150" s="2">
        <v>2</v>
      </c>
      <c r="E150" s="2">
        <v>2</v>
      </c>
      <c r="F150" s="2" t="s">
        <v>4</v>
      </c>
      <c r="G150" s="2">
        <v>285.80000000033601</v>
      </c>
      <c r="H150" s="2" t="s">
        <v>8</v>
      </c>
      <c r="I150" s="2">
        <v>254110.00000000099</v>
      </c>
      <c r="J150" s="2">
        <v>5000</v>
      </c>
      <c r="K150" s="2">
        <v>20</v>
      </c>
      <c r="L150" s="2">
        <v>0</v>
      </c>
      <c r="M150" s="2">
        <v>471025.57</v>
      </c>
      <c r="N150" s="2">
        <f t="shared" si="3"/>
        <v>725421.37000000128</v>
      </c>
      <c r="O150" s="9" t="s">
        <v>4</v>
      </c>
    </row>
    <row r="151" spans="1:15" x14ac:dyDescent="0.2">
      <c r="A151">
        <v>15</v>
      </c>
      <c r="B151">
        <v>4</v>
      </c>
      <c r="C151" s="2">
        <v>4</v>
      </c>
      <c r="D151" s="2">
        <v>2</v>
      </c>
      <c r="E151" s="2">
        <v>3</v>
      </c>
      <c r="F151" s="2" t="s">
        <v>4</v>
      </c>
      <c r="G151" s="2">
        <v>273.80000000007999</v>
      </c>
      <c r="H151" s="2" t="s">
        <v>8</v>
      </c>
      <c r="I151" s="2">
        <v>343735.00000000099</v>
      </c>
      <c r="J151" s="2">
        <v>5000</v>
      </c>
      <c r="K151" s="2">
        <v>20</v>
      </c>
      <c r="L151" s="2">
        <v>0</v>
      </c>
      <c r="M151" s="2">
        <v>471525.57</v>
      </c>
      <c r="N151" s="2">
        <f>G151+M151+I151</f>
        <v>815534.37000000104</v>
      </c>
      <c r="O151" s="9" t="s">
        <v>4</v>
      </c>
    </row>
    <row r="152" spans="1:15" x14ac:dyDescent="0.2">
      <c r="A152">
        <v>16</v>
      </c>
      <c r="B152">
        <v>4</v>
      </c>
      <c r="C152" s="2">
        <v>4</v>
      </c>
      <c r="D152" s="2">
        <v>3</v>
      </c>
      <c r="E152" s="2">
        <v>1</v>
      </c>
      <c r="F152" s="2" t="s">
        <v>4</v>
      </c>
      <c r="G152" s="2">
        <v>261.80000000017901</v>
      </c>
      <c r="H152" s="2" t="s">
        <v>8</v>
      </c>
      <c r="I152" s="2">
        <v>356192.00000000198</v>
      </c>
      <c r="J152" s="2">
        <v>5000</v>
      </c>
      <c r="K152" s="2">
        <v>20</v>
      </c>
      <c r="L152" s="2">
        <v>0</v>
      </c>
      <c r="M152" s="2">
        <v>534926.37</v>
      </c>
      <c r="N152" s="2">
        <f t="shared" si="3"/>
        <v>891380.17000000214</v>
      </c>
      <c r="O152" s="9" t="s">
        <v>4</v>
      </c>
    </row>
    <row r="153" spans="1:15" x14ac:dyDescent="0.2">
      <c r="A153">
        <v>17</v>
      </c>
      <c r="B153">
        <v>4</v>
      </c>
      <c r="C153" s="2">
        <v>4</v>
      </c>
      <c r="D153" s="2">
        <v>3</v>
      </c>
      <c r="E153" s="2">
        <v>2</v>
      </c>
      <c r="F153" s="2" t="s">
        <v>4</v>
      </c>
      <c r="G153" s="2">
        <v>255.000000001004</v>
      </c>
      <c r="H153" s="2" t="s">
        <v>8</v>
      </c>
      <c r="I153" s="2">
        <v>274740.00000000099</v>
      </c>
      <c r="J153" s="2">
        <v>5000</v>
      </c>
      <c r="K153" s="2">
        <v>20</v>
      </c>
      <c r="L153" s="2">
        <v>0</v>
      </c>
      <c r="M153" s="2">
        <v>552926.37</v>
      </c>
      <c r="N153" s="2">
        <f t="shared" si="3"/>
        <v>827921.37000000197</v>
      </c>
      <c r="O153" s="9" t="s">
        <v>4</v>
      </c>
    </row>
    <row r="154" spans="1:15" x14ac:dyDescent="0.2">
      <c r="A154">
        <v>18</v>
      </c>
      <c r="B154">
        <v>4</v>
      </c>
      <c r="C154" s="2">
        <v>4</v>
      </c>
      <c r="D154" s="2">
        <v>3</v>
      </c>
      <c r="E154" s="2">
        <v>3</v>
      </c>
      <c r="F154" s="2" t="s">
        <v>4</v>
      </c>
      <c r="G154" s="2">
        <v>307.79999999950297</v>
      </c>
      <c r="H154" s="2" t="s">
        <v>8</v>
      </c>
      <c r="I154" s="2">
        <v>771308.99999999895</v>
      </c>
      <c r="J154" s="2">
        <v>5000</v>
      </c>
      <c r="K154" s="2">
        <v>20</v>
      </c>
      <c r="L154" s="2">
        <v>0</v>
      </c>
      <c r="M154" s="2">
        <v>653024.37</v>
      </c>
      <c r="N154" s="2">
        <f t="shared" si="3"/>
        <v>1424641.1699999985</v>
      </c>
      <c r="O154" s="9" t="s">
        <v>4</v>
      </c>
    </row>
    <row r="155" spans="1:15" x14ac:dyDescent="0.2">
      <c r="A155">
        <v>19</v>
      </c>
      <c r="B155">
        <v>4</v>
      </c>
      <c r="C155" s="2">
        <v>5</v>
      </c>
      <c r="D155" s="2">
        <v>2</v>
      </c>
      <c r="E155" s="2">
        <v>1</v>
      </c>
      <c r="F155" s="2" t="s">
        <v>4</v>
      </c>
      <c r="G155" s="2">
        <v>241.399999999459</v>
      </c>
      <c r="H155" s="2" t="s">
        <v>8</v>
      </c>
      <c r="I155" s="2">
        <v>274275.99999999697</v>
      </c>
      <c r="J155" s="2">
        <v>5000</v>
      </c>
      <c r="K155" s="2">
        <v>20</v>
      </c>
      <c r="L155" s="2">
        <v>0</v>
      </c>
      <c r="M155" s="2">
        <v>494026.37</v>
      </c>
      <c r="N155" s="2">
        <f t="shared" si="3"/>
        <v>768543.76999999641</v>
      </c>
      <c r="O155" s="9" t="s">
        <v>5</v>
      </c>
    </row>
    <row r="156" spans="1:15" x14ac:dyDescent="0.2">
      <c r="A156">
        <v>20</v>
      </c>
      <c r="B156">
        <v>4</v>
      </c>
      <c r="C156" s="2">
        <v>5</v>
      </c>
      <c r="D156" s="2">
        <v>2</v>
      </c>
      <c r="E156" s="2">
        <v>2</v>
      </c>
      <c r="F156" s="2" t="s">
        <v>4</v>
      </c>
      <c r="G156" s="2">
        <v>301.59999999952402</v>
      </c>
      <c r="H156" s="2" t="s">
        <v>8</v>
      </c>
      <c r="I156" s="2">
        <v>556574.00000000105</v>
      </c>
      <c r="J156" s="2">
        <v>5000</v>
      </c>
      <c r="K156" s="2">
        <v>20</v>
      </c>
      <c r="L156" s="2">
        <v>0</v>
      </c>
      <c r="M156" s="2">
        <v>496526.37</v>
      </c>
      <c r="N156" s="2">
        <f t="shared" si="3"/>
        <v>1053401.9700000007</v>
      </c>
      <c r="O156" s="9" t="s">
        <v>4</v>
      </c>
    </row>
    <row r="157" spans="1:15" x14ac:dyDescent="0.2">
      <c r="A157">
        <v>21</v>
      </c>
      <c r="B157">
        <v>4</v>
      </c>
      <c r="C157" s="2">
        <v>5</v>
      </c>
      <c r="D157" s="2">
        <v>2</v>
      </c>
      <c r="E157" s="2">
        <v>3</v>
      </c>
      <c r="F157" s="2" t="s">
        <v>4</v>
      </c>
      <c r="G157" s="2">
        <v>295.000000000201</v>
      </c>
      <c r="H157" s="2" t="s">
        <v>8</v>
      </c>
      <c r="I157" s="2">
        <v>1036061</v>
      </c>
      <c r="J157" s="2">
        <v>5000</v>
      </c>
      <c r="K157" s="2">
        <v>20</v>
      </c>
      <c r="L157" s="2">
        <v>0</v>
      </c>
      <c r="M157" s="2">
        <v>499825.97</v>
      </c>
      <c r="N157" s="2">
        <f t="shared" si="3"/>
        <v>1536181.9700000002</v>
      </c>
      <c r="O157" s="9" t="s">
        <v>4</v>
      </c>
    </row>
    <row r="158" spans="1:15" x14ac:dyDescent="0.2">
      <c r="A158">
        <v>22</v>
      </c>
      <c r="B158">
        <v>4</v>
      </c>
      <c r="C158" s="2">
        <v>5</v>
      </c>
      <c r="D158" s="2">
        <v>3</v>
      </c>
      <c r="E158" s="2">
        <v>1</v>
      </c>
      <c r="F158" s="2" t="s">
        <v>4</v>
      </c>
      <c r="G158" s="2">
        <v>284.20000000011203</v>
      </c>
      <c r="H158" s="2" t="s">
        <v>8</v>
      </c>
      <c r="I158" s="2">
        <v>788309.00000000198</v>
      </c>
      <c r="J158" s="2">
        <v>5000</v>
      </c>
      <c r="K158" s="2">
        <v>20</v>
      </c>
      <c r="L158" s="2">
        <v>0</v>
      </c>
      <c r="M158" s="2">
        <v>570827.17000000004</v>
      </c>
      <c r="N158" s="2">
        <f t="shared" si="3"/>
        <v>1359420.370000002</v>
      </c>
      <c r="O158" s="9" t="s">
        <v>4</v>
      </c>
    </row>
    <row r="159" spans="1:15" x14ac:dyDescent="0.2">
      <c r="A159">
        <v>23</v>
      </c>
      <c r="B159">
        <v>4</v>
      </c>
      <c r="C159" s="2">
        <v>5</v>
      </c>
      <c r="D159" s="2">
        <v>3</v>
      </c>
      <c r="E159" s="2">
        <v>2</v>
      </c>
      <c r="F159" s="2" t="s">
        <v>4</v>
      </c>
      <c r="G159" s="2">
        <v>292.800000000426</v>
      </c>
      <c r="H159" s="2" t="s">
        <v>8</v>
      </c>
      <c r="I159" s="2">
        <v>713013</v>
      </c>
      <c r="J159" s="2">
        <v>5000</v>
      </c>
      <c r="K159" s="2">
        <v>20</v>
      </c>
      <c r="L159" s="2">
        <v>0</v>
      </c>
      <c r="M159" s="2">
        <v>716826.37</v>
      </c>
      <c r="N159" s="2">
        <f t="shared" si="3"/>
        <v>1430132.1700000004</v>
      </c>
      <c r="O159" s="9" t="s">
        <v>4</v>
      </c>
    </row>
    <row r="160" spans="1:15" x14ac:dyDescent="0.2">
      <c r="A160">
        <v>24</v>
      </c>
      <c r="B160">
        <v>4</v>
      </c>
      <c r="C160" s="2">
        <v>5</v>
      </c>
      <c r="D160" s="2">
        <v>3</v>
      </c>
      <c r="E160" s="2">
        <v>3</v>
      </c>
      <c r="F160" s="2" t="s">
        <v>4</v>
      </c>
      <c r="G160" s="2">
        <v>352.60000000043601</v>
      </c>
      <c r="H160" s="2" t="s">
        <v>8</v>
      </c>
      <c r="I160" s="2">
        <v>1699718</v>
      </c>
      <c r="J160" s="2">
        <v>5000</v>
      </c>
      <c r="K160" s="2">
        <v>20</v>
      </c>
      <c r="L160" s="2">
        <v>0</v>
      </c>
      <c r="M160" s="2">
        <v>458427.17</v>
      </c>
      <c r="N160" s="2">
        <f t="shared" si="3"/>
        <v>2158497.7700000005</v>
      </c>
      <c r="O160" s="9" t="s">
        <v>4</v>
      </c>
    </row>
    <row r="161" spans="1:15" x14ac:dyDescent="0.2">
      <c r="A161">
        <v>25</v>
      </c>
      <c r="B161">
        <v>4</v>
      </c>
      <c r="C161" s="2">
        <v>6</v>
      </c>
      <c r="D161" s="2">
        <v>3</v>
      </c>
      <c r="E161" s="2">
        <v>1</v>
      </c>
      <c r="F161" s="2" t="s">
        <v>4</v>
      </c>
      <c r="G161" s="2">
        <v>315.00000000015399</v>
      </c>
      <c r="H161" s="2" t="s">
        <v>8</v>
      </c>
      <c r="I161" s="2">
        <v>748591.99999999895</v>
      </c>
      <c r="J161" s="2">
        <v>5000</v>
      </c>
      <c r="K161" s="2">
        <v>20</v>
      </c>
      <c r="L161" s="2">
        <v>0</v>
      </c>
      <c r="M161" s="2">
        <v>514526.77</v>
      </c>
      <c r="N161" s="2">
        <f t="shared" si="3"/>
        <v>1263433.7699999991</v>
      </c>
      <c r="O161" s="9" t="s">
        <v>4</v>
      </c>
    </row>
    <row r="162" spans="1:15" x14ac:dyDescent="0.2">
      <c r="A162">
        <v>26</v>
      </c>
      <c r="B162">
        <v>4</v>
      </c>
      <c r="C162" s="2">
        <v>6</v>
      </c>
      <c r="D162" s="2">
        <v>3</v>
      </c>
      <c r="E162" s="2">
        <v>2</v>
      </c>
      <c r="F162" s="2" t="s">
        <v>4</v>
      </c>
      <c r="G162" s="2">
        <v>324.400000000224</v>
      </c>
      <c r="H162" s="2" t="s">
        <v>8</v>
      </c>
      <c r="I162" s="2">
        <v>1090027</v>
      </c>
      <c r="J162" s="2">
        <v>5000</v>
      </c>
      <c r="K162" s="2">
        <v>20</v>
      </c>
      <c r="L162" s="2">
        <v>0</v>
      </c>
      <c r="M162" s="2">
        <v>493929.57</v>
      </c>
      <c r="N162" s="2">
        <f t="shared" si="3"/>
        <v>1584280.9700000002</v>
      </c>
      <c r="O162" s="9" t="s">
        <v>4</v>
      </c>
    </row>
    <row r="163" spans="1:15" x14ac:dyDescent="0.2">
      <c r="A163">
        <v>27</v>
      </c>
      <c r="B163">
        <v>4</v>
      </c>
      <c r="C163" s="2">
        <v>6</v>
      </c>
      <c r="D163" s="2">
        <v>3</v>
      </c>
      <c r="E163" s="2">
        <v>3</v>
      </c>
      <c r="F163" s="2" t="s">
        <v>4</v>
      </c>
      <c r="G163" s="2">
        <v>408.40000000024202</v>
      </c>
      <c r="H163" s="2" t="s">
        <v>8</v>
      </c>
      <c r="I163" s="2">
        <v>1930913</v>
      </c>
      <c r="J163" s="2">
        <v>5000</v>
      </c>
      <c r="K163" s="2">
        <v>20</v>
      </c>
      <c r="L163" s="2">
        <v>0</v>
      </c>
      <c r="M163" s="2">
        <v>526325.56999999995</v>
      </c>
      <c r="N163" s="2">
        <f t="shared" si="3"/>
        <v>2457646.9700000002</v>
      </c>
      <c r="O163" s="9" t="s">
        <v>4</v>
      </c>
    </row>
    <row r="164" spans="1:15" x14ac:dyDescent="0.2">
      <c r="A164">
        <v>1</v>
      </c>
      <c r="B164">
        <v>4</v>
      </c>
      <c r="C164" s="2">
        <v>3</v>
      </c>
      <c r="D164" s="2">
        <v>2</v>
      </c>
      <c r="E164" s="2">
        <v>1</v>
      </c>
      <c r="F164" s="2" t="s">
        <v>4</v>
      </c>
      <c r="G164" s="2">
        <v>686.60000000022603</v>
      </c>
      <c r="H164" s="2" t="s">
        <v>8</v>
      </c>
      <c r="I164" s="2">
        <v>133155</v>
      </c>
      <c r="J164" s="2">
        <v>4000</v>
      </c>
      <c r="K164" s="2">
        <v>60</v>
      </c>
      <c r="L164" s="2">
        <v>0</v>
      </c>
      <c r="M164" s="2">
        <v>721689.57</v>
      </c>
      <c r="N164" s="2">
        <f t="shared" si="3"/>
        <v>855531.17000000016</v>
      </c>
      <c r="O164" s="9" t="s">
        <v>5</v>
      </c>
    </row>
    <row r="165" spans="1:15" x14ac:dyDescent="0.2">
      <c r="A165">
        <v>2</v>
      </c>
      <c r="B165">
        <v>4</v>
      </c>
      <c r="C165" s="2">
        <v>3</v>
      </c>
      <c r="D165" s="2">
        <v>2</v>
      </c>
      <c r="E165" s="2">
        <v>2</v>
      </c>
      <c r="F165" s="2" t="s">
        <v>4</v>
      </c>
      <c r="G165" s="2">
        <v>595.39999999991301</v>
      </c>
      <c r="H165" s="2" t="s">
        <v>8</v>
      </c>
      <c r="I165" s="2">
        <v>199936.00000000099</v>
      </c>
      <c r="J165" s="2">
        <v>4000</v>
      </c>
      <c r="K165" s="2">
        <v>60</v>
      </c>
      <c r="L165" s="2">
        <v>0</v>
      </c>
      <c r="M165" s="2">
        <v>554569.97</v>
      </c>
      <c r="N165" s="2">
        <f t="shared" si="3"/>
        <v>755101.37000000081</v>
      </c>
      <c r="O165" s="9" t="s">
        <v>4</v>
      </c>
    </row>
    <row r="166" spans="1:15" x14ac:dyDescent="0.2">
      <c r="A166">
        <v>3</v>
      </c>
      <c r="B166">
        <v>4</v>
      </c>
      <c r="C166" s="2">
        <v>3</v>
      </c>
      <c r="D166" s="2">
        <v>2</v>
      </c>
      <c r="E166" s="2">
        <v>3</v>
      </c>
      <c r="F166" s="2" t="s">
        <v>4</v>
      </c>
      <c r="G166" s="2">
        <v>510.39999999993302</v>
      </c>
      <c r="H166" s="2" t="s">
        <v>8</v>
      </c>
      <c r="I166" s="2">
        <v>165412</v>
      </c>
      <c r="J166" s="2">
        <v>4000</v>
      </c>
      <c r="K166" s="2">
        <v>60</v>
      </c>
      <c r="L166" s="2">
        <v>0</v>
      </c>
      <c r="M166" s="2">
        <v>682009.97</v>
      </c>
      <c r="N166" s="2">
        <f t="shared" si="3"/>
        <v>847932.36999999988</v>
      </c>
      <c r="O166" s="9" t="s">
        <v>4</v>
      </c>
    </row>
    <row r="167" spans="1:15" x14ac:dyDescent="0.2">
      <c r="A167">
        <v>4</v>
      </c>
      <c r="B167">
        <v>4</v>
      </c>
      <c r="C167" s="2">
        <v>3</v>
      </c>
      <c r="D167" s="2">
        <v>3</v>
      </c>
      <c r="E167" s="2">
        <v>1</v>
      </c>
      <c r="F167" s="2" t="s">
        <v>4</v>
      </c>
      <c r="G167" s="2">
        <v>455.79999999958397</v>
      </c>
      <c r="H167" s="2" t="s">
        <v>8</v>
      </c>
      <c r="I167" s="2">
        <v>162882</v>
      </c>
      <c r="J167" s="2">
        <v>4000</v>
      </c>
      <c r="K167" s="2">
        <v>60</v>
      </c>
      <c r="L167" s="2">
        <v>0</v>
      </c>
      <c r="M167" s="2">
        <v>725609.57</v>
      </c>
      <c r="N167" s="2">
        <f t="shared" si="3"/>
        <v>888947.36999999953</v>
      </c>
      <c r="O167" s="9" t="s">
        <v>4</v>
      </c>
    </row>
    <row r="168" spans="1:15" x14ac:dyDescent="0.2">
      <c r="A168">
        <v>5</v>
      </c>
      <c r="B168">
        <v>4</v>
      </c>
      <c r="C168" s="2">
        <v>3</v>
      </c>
      <c r="D168" s="2">
        <v>3</v>
      </c>
      <c r="E168" s="2">
        <v>2</v>
      </c>
      <c r="F168" s="2" t="s">
        <v>4</v>
      </c>
      <c r="G168" s="2">
        <v>514.60000000034302</v>
      </c>
      <c r="H168" s="2" t="s">
        <v>8</v>
      </c>
      <c r="I168" s="2">
        <v>141655.99999999901</v>
      </c>
      <c r="J168" s="2">
        <v>4000</v>
      </c>
      <c r="K168" s="2">
        <v>60</v>
      </c>
      <c r="L168" s="2">
        <v>0</v>
      </c>
      <c r="M168" s="2">
        <v>525689.17000000004</v>
      </c>
      <c r="N168" s="2">
        <f t="shared" si="3"/>
        <v>667859.76999999932</v>
      </c>
      <c r="O168" s="9" t="s">
        <v>4</v>
      </c>
    </row>
    <row r="169" spans="1:15" x14ac:dyDescent="0.2">
      <c r="A169">
        <v>6</v>
      </c>
      <c r="B169">
        <v>4</v>
      </c>
      <c r="C169" s="2">
        <v>3</v>
      </c>
      <c r="D169" s="2">
        <v>3</v>
      </c>
      <c r="E169" s="2">
        <v>3</v>
      </c>
      <c r="F169" s="2" t="s">
        <v>4</v>
      </c>
      <c r="G169" s="2">
        <v>535.59999999990305</v>
      </c>
      <c r="H169" s="2" t="s">
        <v>8</v>
      </c>
      <c r="I169" s="2">
        <v>373666</v>
      </c>
      <c r="J169" s="2">
        <v>4000</v>
      </c>
      <c r="K169" s="2">
        <v>60</v>
      </c>
      <c r="L169" s="2">
        <v>0</v>
      </c>
      <c r="M169" s="2">
        <v>734167.17</v>
      </c>
      <c r="N169" s="2">
        <f t="shared" si="3"/>
        <v>1108368.77</v>
      </c>
      <c r="O169" s="9" t="s">
        <v>4</v>
      </c>
    </row>
    <row r="170" spans="1:15" x14ac:dyDescent="0.2">
      <c r="A170">
        <v>7</v>
      </c>
      <c r="B170">
        <v>4</v>
      </c>
      <c r="C170" s="2">
        <v>4</v>
      </c>
      <c r="D170" s="2">
        <v>2</v>
      </c>
      <c r="E170" s="2">
        <v>1</v>
      </c>
      <c r="F170" s="2" t="s">
        <v>4</v>
      </c>
      <c r="G170" s="2">
        <v>354.799999999855</v>
      </c>
      <c r="H170" s="2" t="s">
        <v>8</v>
      </c>
      <c r="I170" s="2">
        <v>163982.00000000099</v>
      </c>
      <c r="J170" s="2">
        <v>4000</v>
      </c>
      <c r="K170" s="2">
        <v>60</v>
      </c>
      <c r="L170" s="2">
        <v>0</v>
      </c>
      <c r="M170" s="2">
        <v>546168.37</v>
      </c>
      <c r="N170" s="2">
        <f t="shared" si="3"/>
        <v>710505.17000000086</v>
      </c>
      <c r="O170" s="9" t="s">
        <v>5</v>
      </c>
    </row>
    <row r="171" spans="1:15" x14ac:dyDescent="0.2">
      <c r="A171">
        <v>8</v>
      </c>
      <c r="B171">
        <v>4</v>
      </c>
      <c r="C171" s="2">
        <v>4</v>
      </c>
      <c r="D171" s="2">
        <v>2</v>
      </c>
      <c r="E171" s="2">
        <v>2</v>
      </c>
      <c r="F171" s="2" t="s">
        <v>4</v>
      </c>
      <c r="G171" s="2">
        <v>408.79999999958699</v>
      </c>
      <c r="H171" s="2" t="s">
        <v>8</v>
      </c>
      <c r="I171" s="2">
        <v>405767.00000000099</v>
      </c>
      <c r="J171" s="2">
        <v>4000</v>
      </c>
      <c r="K171" s="2">
        <v>60</v>
      </c>
      <c r="L171" s="2">
        <v>0</v>
      </c>
      <c r="M171" s="2">
        <v>566809.17000000004</v>
      </c>
      <c r="N171" s="2">
        <f t="shared" si="3"/>
        <v>972984.97000000067</v>
      </c>
      <c r="O171" s="9" t="s">
        <v>4</v>
      </c>
    </row>
    <row r="172" spans="1:15" x14ac:dyDescent="0.2">
      <c r="A172">
        <v>9</v>
      </c>
      <c r="B172">
        <v>4</v>
      </c>
      <c r="C172" s="2">
        <v>4</v>
      </c>
      <c r="D172" s="2">
        <v>2</v>
      </c>
      <c r="E172" s="2">
        <v>3</v>
      </c>
      <c r="F172" s="2" t="s">
        <v>4</v>
      </c>
      <c r="G172" s="2">
        <v>315.400000000565</v>
      </c>
      <c r="H172" s="2" t="s">
        <v>8</v>
      </c>
      <c r="I172" s="2">
        <v>252100</v>
      </c>
      <c r="J172" s="2">
        <v>4000</v>
      </c>
      <c r="K172" s="2">
        <v>60</v>
      </c>
      <c r="L172" s="2">
        <v>0</v>
      </c>
      <c r="M172" s="2">
        <v>614887.97</v>
      </c>
      <c r="N172" s="2">
        <f t="shared" si="3"/>
        <v>867303.37000000058</v>
      </c>
      <c r="O172" s="9" t="s">
        <v>4</v>
      </c>
    </row>
    <row r="173" spans="1:15" x14ac:dyDescent="0.2">
      <c r="A173">
        <v>10</v>
      </c>
      <c r="B173">
        <v>4</v>
      </c>
      <c r="C173" s="2">
        <v>4</v>
      </c>
      <c r="D173" s="2">
        <v>3</v>
      </c>
      <c r="E173" s="2">
        <v>1</v>
      </c>
      <c r="F173" s="2" t="s">
        <v>4</v>
      </c>
      <c r="G173" s="2">
        <v>303.20000000010299</v>
      </c>
      <c r="H173" s="2" t="s">
        <v>8</v>
      </c>
      <c r="I173" s="2">
        <v>297907</v>
      </c>
      <c r="J173" s="2">
        <v>4000</v>
      </c>
      <c r="K173" s="2">
        <v>60</v>
      </c>
      <c r="L173" s="2">
        <v>0</v>
      </c>
      <c r="M173" s="2">
        <v>599129.56999999995</v>
      </c>
      <c r="N173" s="2">
        <f t="shared" si="3"/>
        <v>897339.77</v>
      </c>
      <c r="O173" s="9" t="s">
        <v>5</v>
      </c>
    </row>
    <row r="174" spans="1:15" x14ac:dyDescent="0.2">
      <c r="A174">
        <v>11</v>
      </c>
      <c r="B174">
        <v>4</v>
      </c>
      <c r="C174" s="2">
        <v>4</v>
      </c>
      <c r="D174" s="2">
        <v>3</v>
      </c>
      <c r="E174" s="2">
        <v>2</v>
      </c>
      <c r="F174" s="2" t="s">
        <v>4</v>
      </c>
      <c r="G174" s="2">
        <v>291.60000000025798</v>
      </c>
      <c r="H174" s="2" t="s">
        <v>8</v>
      </c>
      <c r="I174" s="2">
        <v>486182</v>
      </c>
      <c r="J174" s="2">
        <v>4000</v>
      </c>
      <c r="K174" s="2">
        <v>60</v>
      </c>
      <c r="L174" s="2">
        <v>0</v>
      </c>
      <c r="M174" s="2">
        <v>553768.77</v>
      </c>
      <c r="N174" s="2">
        <f t="shared" si="3"/>
        <v>1040242.3700000002</v>
      </c>
      <c r="O174" s="9" t="s">
        <v>4</v>
      </c>
    </row>
    <row r="175" spans="1:15" x14ac:dyDescent="0.2">
      <c r="A175">
        <v>12</v>
      </c>
      <c r="B175">
        <v>4</v>
      </c>
      <c r="C175" s="2">
        <v>4</v>
      </c>
      <c r="D175" s="2">
        <v>3</v>
      </c>
      <c r="E175" s="2">
        <v>3</v>
      </c>
      <c r="F175" s="2" t="s">
        <v>4</v>
      </c>
      <c r="G175" s="2">
        <v>339.79999999971301</v>
      </c>
      <c r="H175" s="2" t="s">
        <v>8</v>
      </c>
      <c r="I175" s="2">
        <v>514257.00000000099</v>
      </c>
      <c r="J175" s="2">
        <v>4000</v>
      </c>
      <c r="K175" s="2">
        <v>60</v>
      </c>
      <c r="L175" s="2">
        <v>0</v>
      </c>
      <c r="M175" s="2">
        <v>619368.77</v>
      </c>
      <c r="N175" s="2">
        <f t="shared" si="3"/>
        <v>1133965.5700000008</v>
      </c>
      <c r="O175" s="9" t="s">
        <v>4</v>
      </c>
    </row>
    <row r="176" spans="1:15" x14ac:dyDescent="0.2">
      <c r="A176">
        <v>13</v>
      </c>
      <c r="B176">
        <v>4</v>
      </c>
      <c r="C176" s="2">
        <v>4</v>
      </c>
      <c r="D176" s="2">
        <v>2</v>
      </c>
      <c r="E176" s="2">
        <v>1</v>
      </c>
      <c r="F176" s="2" t="s">
        <v>4</v>
      </c>
      <c r="G176" s="2">
        <v>225.19999999985899</v>
      </c>
      <c r="H176" s="2" t="s">
        <v>8</v>
      </c>
      <c r="I176" s="2">
        <v>231354.99999999901</v>
      </c>
      <c r="J176" s="2">
        <v>4000</v>
      </c>
      <c r="K176" s="2">
        <v>60</v>
      </c>
      <c r="L176" s="2">
        <v>0</v>
      </c>
      <c r="M176" s="2">
        <v>599529.56999999995</v>
      </c>
      <c r="N176" s="2">
        <f t="shared" si="3"/>
        <v>831109.76999999885</v>
      </c>
      <c r="O176" s="9" t="s">
        <v>5</v>
      </c>
    </row>
    <row r="177" spans="1:15" x14ac:dyDescent="0.2">
      <c r="A177">
        <v>14</v>
      </c>
      <c r="B177">
        <v>4</v>
      </c>
      <c r="C177" s="2">
        <v>4</v>
      </c>
      <c r="D177" s="2">
        <v>2</v>
      </c>
      <c r="E177" s="2">
        <v>2</v>
      </c>
      <c r="F177" s="2" t="s">
        <v>4</v>
      </c>
      <c r="G177" s="2">
        <v>285.80000000033601</v>
      </c>
      <c r="H177" s="2" t="s">
        <v>8</v>
      </c>
      <c r="I177" s="2">
        <v>254110.00000000099</v>
      </c>
      <c r="J177" s="2">
        <v>4000</v>
      </c>
      <c r="K177" s="2">
        <v>60</v>
      </c>
      <c r="L177" s="2">
        <v>0</v>
      </c>
      <c r="M177" s="2">
        <v>540009.56999999995</v>
      </c>
      <c r="N177" s="2">
        <f t="shared" si="3"/>
        <v>794405.37000000128</v>
      </c>
      <c r="O177" s="9" t="s">
        <v>4</v>
      </c>
    </row>
    <row r="178" spans="1:15" x14ac:dyDescent="0.2">
      <c r="A178">
        <v>15</v>
      </c>
      <c r="B178">
        <v>4</v>
      </c>
      <c r="C178" s="2">
        <v>4</v>
      </c>
      <c r="D178" s="2">
        <v>2</v>
      </c>
      <c r="E178" s="2">
        <v>3</v>
      </c>
      <c r="F178" s="2" t="s">
        <v>4</v>
      </c>
      <c r="G178" s="2">
        <v>273.80000000007999</v>
      </c>
      <c r="H178" s="2" t="s">
        <v>8</v>
      </c>
      <c r="I178" s="2">
        <v>343735.00000000099</v>
      </c>
      <c r="J178" s="2">
        <v>4000</v>
      </c>
      <c r="K178" s="2">
        <v>60</v>
      </c>
      <c r="L178" s="2">
        <v>0</v>
      </c>
      <c r="M178" s="2">
        <v>540408.77</v>
      </c>
      <c r="N178" s="2">
        <f t="shared" si="3"/>
        <v>884417.570000001</v>
      </c>
      <c r="O178" s="9" t="s">
        <v>4</v>
      </c>
    </row>
    <row r="179" spans="1:15" x14ac:dyDescent="0.2">
      <c r="A179">
        <v>16</v>
      </c>
      <c r="B179">
        <v>4</v>
      </c>
      <c r="C179" s="2">
        <v>4</v>
      </c>
      <c r="D179" s="2">
        <v>3</v>
      </c>
      <c r="E179" s="2">
        <v>1</v>
      </c>
      <c r="F179" s="2" t="s">
        <v>4</v>
      </c>
      <c r="G179" s="2">
        <v>261.80000000017901</v>
      </c>
      <c r="H179" s="2" t="s">
        <v>8</v>
      </c>
      <c r="I179" s="2">
        <v>356192.00000000198</v>
      </c>
      <c r="J179" s="2">
        <v>4000</v>
      </c>
      <c r="K179" s="2">
        <v>60</v>
      </c>
      <c r="L179" s="2">
        <v>0</v>
      </c>
      <c r="M179" s="2">
        <v>591129.17000000004</v>
      </c>
      <c r="N179" s="2">
        <f t="shared" si="3"/>
        <v>947582.97000000218</v>
      </c>
      <c r="O179" s="9" t="s">
        <v>4</v>
      </c>
    </row>
    <row r="180" spans="1:15" x14ac:dyDescent="0.2">
      <c r="A180">
        <v>17</v>
      </c>
      <c r="B180">
        <v>4</v>
      </c>
      <c r="C180" s="2">
        <v>4</v>
      </c>
      <c r="D180" s="2">
        <v>3</v>
      </c>
      <c r="E180" s="2">
        <v>2</v>
      </c>
      <c r="F180" s="2" t="s">
        <v>4</v>
      </c>
      <c r="G180" s="2">
        <v>255.000000001004</v>
      </c>
      <c r="H180" s="2" t="s">
        <v>8</v>
      </c>
      <c r="I180" s="2">
        <v>274740.00000000099</v>
      </c>
      <c r="J180" s="2">
        <v>4000</v>
      </c>
      <c r="K180" s="2">
        <v>60</v>
      </c>
      <c r="L180" s="2">
        <v>0</v>
      </c>
      <c r="M180" s="2">
        <v>605529.56999999995</v>
      </c>
      <c r="N180" s="2">
        <f t="shared" si="3"/>
        <v>880524.57000000193</v>
      </c>
      <c r="O180" s="9" t="s">
        <v>4</v>
      </c>
    </row>
    <row r="181" spans="1:15" x14ac:dyDescent="0.2">
      <c r="A181">
        <v>18</v>
      </c>
      <c r="B181">
        <v>4</v>
      </c>
      <c r="C181" s="2">
        <v>4</v>
      </c>
      <c r="D181" s="2">
        <v>3</v>
      </c>
      <c r="E181" s="2">
        <v>3</v>
      </c>
      <c r="F181" s="2" t="s">
        <v>4</v>
      </c>
      <c r="G181" s="2">
        <v>307.79999999950297</v>
      </c>
      <c r="H181" s="2" t="s">
        <v>8</v>
      </c>
      <c r="I181" s="2">
        <v>771308.99999999895</v>
      </c>
      <c r="J181" s="2">
        <v>4000</v>
      </c>
      <c r="K181" s="2">
        <v>60</v>
      </c>
      <c r="L181" s="2">
        <v>0</v>
      </c>
      <c r="M181" s="2">
        <v>685607.17</v>
      </c>
      <c r="N181" s="2">
        <f t="shared" si="3"/>
        <v>1457223.9699999983</v>
      </c>
      <c r="O181" s="9" t="s">
        <v>4</v>
      </c>
    </row>
    <row r="182" spans="1:15" x14ac:dyDescent="0.2">
      <c r="A182">
        <v>19</v>
      </c>
      <c r="B182">
        <v>4</v>
      </c>
      <c r="C182" s="2">
        <v>5</v>
      </c>
      <c r="D182" s="2">
        <v>2</v>
      </c>
      <c r="E182" s="2">
        <v>1</v>
      </c>
      <c r="F182" s="2" t="s">
        <v>4</v>
      </c>
      <c r="G182" s="2">
        <v>241.399999999459</v>
      </c>
      <c r="H182" s="2" t="s">
        <v>8</v>
      </c>
      <c r="I182" s="2">
        <v>274275.99999999697</v>
      </c>
      <c r="J182" s="2">
        <v>4000</v>
      </c>
      <c r="K182" s="2">
        <v>60</v>
      </c>
      <c r="L182" s="2">
        <v>0</v>
      </c>
      <c r="M182" s="2">
        <v>558409.97</v>
      </c>
      <c r="N182" s="2">
        <f t="shared" si="3"/>
        <v>832927.36999999639</v>
      </c>
      <c r="O182" s="9" t="s">
        <v>5</v>
      </c>
    </row>
    <row r="183" spans="1:15" x14ac:dyDescent="0.2">
      <c r="A183">
        <v>20</v>
      </c>
      <c r="B183">
        <v>4</v>
      </c>
      <c r="C183" s="2">
        <v>5</v>
      </c>
      <c r="D183" s="2">
        <v>2</v>
      </c>
      <c r="E183" s="2">
        <v>2</v>
      </c>
      <c r="F183" s="2" t="s">
        <v>4</v>
      </c>
      <c r="G183" s="2">
        <v>301.59999999952402</v>
      </c>
      <c r="H183" s="2" t="s">
        <v>8</v>
      </c>
      <c r="I183" s="2">
        <v>556574.00000000105</v>
      </c>
      <c r="J183" s="2">
        <v>4000</v>
      </c>
      <c r="K183" s="2">
        <v>60</v>
      </c>
      <c r="L183" s="2">
        <v>0</v>
      </c>
      <c r="M183" s="2">
        <v>560409.56999999995</v>
      </c>
      <c r="N183" s="2">
        <f t="shared" si="3"/>
        <v>1117285.1700000004</v>
      </c>
      <c r="O183" s="9" t="s">
        <v>4</v>
      </c>
    </row>
    <row r="184" spans="1:15" x14ac:dyDescent="0.2">
      <c r="A184">
        <v>21</v>
      </c>
      <c r="B184">
        <v>4</v>
      </c>
      <c r="C184" s="2">
        <v>5</v>
      </c>
      <c r="D184" s="2">
        <v>2</v>
      </c>
      <c r="E184" s="2">
        <v>3</v>
      </c>
      <c r="F184" s="2" t="s">
        <v>4</v>
      </c>
      <c r="G184" s="2">
        <v>295.000000000201</v>
      </c>
      <c r="H184" s="2" t="s">
        <v>8</v>
      </c>
      <c r="I184" s="2">
        <v>1036061</v>
      </c>
      <c r="J184" s="2">
        <v>4000</v>
      </c>
      <c r="K184" s="2">
        <v>60</v>
      </c>
      <c r="L184" s="2">
        <v>0</v>
      </c>
      <c r="M184" s="2">
        <v>563048.77</v>
      </c>
      <c r="N184" s="2">
        <f t="shared" si="3"/>
        <v>1599404.7700000003</v>
      </c>
      <c r="O184" s="9" t="s">
        <v>4</v>
      </c>
    </row>
    <row r="185" spans="1:15" x14ac:dyDescent="0.2">
      <c r="A185">
        <v>22</v>
      </c>
      <c r="B185">
        <v>4</v>
      </c>
      <c r="C185" s="2">
        <v>5</v>
      </c>
      <c r="D185" s="2">
        <v>3</v>
      </c>
      <c r="E185" s="2">
        <v>1</v>
      </c>
      <c r="F185" s="2" t="s">
        <v>4</v>
      </c>
      <c r="G185" s="2">
        <v>284.20000000011203</v>
      </c>
      <c r="H185" s="2" t="s">
        <v>8</v>
      </c>
      <c r="I185" s="2">
        <v>788309.00000000198</v>
      </c>
      <c r="J185" s="2">
        <v>4000</v>
      </c>
      <c r="K185" s="2">
        <v>60</v>
      </c>
      <c r="L185" s="2">
        <v>0</v>
      </c>
      <c r="M185" s="2">
        <v>619849.97</v>
      </c>
      <c r="N185" s="2">
        <f t="shared" si="3"/>
        <v>1408443.170000002</v>
      </c>
      <c r="O185" s="9" t="s">
        <v>4</v>
      </c>
    </row>
    <row r="186" spans="1:15" x14ac:dyDescent="0.2">
      <c r="A186">
        <v>23</v>
      </c>
      <c r="B186">
        <v>4</v>
      </c>
      <c r="C186" s="2">
        <v>5</v>
      </c>
      <c r="D186" s="2">
        <v>3</v>
      </c>
      <c r="E186" s="2">
        <v>2</v>
      </c>
      <c r="F186" s="2" t="s">
        <v>4</v>
      </c>
      <c r="G186" s="2">
        <v>292.800000000426</v>
      </c>
      <c r="H186" s="2" t="s">
        <v>8</v>
      </c>
      <c r="I186" s="2">
        <v>713013</v>
      </c>
      <c r="J186" s="2">
        <v>4000</v>
      </c>
      <c r="K186" s="2">
        <v>60</v>
      </c>
      <c r="L186" s="2">
        <v>0</v>
      </c>
      <c r="M186" s="2">
        <v>736649.17</v>
      </c>
      <c r="N186" s="2">
        <f t="shared" si="3"/>
        <v>1449954.9700000004</v>
      </c>
      <c r="O186" s="9" t="s">
        <v>4</v>
      </c>
    </row>
    <row r="187" spans="1:15" x14ac:dyDescent="0.2">
      <c r="A187">
        <v>24</v>
      </c>
      <c r="B187">
        <v>4</v>
      </c>
      <c r="C187" s="2">
        <v>5</v>
      </c>
      <c r="D187" s="2">
        <v>3</v>
      </c>
      <c r="E187" s="2">
        <v>3</v>
      </c>
      <c r="F187" s="2" t="s">
        <v>4</v>
      </c>
      <c r="G187" s="2">
        <v>352.60000000043601</v>
      </c>
      <c r="H187" s="2" t="s">
        <v>8</v>
      </c>
      <c r="I187" s="2">
        <v>1699718</v>
      </c>
      <c r="J187" s="2">
        <v>4000</v>
      </c>
      <c r="K187" s="2">
        <v>60</v>
      </c>
      <c r="L187" s="2">
        <v>0</v>
      </c>
      <c r="M187" s="2">
        <v>529929.97</v>
      </c>
      <c r="N187" s="2">
        <f t="shared" si="3"/>
        <v>2230000.5700000003</v>
      </c>
      <c r="O187" s="9" t="s">
        <v>4</v>
      </c>
    </row>
    <row r="188" spans="1:15" x14ac:dyDescent="0.2">
      <c r="A188">
        <v>25</v>
      </c>
      <c r="B188">
        <v>4</v>
      </c>
      <c r="C188" s="2">
        <v>6</v>
      </c>
      <c r="D188" s="2">
        <v>3</v>
      </c>
      <c r="E188" s="2">
        <v>1</v>
      </c>
      <c r="F188" s="2" t="s">
        <v>4</v>
      </c>
      <c r="G188" s="2">
        <v>315.00000000015399</v>
      </c>
      <c r="H188" s="2" t="s">
        <v>8</v>
      </c>
      <c r="I188" s="2">
        <v>748591.99999999895</v>
      </c>
      <c r="J188" s="2">
        <v>4000</v>
      </c>
      <c r="K188" s="2">
        <v>60</v>
      </c>
      <c r="L188" s="2">
        <v>0</v>
      </c>
      <c r="M188" s="2">
        <v>574809.97</v>
      </c>
      <c r="N188" s="2">
        <f t="shared" si="3"/>
        <v>1323716.969999999</v>
      </c>
      <c r="O188" s="9" t="s">
        <v>4</v>
      </c>
    </row>
    <row r="189" spans="1:15" x14ac:dyDescent="0.2">
      <c r="A189">
        <v>26</v>
      </c>
      <c r="B189">
        <v>4</v>
      </c>
      <c r="C189" s="2">
        <v>6</v>
      </c>
      <c r="D189" s="2">
        <v>3</v>
      </c>
      <c r="E189" s="2">
        <v>2</v>
      </c>
      <c r="F189" s="2" t="s">
        <v>4</v>
      </c>
      <c r="G189" s="2">
        <v>324.400000000224</v>
      </c>
      <c r="H189" s="2" t="s">
        <v>8</v>
      </c>
      <c r="I189" s="2">
        <v>1090027</v>
      </c>
      <c r="J189" s="2">
        <v>4000</v>
      </c>
      <c r="K189" s="2">
        <v>60</v>
      </c>
      <c r="L189" s="2">
        <v>0</v>
      </c>
      <c r="M189" s="2">
        <v>558331.17000000004</v>
      </c>
      <c r="N189" s="2">
        <f t="shared" si="3"/>
        <v>1648682.5700000003</v>
      </c>
      <c r="O189" s="9" t="s">
        <v>4</v>
      </c>
    </row>
    <row r="190" spans="1:15" x14ac:dyDescent="0.2">
      <c r="A190">
        <v>27</v>
      </c>
      <c r="B190">
        <v>4</v>
      </c>
      <c r="C190" s="2">
        <v>6</v>
      </c>
      <c r="D190" s="2">
        <v>3</v>
      </c>
      <c r="E190" s="2">
        <v>3</v>
      </c>
      <c r="F190" s="2" t="s">
        <v>4</v>
      </c>
      <c r="G190" s="2">
        <v>408.40000000024202</v>
      </c>
      <c r="H190" s="2" t="s">
        <v>8</v>
      </c>
      <c r="I190" s="2">
        <v>1930913</v>
      </c>
      <c r="J190" s="2">
        <v>4000</v>
      </c>
      <c r="K190" s="2">
        <v>60</v>
      </c>
      <c r="L190" s="2">
        <v>0</v>
      </c>
      <c r="M190" s="2">
        <v>584245.97</v>
      </c>
      <c r="N190" s="2">
        <f t="shared" si="3"/>
        <v>2515567.37</v>
      </c>
      <c r="O190" s="9" t="s">
        <v>4</v>
      </c>
    </row>
    <row r="191" spans="1:15" x14ac:dyDescent="0.2">
      <c r="A191">
        <v>1</v>
      </c>
      <c r="B191">
        <v>4</v>
      </c>
      <c r="C191" s="2">
        <v>3</v>
      </c>
      <c r="D191" s="2">
        <v>2</v>
      </c>
      <c r="E191" s="2">
        <v>1</v>
      </c>
      <c r="F191" s="2" t="s">
        <v>4</v>
      </c>
      <c r="G191" s="2">
        <v>686.60000000022603</v>
      </c>
      <c r="H191" s="2" t="s">
        <v>8</v>
      </c>
      <c r="I191" s="2">
        <v>133155</v>
      </c>
      <c r="J191" s="2">
        <v>2000</v>
      </c>
      <c r="K191" s="2">
        <v>100</v>
      </c>
      <c r="L191" s="2">
        <v>0</v>
      </c>
      <c r="M191" s="2">
        <v>448809.57</v>
      </c>
      <c r="N191" s="2">
        <f t="shared" si="3"/>
        <v>582651.17000000016</v>
      </c>
      <c r="O191" s="2" t="s">
        <v>5</v>
      </c>
    </row>
    <row r="192" spans="1:15" x14ac:dyDescent="0.2">
      <c r="A192">
        <v>2</v>
      </c>
      <c r="B192">
        <v>4</v>
      </c>
      <c r="C192" s="2">
        <v>3</v>
      </c>
      <c r="D192" s="2">
        <v>2</v>
      </c>
      <c r="E192" s="2">
        <v>2</v>
      </c>
      <c r="F192" s="2" t="s">
        <v>4</v>
      </c>
      <c r="G192" s="2">
        <v>595.39999999991301</v>
      </c>
      <c r="H192" s="2" t="s">
        <v>8</v>
      </c>
      <c r="I192" s="2">
        <v>199936.00000000099</v>
      </c>
      <c r="J192" s="2">
        <v>2000</v>
      </c>
      <c r="K192" s="2">
        <v>100</v>
      </c>
      <c r="L192" s="2">
        <v>0</v>
      </c>
      <c r="M192" s="2">
        <v>365247.97</v>
      </c>
      <c r="N192" s="2">
        <f t="shared" si="3"/>
        <v>565779.37000000081</v>
      </c>
      <c r="O192" s="2" t="s">
        <v>4</v>
      </c>
    </row>
    <row r="193" spans="1:15" x14ac:dyDescent="0.2">
      <c r="A193">
        <v>3</v>
      </c>
      <c r="B193">
        <v>4</v>
      </c>
      <c r="C193" s="2">
        <v>3</v>
      </c>
      <c r="D193" s="2">
        <v>2</v>
      </c>
      <c r="E193" s="2">
        <v>3</v>
      </c>
      <c r="F193" s="2" t="s">
        <v>4</v>
      </c>
      <c r="G193" s="2">
        <v>510.39999999993302</v>
      </c>
      <c r="H193" s="2" t="s">
        <v>8</v>
      </c>
      <c r="I193" s="2">
        <v>165412</v>
      </c>
      <c r="J193" s="2">
        <v>2000</v>
      </c>
      <c r="K193" s="2">
        <v>100</v>
      </c>
      <c r="L193" s="2">
        <v>0</v>
      </c>
      <c r="M193" s="2">
        <v>428969.57</v>
      </c>
      <c r="N193" s="2">
        <f t="shared" si="3"/>
        <v>594891.97</v>
      </c>
      <c r="O193" s="2" t="s">
        <v>4</v>
      </c>
    </row>
    <row r="194" spans="1:15" x14ac:dyDescent="0.2">
      <c r="A194">
        <v>4</v>
      </c>
      <c r="B194">
        <v>4</v>
      </c>
      <c r="C194" s="2">
        <v>3</v>
      </c>
      <c r="D194" s="2">
        <v>3</v>
      </c>
      <c r="E194" s="2">
        <v>1</v>
      </c>
      <c r="F194" s="2" t="s">
        <v>4</v>
      </c>
      <c r="G194" s="2">
        <v>455.79999999958397</v>
      </c>
      <c r="H194" s="2" t="s">
        <v>8</v>
      </c>
      <c r="I194" s="2">
        <v>162882</v>
      </c>
      <c r="J194" s="2">
        <v>2000</v>
      </c>
      <c r="K194" s="2">
        <v>100</v>
      </c>
      <c r="L194" s="2">
        <v>0</v>
      </c>
      <c r="M194" s="2">
        <v>450769.97</v>
      </c>
      <c r="N194" s="2">
        <f t="shared" si="3"/>
        <v>614107.76999999955</v>
      </c>
      <c r="O194" s="2" t="s">
        <v>4</v>
      </c>
    </row>
    <row r="195" spans="1:15" x14ac:dyDescent="0.2">
      <c r="A195">
        <v>5</v>
      </c>
      <c r="B195">
        <v>4</v>
      </c>
      <c r="C195" s="2">
        <v>3</v>
      </c>
      <c r="D195" s="2">
        <v>3</v>
      </c>
      <c r="E195" s="2">
        <v>2</v>
      </c>
      <c r="F195" s="2" t="s">
        <v>4</v>
      </c>
      <c r="G195" s="2">
        <v>514.60000000034302</v>
      </c>
      <c r="H195" s="2" t="s">
        <v>8</v>
      </c>
      <c r="I195" s="2">
        <v>141655.99999999901</v>
      </c>
      <c r="J195" s="2">
        <v>2000</v>
      </c>
      <c r="K195" s="2">
        <v>100</v>
      </c>
      <c r="L195" s="2">
        <v>0</v>
      </c>
      <c r="M195" s="2">
        <v>350808.37</v>
      </c>
      <c r="N195" s="2">
        <f t="shared" si="3"/>
        <v>492978.96999999933</v>
      </c>
      <c r="O195" s="2" t="s">
        <v>4</v>
      </c>
    </row>
    <row r="196" spans="1:15" x14ac:dyDescent="0.2">
      <c r="A196">
        <v>6</v>
      </c>
      <c r="B196">
        <v>4</v>
      </c>
      <c r="C196" s="2">
        <v>3</v>
      </c>
      <c r="D196" s="2">
        <v>3</v>
      </c>
      <c r="E196" s="2">
        <v>3</v>
      </c>
      <c r="F196" s="2" t="s">
        <v>4</v>
      </c>
      <c r="G196" s="2">
        <v>535.59999999990305</v>
      </c>
      <c r="H196" s="2" t="s">
        <v>8</v>
      </c>
      <c r="I196" s="2">
        <v>373666</v>
      </c>
      <c r="J196" s="2">
        <v>2000</v>
      </c>
      <c r="K196" s="2">
        <v>100</v>
      </c>
      <c r="L196" s="2">
        <v>0</v>
      </c>
      <c r="M196" s="2">
        <v>455046.77</v>
      </c>
      <c r="N196" s="2">
        <f t="shared" si="3"/>
        <v>829248.36999999988</v>
      </c>
      <c r="O196" s="2" t="s">
        <v>4</v>
      </c>
    </row>
    <row r="197" spans="1:15" x14ac:dyDescent="0.2">
      <c r="A197">
        <v>7</v>
      </c>
      <c r="B197">
        <v>4</v>
      </c>
      <c r="C197" s="2">
        <v>4</v>
      </c>
      <c r="D197" s="2">
        <v>2</v>
      </c>
      <c r="E197" s="2">
        <v>1</v>
      </c>
      <c r="F197" s="2" t="s">
        <v>4</v>
      </c>
      <c r="G197" s="2">
        <v>354.799999999855</v>
      </c>
      <c r="H197" s="2" t="s">
        <v>8</v>
      </c>
      <c r="I197" s="2">
        <v>163982.00000000099</v>
      </c>
      <c r="J197" s="2">
        <v>2000</v>
      </c>
      <c r="K197" s="2">
        <v>100</v>
      </c>
      <c r="L197" s="2">
        <v>0</v>
      </c>
      <c r="M197" s="2">
        <v>361049.17</v>
      </c>
      <c r="N197" s="2">
        <f t="shared" si="3"/>
        <v>525385.9700000009</v>
      </c>
      <c r="O197" s="2" t="s">
        <v>5</v>
      </c>
    </row>
    <row r="198" spans="1:15" x14ac:dyDescent="0.2">
      <c r="A198">
        <v>8</v>
      </c>
      <c r="B198">
        <v>4</v>
      </c>
      <c r="C198" s="2">
        <v>4</v>
      </c>
      <c r="D198" s="2">
        <v>2</v>
      </c>
      <c r="E198" s="2">
        <v>2</v>
      </c>
      <c r="F198" s="2" t="s">
        <v>4</v>
      </c>
      <c r="G198" s="2">
        <v>408.79999999958699</v>
      </c>
      <c r="H198" s="2" t="s">
        <v>8</v>
      </c>
      <c r="I198" s="2">
        <v>405767.00000000099</v>
      </c>
      <c r="J198" s="2">
        <v>2000</v>
      </c>
      <c r="K198" s="2">
        <v>100</v>
      </c>
      <c r="L198" s="2">
        <v>0</v>
      </c>
      <c r="M198" s="2">
        <v>371368.77</v>
      </c>
      <c r="N198" s="2">
        <f t="shared" si="3"/>
        <v>777544.57000000053</v>
      </c>
      <c r="O198" s="2" t="s">
        <v>4</v>
      </c>
    </row>
    <row r="199" spans="1:15" x14ac:dyDescent="0.2">
      <c r="A199">
        <v>9</v>
      </c>
      <c r="B199">
        <v>4</v>
      </c>
      <c r="C199" s="2">
        <v>4</v>
      </c>
      <c r="D199" s="2">
        <v>2</v>
      </c>
      <c r="E199" s="2">
        <v>3</v>
      </c>
      <c r="F199" s="2" t="s">
        <v>4</v>
      </c>
      <c r="G199" s="2">
        <v>315.400000000565</v>
      </c>
      <c r="H199" s="2" t="s">
        <v>8</v>
      </c>
      <c r="I199" s="2">
        <v>252100</v>
      </c>
      <c r="J199" s="2">
        <v>2000</v>
      </c>
      <c r="K199" s="2">
        <v>100</v>
      </c>
      <c r="L199" s="2">
        <v>0</v>
      </c>
      <c r="M199" s="2">
        <v>395406.77</v>
      </c>
      <c r="N199" s="2">
        <f t="shared" si="3"/>
        <v>647822.17000000062</v>
      </c>
      <c r="O199" s="2" t="s">
        <v>4</v>
      </c>
    </row>
    <row r="200" spans="1:15" x14ac:dyDescent="0.2">
      <c r="A200">
        <v>10</v>
      </c>
      <c r="B200">
        <v>4</v>
      </c>
      <c r="C200" s="2">
        <v>4</v>
      </c>
      <c r="D200" s="2">
        <v>3</v>
      </c>
      <c r="E200" s="2">
        <v>1</v>
      </c>
      <c r="F200" s="2" t="s">
        <v>4</v>
      </c>
      <c r="G200" s="2">
        <v>303.20000000010299</v>
      </c>
      <c r="H200" s="2" t="s">
        <v>8</v>
      </c>
      <c r="I200" s="2">
        <v>297907</v>
      </c>
      <c r="J200" s="2">
        <v>2000</v>
      </c>
      <c r="K200" s="2">
        <v>100</v>
      </c>
      <c r="L200" s="2">
        <v>0</v>
      </c>
      <c r="M200" s="2">
        <v>387528.77</v>
      </c>
      <c r="N200" s="2">
        <f t="shared" si="3"/>
        <v>685738.9700000002</v>
      </c>
      <c r="O200" s="2" t="s">
        <v>4</v>
      </c>
    </row>
    <row r="201" spans="1:15" x14ac:dyDescent="0.2">
      <c r="A201">
        <v>11</v>
      </c>
      <c r="B201">
        <v>4</v>
      </c>
      <c r="C201" s="2">
        <v>4</v>
      </c>
      <c r="D201" s="2">
        <v>3</v>
      </c>
      <c r="E201" s="2">
        <v>2</v>
      </c>
      <c r="F201" s="2" t="s">
        <v>4</v>
      </c>
      <c r="G201" s="2">
        <v>291.60000000025798</v>
      </c>
      <c r="H201" s="2" t="s">
        <v>8</v>
      </c>
      <c r="I201" s="2">
        <v>486182</v>
      </c>
      <c r="J201" s="2">
        <v>2000</v>
      </c>
      <c r="K201" s="2">
        <v>100</v>
      </c>
      <c r="L201" s="2">
        <v>0</v>
      </c>
      <c r="M201" s="2">
        <v>364848.37</v>
      </c>
      <c r="N201" s="2">
        <f t="shared" si="3"/>
        <v>851321.9700000002</v>
      </c>
      <c r="O201" s="2" t="s">
        <v>4</v>
      </c>
    </row>
    <row r="202" spans="1:15" x14ac:dyDescent="0.2">
      <c r="A202">
        <v>12</v>
      </c>
      <c r="B202">
        <v>4</v>
      </c>
      <c r="C202" s="2">
        <v>4</v>
      </c>
      <c r="D202" s="2">
        <v>3</v>
      </c>
      <c r="E202" s="2">
        <v>3</v>
      </c>
      <c r="F202" s="2" t="s">
        <v>4</v>
      </c>
      <c r="G202" s="2">
        <v>339.79999999971301</v>
      </c>
      <c r="H202" s="2" t="s">
        <v>8</v>
      </c>
      <c r="I202" s="2">
        <v>514257.00000000099</v>
      </c>
      <c r="J202" s="2">
        <v>2000</v>
      </c>
      <c r="K202" s="2">
        <v>100</v>
      </c>
      <c r="L202" s="2">
        <v>0</v>
      </c>
      <c r="M202" s="2">
        <v>397648.37</v>
      </c>
      <c r="N202" s="2">
        <f t="shared" si="3"/>
        <v>912245.17000000062</v>
      </c>
      <c r="O202" s="2" t="s">
        <v>4</v>
      </c>
    </row>
    <row r="203" spans="1:15" x14ac:dyDescent="0.2">
      <c r="A203">
        <v>13</v>
      </c>
      <c r="B203">
        <v>4</v>
      </c>
      <c r="C203" s="2">
        <v>4</v>
      </c>
      <c r="D203" s="2">
        <v>2</v>
      </c>
      <c r="E203" s="2">
        <v>1</v>
      </c>
      <c r="F203" s="2" t="s">
        <v>4</v>
      </c>
      <c r="G203" s="2">
        <v>225.19999999985899</v>
      </c>
      <c r="H203" s="2" t="s">
        <v>8</v>
      </c>
      <c r="I203" s="2">
        <v>231354.99999999901</v>
      </c>
      <c r="J203" s="2">
        <v>2000</v>
      </c>
      <c r="K203" s="2">
        <v>100</v>
      </c>
      <c r="L203" s="2">
        <v>0</v>
      </c>
      <c r="M203" s="2">
        <v>387729.57</v>
      </c>
      <c r="N203" s="2">
        <f t="shared" si="3"/>
        <v>619309.76999999885</v>
      </c>
      <c r="O203" s="2" t="s">
        <v>5</v>
      </c>
    </row>
    <row r="204" spans="1:15" x14ac:dyDescent="0.2">
      <c r="A204">
        <v>14</v>
      </c>
      <c r="B204">
        <v>4</v>
      </c>
      <c r="C204" s="2">
        <v>4</v>
      </c>
      <c r="D204" s="2">
        <v>2</v>
      </c>
      <c r="E204" s="2">
        <v>2</v>
      </c>
      <c r="F204" s="2" t="s">
        <v>4</v>
      </c>
      <c r="G204" s="2">
        <v>285.80000000033601</v>
      </c>
      <c r="H204" s="2" t="s">
        <v>8</v>
      </c>
      <c r="I204" s="2">
        <v>254110.00000000099</v>
      </c>
      <c r="J204" s="2">
        <v>2000</v>
      </c>
      <c r="K204" s="2">
        <v>100</v>
      </c>
      <c r="L204" s="2">
        <v>0</v>
      </c>
      <c r="M204" s="2">
        <v>357968.77</v>
      </c>
      <c r="N204" s="2">
        <f t="shared" si="3"/>
        <v>612364.57000000135</v>
      </c>
      <c r="O204" s="2" t="s">
        <v>4</v>
      </c>
    </row>
    <row r="205" spans="1:15" x14ac:dyDescent="0.2">
      <c r="A205">
        <v>15</v>
      </c>
      <c r="B205">
        <v>4</v>
      </c>
      <c r="C205" s="2">
        <v>4</v>
      </c>
      <c r="D205" s="2">
        <v>2</v>
      </c>
      <c r="E205" s="2">
        <v>3</v>
      </c>
      <c r="F205" s="2" t="s">
        <v>4</v>
      </c>
      <c r="G205" s="2">
        <v>273.80000000007999</v>
      </c>
      <c r="H205" s="2" t="s">
        <v>8</v>
      </c>
      <c r="I205" s="2">
        <v>343735.00000000099</v>
      </c>
      <c r="J205" s="2">
        <v>2000</v>
      </c>
      <c r="K205" s="2">
        <v>100</v>
      </c>
      <c r="L205" s="2">
        <v>0</v>
      </c>
      <c r="M205" s="2">
        <v>358168.37</v>
      </c>
      <c r="N205" s="2">
        <f t="shared" si="3"/>
        <v>702177.17000000109</v>
      </c>
      <c r="O205" s="2" t="s">
        <v>4</v>
      </c>
    </row>
    <row r="206" spans="1:15" x14ac:dyDescent="0.2">
      <c r="A206">
        <v>16</v>
      </c>
      <c r="B206">
        <v>4</v>
      </c>
      <c r="C206" s="2">
        <v>4</v>
      </c>
      <c r="D206" s="2">
        <v>3</v>
      </c>
      <c r="E206" s="2">
        <v>1</v>
      </c>
      <c r="F206" s="2" t="s">
        <v>4</v>
      </c>
      <c r="G206" s="2">
        <v>261.80000000017901</v>
      </c>
      <c r="H206" s="2" t="s">
        <v>8</v>
      </c>
      <c r="I206" s="2">
        <v>356192.00000000198</v>
      </c>
      <c r="J206" s="2">
        <v>2000</v>
      </c>
      <c r="K206" s="2">
        <v>100</v>
      </c>
      <c r="L206" s="2">
        <v>0</v>
      </c>
      <c r="M206" s="2">
        <v>383528.37</v>
      </c>
      <c r="N206" s="2">
        <f t="shared" si="3"/>
        <v>739982.17000000214</v>
      </c>
      <c r="O206" s="2" t="s">
        <v>4</v>
      </c>
    </row>
    <row r="207" spans="1:15" x14ac:dyDescent="0.2">
      <c r="A207">
        <v>17</v>
      </c>
      <c r="B207">
        <v>4</v>
      </c>
      <c r="C207" s="2">
        <v>4</v>
      </c>
      <c r="D207" s="2">
        <v>3</v>
      </c>
      <c r="E207" s="2">
        <v>2</v>
      </c>
      <c r="F207" s="2" t="s">
        <v>4</v>
      </c>
      <c r="G207" s="2">
        <v>255.000000001004</v>
      </c>
      <c r="H207" s="2" t="s">
        <v>8</v>
      </c>
      <c r="I207" s="2">
        <v>274740.00000000099</v>
      </c>
      <c r="J207" s="2">
        <v>2000</v>
      </c>
      <c r="K207" s="2">
        <v>100</v>
      </c>
      <c r="L207" s="2">
        <v>0</v>
      </c>
      <c r="M207" s="2">
        <v>390729.17</v>
      </c>
      <c r="N207" s="2">
        <f t="shared" si="3"/>
        <v>665724.17000000202</v>
      </c>
      <c r="O207" s="2" t="s">
        <v>4</v>
      </c>
    </row>
    <row r="208" spans="1:15" x14ac:dyDescent="0.2">
      <c r="A208">
        <v>18</v>
      </c>
      <c r="B208">
        <v>4</v>
      </c>
      <c r="C208" s="2">
        <v>4</v>
      </c>
      <c r="D208" s="2">
        <v>3</v>
      </c>
      <c r="E208" s="2">
        <v>3</v>
      </c>
      <c r="F208" s="2" t="s">
        <v>4</v>
      </c>
      <c r="G208" s="2">
        <v>307.79999999950297</v>
      </c>
      <c r="H208" s="2" t="s">
        <v>8</v>
      </c>
      <c r="I208" s="2">
        <v>771308.99999999895</v>
      </c>
      <c r="J208" s="2">
        <v>2000</v>
      </c>
      <c r="K208" s="2">
        <v>100</v>
      </c>
      <c r="L208" s="2">
        <v>0</v>
      </c>
      <c r="M208" s="2">
        <v>430766.37</v>
      </c>
      <c r="N208" s="2">
        <f t="shared" si="3"/>
        <v>1202383.1699999985</v>
      </c>
      <c r="O208" s="2" t="s">
        <v>4</v>
      </c>
    </row>
    <row r="209" spans="1:15" x14ac:dyDescent="0.2">
      <c r="A209">
        <v>19</v>
      </c>
      <c r="B209">
        <v>4</v>
      </c>
      <c r="C209" s="2">
        <v>5</v>
      </c>
      <c r="D209" s="2">
        <v>2</v>
      </c>
      <c r="E209" s="2">
        <v>1</v>
      </c>
      <c r="F209" s="2" t="s">
        <v>4</v>
      </c>
      <c r="G209" s="2">
        <v>241.399999999459</v>
      </c>
      <c r="H209" s="2" t="s">
        <v>8</v>
      </c>
      <c r="I209" s="2">
        <v>274275.99999999697</v>
      </c>
      <c r="J209" s="2">
        <v>2000</v>
      </c>
      <c r="K209" s="2">
        <v>100</v>
      </c>
      <c r="L209" s="2">
        <v>0</v>
      </c>
      <c r="M209" s="2">
        <v>367169.17</v>
      </c>
      <c r="N209" s="2">
        <f t="shared" si="3"/>
        <v>641686.56999999634</v>
      </c>
      <c r="O209" s="2" t="s">
        <v>5</v>
      </c>
    </row>
    <row r="210" spans="1:15" x14ac:dyDescent="0.2">
      <c r="A210">
        <v>20</v>
      </c>
      <c r="B210">
        <v>4</v>
      </c>
      <c r="C210" s="2">
        <v>5</v>
      </c>
      <c r="D210" s="2">
        <v>2</v>
      </c>
      <c r="E210" s="2">
        <v>2</v>
      </c>
      <c r="F210" s="2" t="s">
        <v>4</v>
      </c>
      <c r="G210" s="2">
        <v>301.59999999952402</v>
      </c>
      <c r="H210" s="2" t="s">
        <v>8</v>
      </c>
      <c r="I210" s="2">
        <v>556574.00000000105</v>
      </c>
      <c r="J210" s="2">
        <v>2000</v>
      </c>
      <c r="K210" s="2">
        <v>100</v>
      </c>
      <c r="L210" s="2">
        <v>0</v>
      </c>
      <c r="M210" s="2">
        <v>368169.17</v>
      </c>
      <c r="N210" s="2">
        <f t="shared" si="3"/>
        <v>925044.77000000048</v>
      </c>
      <c r="O210" s="2" t="s">
        <v>4</v>
      </c>
    </row>
    <row r="211" spans="1:15" x14ac:dyDescent="0.2">
      <c r="A211">
        <v>21</v>
      </c>
      <c r="B211">
        <v>4</v>
      </c>
      <c r="C211" s="2">
        <v>5</v>
      </c>
      <c r="D211" s="2">
        <v>2</v>
      </c>
      <c r="E211" s="2">
        <v>3</v>
      </c>
      <c r="F211" s="2" t="s">
        <v>4</v>
      </c>
      <c r="G211" s="2">
        <v>295.000000000201</v>
      </c>
      <c r="H211" s="2" t="s">
        <v>8</v>
      </c>
      <c r="I211" s="2">
        <v>1036061</v>
      </c>
      <c r="J211" s="2">
        <v>2000</v>
      </c>
      <c r="K211" s="2">
        <v>100</v>
      </c>
      <c r="L211" s="2">
        <v>0</v>
      </c>
      <c r="M211" s="2">
        <v>369488.37</v>
      </c>
      <c r="N211" s="2">
        <f t="shared" ref="N211:N274" si="4">G211+M211+I211</f>
        <v>1405844.37</v>
      </c>
      <c r="O211" s="2" t="s">
        <v>4</v>
      </c>
    </row>
    <row r="212" spans="1:15" x14ac:dyDescent="0.2">
      <c r="A212">
        <v>22</v>
      </c>
      <c r="B212">
        <v>4</v>
      </c>
      <c r="C212" s="2">
        <v>5</v>
      </c>
      <c r="D212" s="2">
        <v>3</v>
      </c>
      <c r="E212" s="2">
        <v>1</v>
      </c>
      <c r="F212" s="2" t="s">
        <v>4</v>
      </c>
      <c r="G212" s="2">
        <v>284.20000000011203</v>
      </c>
      <c r="H212" s="2" t="s">
        <v>8</v>
      </c>
      <c r="I212" s="2">
        <v>788309.00000000198</v>
      </c>
      <c r="J212" s="2">
        <v>2000</v>
      </c>
      <c r="K212" s="2">
        <v>100</v>
      </c>
      <c r="L212" s="2">
        <v>0</v>
      </c>
      <c r="M212" s="2">
        <v>397889.57</v>
      </c>
      <c r="N212" s="2">
        <f t="shared" si="4"/>
        <v>1186482.7700000021</v>
      </c>
      <c r="O212" s="2" t="s">
        <v>4</v>
      </c>
    </row>
    <row r="213" spans="1:15" x14ac:dyDescent="0.2">
      <c r="A213">
        <v>23</v>
      </c>
      <c r="B213">
        <v>4</v>
      </c>
      <c r="C213" s="2">
        <v>5</v>
      </c>
      <c r="D213" s="2">
        <v>3</v>
      </c>
      <c r="E213" s="2">
        <v>2</v>
      </c>
      <c r="F213" s="2" t="s">
        <v>4</v>
      </c>
      <c r="G213" s="2">
        <v>292.800000000426</v>
      </c>
      <c r="H213" s="2" t="s">
        <v>8</v>
      </c>
      <c r="I213" s="2">
        <v>713013</v>
      </c>
      <c r="J213" s="2">
        <v>2000</v>
      </c>
      <c r="K213" s="2">
        <v>100</v>
      </c>
      <c r="L213" s="2">
        <v>0</v>
      </c>
      <c r="M213" s="2">
        <v>456289.97</v>
      </c>
      <c r="N213" s="2">
        <f t="shared" si="4"/>
        <v>1169595.7700000005</v>
      </c>
      <c r="O213" s="2" t="s">
        <v>4</v>
      </c>
    </row>
    <row r="214" spans="1:15" x14ac:dyDescent="0.2">
      <c r="A214">
        <v>24</v>
      </c>
      <c r="B214">
        <v>4</v>
      </c>
      <c r="C214" s="2">
        <v>5</v>
      </c>
      <c r="D214" s="2">
        <v>3</v>
      </c>
      <c r="E214" s="2">
        <v>3</v>
      </c>
      <c r="F214" s="2" t="s">
        <v>4</v>
      </c>
      <c r="G214" s="2">
        <v>352.60000000043601</v>
      </c>
      <c r="H214" s="2" t="s">
        <v>8</v>
      </c>
      <c r="I214" s="2">
        <v>1699718</v>
      </c>
      <c r="J214" s="2">
        <v>2000</v>
      </c>
      <c r="K214" s="2">
        <v>100</v>
      </c>
      <c r="L214" s="2">
        <v>0</v>
      </c>
      <c r="M214" s="2">
        <v>352929.57</v>
      </c>
      <c r="N214" s="2">
        <f t="shared" si="4"/>
        <v>2053000.1700000004</v>
      </c>
      <c r="O214" s="2" t="s">
        <v>4</v>
      </c>
    </row>
    <row r="215" spans="1:15" x14ac:dyDescent="0.2">
      <c r="A215">
        <v>25</v>
      </c>
      <c r="B215">
        <v>4</v>
      </c>
      <c r="C215" s="2">
        <v>6</v>
      </c>
      <c r="D215" s="2">
        <v>3</v>
      </c>
      <c r="E215" s="2">
        <v>1</v>
      </c>
      <c r="F215" s="2" t="s">
        <v>4</v>
      </c>
      <c r="G215" s="2">
        <v>315.00000000015399</v>
      </c>
      <c r="H215" s="2" t="s">
        <v>8</v>
      </c>
      <c r="I215" s="2">
        <v>748591.99999999895</v>
      </c>
      <c r="J215" s="2">
        <v>2000</v>
      </c>
      <c r="K215" s="2">
        <v>100</v>
      </c>
      <c r="L215" s="2">
        <v>0</v>
      </c>
      <c r="M215" s="2">
        <v>375369.57</v>
      </c>
      <c r="N215" s="2">
        <f t="shared" si="4"/>
        <v>1124276.5699999991</v>
      </c>
      <c r="O215" s="2" t="s">
        <v>4</v>
      </c>
    </row>
    <row r="216" spans="1:15" x14ac:dyDescent="0.2">
      <c r="A216">
        <v>26</v>
      </c>
      <c r="B216">
        <v>4</v>
      </c>
      <c r="C216" s="2">
        <v>6</v>
      </c>
      <c r="D216" s="2">
        <v>3</v>
      </c>
      <c r="E216" s="2">
        <v>2</v>
      </c>
      <c r="F216" s="2" t="s">
        <v>4</v>
      </c>
      <c r="G216" s="2">
        <v>324.400000000224</v>
      </c>
      <c r="H216" s="2" t="s">
        <v>8</v>
      </c>
      <c r="I216" s="2">
        <v>1090027</v>
      </c>
      <c r="J216" s="2">
        <v>2000</v>
      </c>
      <c r="K216" s="2">
        <v>100</v>
      </c>
      <c r="L216" s="2">
        <v>0</v>
      </c>
      <c r="M216" s="2">
        <v>367130.37</v>
      </c>
      <c r="N216" s="2">
        <f t="shared" si="4"/>
        <v>1457481.7700000003</v>
      </c>
      <c r="O216" s="2" t="s">
        <v>4</v>
      </c>
    </row>
    <row r="217" spans="1:15" x14ac:dyDescent="0.2">
      <c r="A217">
        <v>27</v>
      </c>
      <c r="B217">
        <v>4</v>
      </c>
      <c r="C217" s="2">
        <v>6</v>
      </c>
      <c r="D217" s="2">
        <v>3</v>
      </c>
      <c r="E217" s="2">
        <v>3</v>
      </c>
      <c r="F217" s="2" t="s">
        <v>4</v>
      </c>
      <c r="G217" s="2">
        <v>408.40000000024202</v>
      </c>
      <c r="H217" s="2" t="s">
        <v>8</v>
      </c>
      <c r="I217" s="2">
        <v>1930913</v>
      </c>
      <c r="J217" s="2">
        <v>2000</v>
      </c>
      <c r="K217" s="2">
        <v>100</v>
      </c>
      <c r="L217" s="2">
        <v>0</v>
      </c>
      <c r="M217" s="2">
        <v>380087.17</v>
      </c>
      <c r="N217" s="2">
        <f t="shared" si="4"/>
        <v>2311408.5700000003</v>
      </c>
      <c r="O217" s="2" t="s">
        <v>4</v>
      </c>
    </row>
    <row r="218" spans="1:15" x14ac:dyDescent="0.2">
      <c r="A218">
        <v>1</v>
      </c>
      <c r="B218">
        <v>4</v>
      </c>
      <c r="C218" s="2">
        <v>3</v>
      </c>
      <c r="D218" s="2">
        <v>2</v>
      </c>
      <c r="E218" s="2">
        <v>1</v>
      </c>
      <c r="F218" s="2" t="s">
        <v>4</v>
      </c>
      <c r="G218" s="2">
        <v>686.60000000022603</v>
      </c>
      <c r="H218" s="2" t="s">
        <v>8</v>
      </c>
      <c r="I218" s="2">
        <v>133155</v>
      </c>
      <c r="J218" s="2">
        <v>3000</v>
      </c>
      <c r="K218" s="2">
        <v>100</v>
      </c>
      <c r="L218" s="2">
        <v>0</v>
      </c>
      <c r="M218" s="2">
        <v>665247.56999999995</v>
      </c>
      <c r="N218" s="2">
        <f t="shared" si="4"/>
        <v>799089.17000000016</v>
      </c>
      <c r="O218" s="2" t="s">
        <v>5</v>
      </c>
    </row>
    <row r="219" spans="1:15" x14ac:dyDescent="0.2">
      <c r="A219">
        <v>2</v>
      </c>
      <c r="B219">
        <v>4</v>
      </c>
      <c r="C219" s="2">
        <v>3</v>
      </c>
      <c r="D219" s="2">
        <v>2</v>
      </c>
      <c r="E219" s="2">
        <v>2</v>
      </c>
      <c r="F219" s="2" t="s">
        <v>4</v>
      </c>
      <c r="G219" s="2">
        <v>595.39999999991301</v>
      </c>
      <c r="H219" s="2" t="s">
        <v>8</v>
      </c>
      <c r="I219" s="2">
        <v>199936.00000000099</v>
      </c>
      <c r="J219" s="2">
        <v>3000</v>
      </c>
      <c r="K219" s="2">
        <v>100</v>
      </c>
      <c r="L219" s="2">
        <v>0</v>
      </c>
      <c r="M219" s="2">
        <v>539908.77</v>
      </c>
      <c r="N219" s="2">
        <f t="shared" si="4"/>
        <v>740440.17000000086</v>
      </c>
      <c r="O219" s="2" t="s">
        <v>4</v>
      </c>
    </row>
    <row r="220" spans="1:15" x14ac:dyDescent="0.2">
      <c r="A220">
        <v>3</v>
      </c>
      <c r="B220">
        <v>4</v>
      </c>
      <c r="C220" s="2">
        <v>3</v>
      </c>
      <c r="D220" s="2">
        <v>2</v>
      </c>
      <c r="E220" s="2">
        <v>3</v>
      </c>
      <c r="F220" s="2" t="s">
        <v>4</v>
      </c>
      <c r="G220" s="2">
        <v>510.39999999993302</v>
      </c>
      <c r="H220" s="2" t="s">
        <v>8</v>
      </c>
      <c r="I220" s="2">
        <v>165412</v>
      </c>
      <c r="J220" s="2">
        <v>3000</v>
      </c>
      <c r="K220" s="2">
        <v>100</v>
      </c>
      <c r="L220" s="2">
        <v>0</v>
      </c>
      <c r="M220" s="2">
        <v>635488.37</v>
      </c>
      <c r="N220" s="2">
        <f t="shared" si="4"/>
        <v>801410.7699999999</v>
      </c>
      <c r="O220" s="2" t="s">
        <v>4</v>
      </c>
    </row>
    <row r="221" spans="1:15" x14ac:dyDescent="0.2">
      <c r="A221">
        <v>4</v>
      </c>
      <c r="B221">
        <v>4</v>
      </c>
      <c r="C221" s="2">
        <v>3</v>
      </c>
      <c r="D221" s="2">
        <v>3</v>
      </c>
      <c r="E221" s="2">
        <v>1</v>
      </c>
      <c r="F221" s="2" t="s">
        <v>4</v>
      </c>
      <c r="G221" s="2">
        <v>455.79999999958397</v>
      </c>
      <c r="H221" s="2" t="s">
        <v>8</v>
      </c>
      <c r="I221" s="2">
        <v>162882</v>
      </c>
      <c r="J221" s="2">
        <v>3000</v>
      </c>
      <c r="K221" s="2">
        <v>100</v>
      </c>
      <c r="L221" s="2">
        <v>0</v>
      </c>
      <c r="M221" s="2">
        <v>668187.97</v>
      </c>
      <c r="N221" s="2">
        <f t="shared" si="4"/>
        <v>831525.76999999955</v>
      </c>
      <c r="O221" s="2" t="s">
        <v>5</v>
      </c>
    </row>
    <row r="222" spans="1:15" x14ac:dyDescent="0.2">
      <c r="A222">
        <v>5</v>
      </c>
      <c r="B222">
        <v>4</v>
      </c>
      <c r="C222" s="2">
        <v>3</v>
      </c>
      <c r="D222" s="2">
        <v>3</v>
      </c>
      <c r="E222" s="2">
        <v>2</v>
      </c>
      <c r="F222" s="2" t="s">
        <v>4</v>
      </c>
      <c r="G222" s="2">
        <v>514.60000000034302</v>
      </c>
      <c r="H222" s="2" t="s">
        <v>8</v>
      </c>
      <c r="I222" s="2">
        <v>141655.99999999901</v>
      </c>
      <c r="J222" s="2">
        <v>3000</v>
      </c>
      <c r="K222" s="2">
        <v>100</v>
      </c>
      <c r="L222" s="2">
        <v>0</v>
      </c>
      <c r="M222" s="2">
        <v>518247.97</v>
      </c>
      <c r="N222" s="2">
        <f t="shared" si="4"/>
        <v>660418.56999999937</v>
      </c>
      <c r="O222" s="2" t="s">
        <v>5</v>
      </c>
    </row>
    <row r="223" spans="1:15" x14ac:dyDescent="0.2">
      <c r="A223">
        <v>6</v>
      </c>
      <c r="B223">
        <v>4</v>
      </c>
      <c r="C223" s="2">
        <v>3</v>
      </c>
      <c r="D223" s="2">
        <v>3</v>
      </c>
      <c r="E223" s="2">
        <v>3</v>
      </c>
      <c r="F223" s="2" t="s">
        <v>4</v>
      </c>
      <c r="G223" s="2">
        <v>535.59999999990305</v>
      </c>
      <c r="H223" s="2" t="s">
        <v>8</v>
      </c>
      <c r="I223" s="2">
        <v>373666</v>
      </c>
      <c r="J223" s="2">
        <v>3000</v>
      </c>
      <c r="K223" s="2">
        <v>100</v>
      </c>
      <c r="L223" s="2">
        <v>0</v>
      </c>
      <c r="M223" s="2">
        <v>674606.37</v>
      </c>
      <c r="N223" s="2">
        <f t="shared" si="4"/>
        <v>1048807.9699999997</v>
      </c>
      <c r="O223" s="2" t="s">
        <v>4</v>
      </c>
    </row>
    <row r="224" spans="1:15" x14ac:dyDescent="0.2">
      <c r="A224">
        <v>7</v>
      </c>
      <c r="B224">
        <v>4</v>
      </c>
      <c r="C224" s="2">
        <v>4</v>
      </c>
      <c r="D224" s="2">
        <v>2</v>
      </c>
      <c r="E224" s="2">
        <v>1</v>
      </c>
      <c r="F224" s="2" t="s">
        <v>4</v>
      </c>
      <c r="G224" s="2">
        <v>354.799999999855</v>
      </c>
      <c r="H224" s="2" t="s">
        <v>8</v>
      </c>
      <c r="I224" s="2">
        <v>163982.00000000099</v>
      </c>
      <c r="J224" s="2">
        <v>3000</v>
      </c>
      <c r="K224" s="2">
        <v>100</v>
      </c>
      <c r="L224" s="2">
        <v>0</v>
      </c>
      <c r="M224" s="2">
        <v>533608.37</v>
      </c>
      <c r="N224" s="2">
        <f t="shared" si="4"/>
        <v>697945.17000000086</v>
      </c>
      <c r="O224" s="2" t="s">
        <v>5</v>
      </c>
    </row>
    <row r="225" spans="1:15" x14ac:dyDescent="0.2">
      <c r="A225">
        <v>8</v>
      </c>
      <c r="B225">
        <v>4</v>
      </c>
      <c r="C225" s="2">
        <v>4</v>
      </c>
      <c r="D225" s="2">
        <v>2</v>
      </c>
      <c r="E225" s="2">
        <v>2</v>
      </c>
      <c r="F225" s="2" t="s">
        <v>4</v>
      </c>
      <c r="G225" s="2">
        <v>408.79999999958699</v>
      </c>
      <c r="H225" s="2" t="s">
        <v>8</v>
      </c>
      <c r="I225" s="2">
        <v>405767.00000000099</v>
      </c>
      <c r="J225" s="2">
        <v>3000</v>
      </c>
      <c r="K225" s="2">
        <v>100</v>
      </c>
      <c r="L225" s="2">
        <v>0</v>
      </c>
      <c r="M225" s="2">
        <v>549087.17000000004</v>
      </c>
      <c r="N225" s="2">
        <f t="shared" si="4"/>
        <v>955262.97000000067</v>
      </c>
      <c r="O225" s="2" t="s">
        <v>4</v>
      </c>
    </row>
    <row r="226" spans="1:15" x14ac:dyDescent="0.2">
      <c r="A226">
        <v>9</v>
      </c>
      <c r="B226">
        <v>4</v>
      </c>
      <c r="C226" s="2">
        <v>4</v>
      </c>
      <c r="D226" s="2">
        <v>2</v>
      </c>
      <c r="E226" s="2">
        <v>3</v>
      </c>
      <c r="F226" s="2" t="s">
        <v>4</v>
      </c>
      <c r="G226" s="2">
        <v>315.400000000565</v>
      </c>
      <c r="H226" s="2" t="s">
        <v>8</v>
      </c>
      <c r="I226" s="2">
        <v>252100</v>
      </c>
      <c r="J226" s="2">
        <v>3000</v>
      </c>
      <c r="K226" s="2">
        <v>100</v>
      </c>
      <c r="L226" s="2">
        <v>0</v>
      </c>
      <c r="M226" s="2">
        <v>585148.37</v>
      </c>
      <c r="N226" s="2">
        <f t="shared" si="4"/>
        <v>837563.7700000006</v>
      </c>
      <c r="O226" s="2" t="s">
        <v>4</v>
      </c>
    </row>
    <row r="227" spans="1:15" x14ac:dyDescent="0.2">
      <c r="A227">
        <v>10</v>
      </c>
      <c r="B227">
        <v>4</v>
      </c>
      <c r="C227" s="2">
        <v>4</v>
      </c>
      <c r="D227" s="2">
        <v>3</v>
      </c>
      <c r="E227" s="2">
        <v>1</v>
      </c>
      <c r="F227" s="2" t="s">
        <v>4</v>
      </c>
      <c r="G227" s="2">
        <v>303.20000000010299</v>
      </c>
      <c r="H227" s="2" t="s">
        <v>8</v>
      </c>
      <c r="I227" s="2">
        <v>297907</v>
      </c>
      <c r="J227" s="2">
        <v>3000</v>
      </c>
      <c r="K227" s="2">
        <v>100</v>
      </c>
      <c r="L227" s="2">
        <v>0</v>
      </c>
      <c r="M227" s="2">
        <v>573328.37</v>
      </c>
      <c r="N227" s="2">
        <f t="shared" si="4"/>
        <v>871538.57000000007</v>
      </c>
      <c r="O227" s="2" t="s">
        <v>4</v>
      </c>
    </row>
    <row r="228" spans="1:15" x14ac:dyDescent="0.2">
      <c r="A228">
        <v>11</v>
      </c>
      <c r="B228">
        <v>4</v>
      </c>
      <c r="C228" s="2">
        <v>4</v>
      </c>
      <c r="D228" s="2">
        <v>3</v>
      </c>
      <c r="E228" s="2">
        <v>2</v>
      </c>
      <c r="F228" s="2" t="s">
        <v>4</v>
      </c>
      <c r="G228" s="2">
        <v>291.60000000025798</v>
      </c>
      <c r="H228" s="2" t="s">
        <v>8</v>
      </c>
      <c r="I228" s="2">
        <v>486182</v>
      </c>
      <c r="J228" s="2">
        <v>3000</v>
      </c>
      <c r="K228" s="2">
        <v>100</v>
      </c>
      <c r="L228" s="2">
        <v>0</v>
      </c>
      <c r="M228" s="2">
        <v>539307.17000000004</v>
      </c>
      <c r="N228" s="2">
        <f t="shared" si="4"/>
        <v>1025780.7700000003</v>
      </c>
      <c r="O228" s="2" t="s">
        <v>4</v>
      </c>
    </row>
    <row r="229" spans="1:15" x14ac:dyDescent="0.2">
      <c r="A229">
        <v>12</v>
      </c>
      <c r="B229">
        <v>4</v>
      </c>
      <c r="C229" s="2">
        <v>4</v>
      </c>
      <c r="D229" s="2">
        <v>3</v>
      </c>
      <c r="E229" s="2">
        <v>3</v>
      </c>
      <c r="F229" s="2" t="s">
        <v>4</v>
      </c>
      <c r="G229" s="2">
        <v>339.79999999971301</v>
      </c>
      <c r="H229" s="2" t="s">
        <v>8</v>
      </c>
      <c r="I229" s="2">
        <v>514257.00000000099</v>
      </c>
      <c r="J229" s="2">
        <v>3000</v>
      </c>
      <c r="K229" s="2">
        <v>100</v>
      </c>
      <c r="L229" s="2">
        <v>0</v>
      </c>
      <c r="M229" s="2">
        <v>588507.97</v>
      </c>
      <c r="N229" s="2">
        <f t="shared" si="4"/>
        <v>1103104.7700000007</v>
      </c>
      <c r="O229" s="2" t="s">
        <v>4</v>
      </c>
    </row>
    <row r="230" spans="1:15" x14ac:dyDescent="0.2">
      <c r="A230">
        <v>13</v>
      </c>
      <c r="B230">
        <v>4</v>
      </c>
      <c r="C230" s="2">
        <v>4</v>
      </c>
      <c r="D230" s="2">
        <v>2</v>
      </c>
      <c r="E230" s="2">
        <v>1</v>
      </c>
      <c r="F230" s="2" t="s">
        <v>4</v>
      </c>
      <c r="G230" s="2">
        <v>225.19999999985899</v>
      </c>
      <c r="H230" s="2" t="s">
        <v>8</v>
      </c>
      <c r="I230" s="2">
        <v>231354.99999999901</v>
      </c>
      <c r="J230" s="2">
        <v>3000</v>
      </c>
      <c r="K230" s="2">
        <v>100</v>
      </c>
      <c r="L230" s="2">
        <v>0</v>
      </c>
      <c r="M230" s="2">
        <v>573628.37</v>
      </c>
      <c r="N230" s="2">
        <f t="shared" si="4"/>
        <v>805208.5699999989</v>
      </c>
      <c r="O230" s="2" t="s">
        <v>5</v>
      </c>
    </row>
    <row r="231" spans="1:15" x14ac:dyDescent="0.2">
      <c r="A231">
        <v>14</v>
      </c>
      <c r="B231">
        <v>4</v>
      </c>
      <c r="C231" s="2">
        <v>4</v>
      </c>
      <c r="D231" s="2">
        <v>2</v>
      </c>
      <c r="E231" s="2">
        <v>2</v>
      </c>
      <c r="F231" s="2" t="s">
        <v>4</v>
      </c>
      <c r="G231" s="2">
        <v>285.80000000033601</v>
      </c>
      <c r="H231" s="2" t="s">
        <v>8</v>
      </c>
      <c r="I231" s="2">
        <v>254110.00000000099</v>
      </c>
      <c r="J231" s="2">
        <v>3000</v>
      </c>
      <c r="K231" s="2">
        <v>100</v>
      </c>
      <c r="L231" s="2">
        <v>0</v>
      </c>
      <c r="M231" s="2">
        <v>528987.17000000004</v>
      </c>
      <c r="N231" s="2">
        <f t="shared" si="4"/>
        <v>783382.97000000137</v>
      </c>
      <c r="O231" s="2" t="s">
        <v>4</v>
      </c>
    </row>
    <row r="232" spans="1:15" x14ac:dyDescent="0.2">
      <c r="A232">
        <v>15</v>
      </c>
      <c r="B232">
        <v>4</v>
      </c>
      <c r="C232" s="2">
        <v>4</v>
      </c>
      <c r="D232" s="2">
        <v>2</v>
      </c>
      <c r="E232" s="2">
        <v>3</v>
      </c>
      <c r="F232" s="2" t="s">
        <v>4</v>
      </c>
      <c r="G232" s="2">
        <v>273.80000000007999</v>
      </c>
      <c r="H232" s="2" t="s">
        <v>8</v>
      </c>
      <c r="I232" s="2">
        <v>343735.00000000099</v>
      </c>
      <c r="J232" s="2">
        <v>3000</v>
      </c>
      <c r="K232" s="2">
        <v>100</v>
      </c>
      <c r="L232" s="2">
        <v>0</v>
      </c>
      <c r="M232" s="2">
        <v>529287.56999999995</v>
      </c>
      <c r="N232" s="2">
        <f t="shared" si="4"/>
        <v>873296.37000000104</v>
      </c>
      <c r="O232" s="2" t="s">
        <v>4</v>
      </c>
    </row>
    <row r="233" spans="1:15" x14ac:dyDescent="0.2">
      <c r="A233">
        <v>16</v>
      </c>
      <c r="B233">
        <v>4</v>
      </c>
      <c r="C233" s="2">
        <v>4</v>
      </c>
      <c r="D233" s="2">
        <v>3</v>
      </c>
      <c r="E233" s="2">
        <v>1</v>
      </c>
      <c r="F233" s="2" t="s">
        <v>4</v>
      </c>
      <c r="G233" s="2">
        <v>261.80000000017901</v>
      </c>
      <c r="H233" s="2" t="s">
        <v>8</v>
      </c>
      <c r="I233" s="2">
        <v>356192.00000000198</v>
      </c>
      <c r="J233" s="2">
        <v>3000</v>
      </c>
      <c r="K233" s="2">
        <v>100</v>
      </c>
      <c r="L233" s="2">
        <v>0</v>
      </c>
      <c r="M233" s="2">
        <v>567327.97</v>
      </c>
      <c r="N233" s="2">
        <f t="shared" si="4"/>
        <v>923781.77000000211</v>
      </c>
      <c r="O233" s="2" t="s">
        <v>4</v>
      </c>
    </row>
    <row r="234" spans="1:15" x14ac:dyDescent="0.2">
      <c r="A234">
        <v>17</v>
      </c>
      <c r="B234">
        <v>4</v>
      </c>
      <c r="C234" s="2">
        <v>4</v>
      </c>
      <c r="D234" s="2">
        <v>3</v>
      </c>
      <c r="E234" s="2">
        <v>2</v>
      </c>
      <c r="F234" s="2" t="s">
        <v>4</v>
      </c>
      <c r="G234" s="2">
        <v>255.000000001004</v>
      </c>
      <c r="H234" s="2" t="s">
        <v>8</v>
      </c>
      <c r="I234" s="2">
        <v>274740.00000000099</v>
      </c>
      <c r="J234" s="2">
        <v>3000</v>
      </c>
      <c r="K234" s="2">
        <v>100</v>
      </c>
      <c r="L234" s="2">
        <v>0</v>
      </c>
      <c r="M234" s="2">
        <v>578128.37</v>
      </c>
      <c r="N234" s="2">
        <f t="shared" si="4"/>
        <v>853123.37000000197</v>
      </c>
      <c r="O234" s="2" t="s">
        <v>5</v>
      </c>
    </row>
    <row r="235" spans="1:15" x14ac:dyDescent="0.2">
      <c r="A235">
        <v>18</v>
      </c>
      <c r="B235">
        <v>4</v>
      </c>
      <c r="C235" s="2">
        <v>4</v>
      </c>
      <c r="D235" s="2">
        <v>3</v>
      </c>
      <c r="E235" s="2">
        <v>3</v>
      </c>
      <c r="F235" s="2" t="s">
        <v>4</v>
      </c>
      <c r="G235" s="2">
        <v>307.79999999950297</v>
      </c>
      <c r="H235" s="2" t="s">
        <v>8</v>
      </c>
      <c r="I235" s="2">
        <v>771308.99999999895</v>
      </c>
      <c r="J235" s="2">
        <v>3000</v>
      </c>
      <c r="K235" s="2">
        <v>100</v>
      </c>
      <c r="L235" s="2">
        <v>0</v>
      </c>
      <c r="M235" s="2">
        <v>638185.97</v>
      </c>
      <c r="N235" s="2">
        <f t="shared" si="4"/>
        <v>1409802.7699999984</v>
      </c>
      <c r="O235" s="2" t="s">
        <v>4</v>
      </c>
    </row>
    <row r="236" spans="1:15" x14ac:dyDescent="0.2">
      <c r="A236">
        <v>19</v>
      </c>
      <c r="B236">
        <v>4</v>
      </c>
      <c r="C236" s="2">
        <v>5</v>
      </c>
      <c r="D236" s="2">
        <v>2</v>
      </c>
      <c r="E236" s="2">
        <v>1</v>
      </c>
      <c r="F236" s="2" t="s">
        <v>4</v>
      </c>
      <c r="G236" s="2">
        <v>241.399999999459</v>
      </c>
      <c r="H236" s="2" t="s">
        <v>8</v>
      </c>
      <c r="I236" s="2">
        <v>274275.99999999697</v>
      </c>
      <c r="J236" s="2">
        <v>3000</v>
      </c>
      <c r="K236" s="2">
        <v>100</v>
      </c>
      <c r="L236" s="2">
        <v>0</v>
      </c>
      <c r="M236" s="2">
        <v>542787.97</v>
      </c>
      <c r="N236" s="2">
        <f t="shared" si="4"/>
        <v>817305.36999999639</v>
      </c>
      <c r="O236" s="2" t="s">
        <v>5</v>
      </c>
    </row>
    <row r="237" spans="1:15" x14ac:dyDescent="0.2">
      <c r="A237">
        <v>20</v>
      </c>
      <c r="B237">
        <v>4</v>
      </c>
      <c r="C237" s="2">
        <v>5</v>
      </c>
      <c r="D237" s="2">
        <v>2</v>
      </c>
      <c r="E237" s="2">
        <v>2</v>
      </c>
      <c r="F237" s="2" t="s">
        <v>4</v>
      </c>
      <c r="G237" s="2">
        <v>301.59999999952402</v>
      </c>
      <c r="H237" s="2" t="s">
        <v>8</v>
      </c>
      <c r="I237" s="2">
        <v>556574.00000000105</v>
      </c>
      <c r="J237" s="2">
        <v>3000</v>
      </c>
      <c r="K237" s="2">
        <v>100</v>
      </c>
      <c r="L237" s="2">
        <v>0</v>
      </c>
      <c r="M237" s="2">
        <v>544287.56999999995</v>
      </c>
      <c r="N237" s="2">
        <f t="shared" si="4"/>
        <v>1101163.1700000004</v>
      </c>
      <c r="O237" s="2" t="s">
        <v>4</v>
      </c>
    </row>
    <row r="238" spans="1:15" x14ac:dyDescent="0.2">
      <c r="A238">
        <v>21</v>
      </c>
      <c r="B238">
        <v>4</v>
      </c>
      <c r="C238" s="2">
        <v>5</v>
      </c>
      <c r="D238" s="2">
        <v>2</v>
      </c>
      <c r="E238" s="2">
        <v>3</v>
      </c>
      <c r="F238" s="2" t="s">
        <v>4</v>
      </c>
      <c r="G238" s="2">
        <v>295.000000000201</v>
      </c>
      <c r="H238" s="2" t="s">
        <v>8</v>
      </c>
      <c r="I238" s="2">
        <v>1036061</v>
      </c>
      <c r="J238" s="2">
        <v>3000</v>
      </c>
      <c r="K238" s="2">
        <v>100</v>
      </c>
      <c r="L238" s="2">
        <v>0</v>
      </c>
      <c r="M238" s="2">
        <v>546266.77</v>
      </c>
      <c r="N238" s="2">
        <f t="shared" si="4"/>
        <v>1582622.7700000003</v>
      </c>
      <c r="O238" s="2" t="s">
        <v>4</v>
      </c>
    </row>
    <row r="239" spans="1:15" x14ac:dyDescent="0.2">
      <c r="A239">
        <v>22</v>
      </c>
      <c r="B239">
        <v>4</v>
      </c>
      <c r="C239" s="2">
        <v>5</v>
      </c>
      <c r="D239" s="2">
        <v>3</v>
      </c>
      <c r="E239" s="2">
        <v>1</v>
      </c>
      <c r="F239" s="2" t="s">
        <v>4</v>
      </c>
      <c r="G239" s="2">
        <v>284.20000000011203</v>
      </c>
      <c r="H239" s="2" t="s">
        <v>8</v>
      </c>
      <c r="I239" s="2">
        <v>788309.00000000198</v>
      </c>
      <c r="J239" s="2">
        <v>3000</v>
      </c>
      <c r="K239" s="2">
        <v>100</v>
      </c>
      <c r="L239" s="2">
        <v>0</v>
      </c>
      <c r="M239" s="2">
        <v>588868.37</v>
      </c>
      <c r="N239" s="2">
        <f t="shared" si="4"/>
        <v>1377461.5700000022</v>
      </c>
      <c r="O239" s="2" t="s">
        <v>4</v>
      </c>
    </row>
    <row r="240" spans="1:15" x14ac:dyDescent="0.2">
      <c r="A240">
        <v>23</v>
      </c>
      <c r="B240">
        <v>4</v>
      </c>
      <c r="C240" s="2">
        <v>5</v>
      </c>
      <c r="D240" s="2">
        <v>3</v>
      </c>
      <c r="E240" s="2">
        <v>2</v>
      </c>
      <c r="F240" s="2" t="s">
        <v>4</v>
      </c>
      <c r="G240" s="2">
        <v>292.800000000426</v>
      </c>
      <c r="H240" s="2" t="s">
        <v>8</v>
      </c>
      <c r="I240" s="2">
        <v>713013</v>
      </c>
      <c r="J240" s="2">
        <v>3000</v>
      </c>
      <c r="K240" s="2">
        <v>100</v>
      </c>
      <c r="L240" s="2">
        <v>0</v>
      </c>
      <c r="M240" s="2">
        <v>676469.17</v>
      </c>
      <c r="N240" s="2">
        <f t="shared" si="4"/>
        <v>1389774.9700000004</v>
      </c>
      <c r="O240" s="2" t="s">
        <v>4</v>
      </c>
    </row>
    <row r="241" spans="1:15" x14ac:dyDescent="0.2">
      <c r="A241">
        <v>24</v>
      </c>
      <c r="B241">
        <v>4</v>
      </c>
      <c r="C241" s="2">
        <v>5</v>
      </c>
      <c r="D241" s="2">
        <v>3</v>
      </c>
      <c r="E241" s="2">
        <v>3</v>
      </c>
      <c r="F241" s="2" t="s">
        <v>4</v>
      </c>
      <c r="G241" s="2">
        <v>352.60000000043601</v>
      </c>
      <c r="H241" s="2" t="s">
        <v>8</v>
      </c>
      <c r="I241" s="2">
        <v>1699718</v>
      </c>
      <c r="J241" s="2">
        <v>3000</v>
      </c>
      <c r="K241" s="2">
        <v>100</v>
      </c>
      <c r="L241" s="2">
        <v>0</v>
      </c>
      <c r="M241" s="2">
        <v>521428.77</v>
      </c>
      <c r="N241" s="2">
        <f t="shared" si="4"/>
        <v>2221499.3700000006</v>
      </c>
      <c r="O241" s="2" t="s">
        <v>4</v>
      </c>
    </row>
    <row r="242" spans="1:15" x14ac:dyDescent="0.2">
      <c r="A242">
        <v>25</v>
      </c>
      <c r="B242">
        <v>4</v>
      </c>
      <c r="C242" s="2">
        <v>6</v>
      </c>
      <c r="D242" s="2">
        <v>3</v>
      </c>
      <c r="E242" s="2">
        <v>1</v>
      </c>
      <c r="F242" s="2" t="s">
        <v>4</v>
      </c>
      <c r="G242" s="2">
        <v>315.00000000015399</v>
      </c>
      <c r="H242" s="2" t="s">
        <v>8</v>
      </c>
      <c r="I242" s="2">
        <v>748591.99999999895</v>
      </c>
      <c r="J242" s="2">
        <v>3000</v>
      </c>
      <c r="K242" s="2">
        <v>100</v>
      </c>
      <c r="L242" s="2">
        <v>0</v>
      </c>
      <c r="M242" s="2">
        <v>555088.77</v>
      </c>
      <c r="N242" s="2">
        <f t="shared" si="4"/>
        <v>1303995.7699999991</v>
      </c>
      <c r="O242" s="2" t="s">
        <v>4</v>
      </c>
    </row>
    <row r="243" spans="1:15" x14ac:dyDescent="0.2">
      <c r="A243">
        <v>26</v>
      </c>
      <c r="B243">
        <v>4</v>
      </c>
      <c r="C243" s="2">
        <v>6</v>
      </c>
      <c r="D243" s="2">
        <v>3</v>
      </c>
      <c r="E243" s="2">
        <v>2</v>
      </c>
      <c r="F243" s="2" t="s">
        <v>4</v>
      </c>
      <c r="G243" s="2">
        <v>324.400000000224</v>
      </c>
      <c r="H243" s="2" t="s">
        <v>8</v>
      </c>
      <c r="I243" s="2">
        <v>1090027</v>
      </c>
      <c r="J243" s="2">
        <v>3000</v>
      </c>
      <c r="K243" s="2">
        <v>100</v>
      </c>
      <c r="L243" s="2">
        <v>0</v>
      </c>
      <c r="M243" s="2">
        <v>542729.97</v>
      </c>
      <c r="N243" s="2">
        <f t="shared" si="4"/>
        <v>1633081.37</v>
      </c>
      <c r="O243" s="2" t="s">
        <v>4</v>
      </c>
    </row>
    <row r="244" spans="1:15" x14ac:dyDescent="0.2">
      <c r="A244">
        <v>27</v>
      </c>
      <c r="B244">
        <v>4</v>
      </c>
      <c r="C244" s="2">
        <v>6</v>
      </c>
      <c r="D244" s="2">
        <v>3</v>
      </c>
      <c r="E244" s="2">
        <v>3</v>
      </c>
      <c r="F244" s="2" t="s">
        <v>4</v>
      </c>
      <c r="G244" s="2">
        <v>408.40000000024202</v>
      </c>
      <c r="H244" s="2" t="s">
        <v>8</v>
      </c>
      <c r="I244" s="2">
        <v>1930913</v>
      </c>
      <c r="J244" s="2">
        <v>3000</v>
      </c>
      <c r="K244" s="2">
        <v>100</v>
      </c>
      <c r="L244" s="2">
        <v>0</v>
      </c>
      <c r="M244" s="2">
        <v>562165.17000000004</v>
      </c>
      <c r="N244" s="2">
        <f t="shared" si="4"/>
        <v>2493486.5700000003</v>
      </c>
      <c r="O244" s="2" t="s">
        <v>4</v>
      </c>
    </row>
    <row r="245" spans="1:15" x14ac:dyDescent="0.2">
      <c r="A245">
        <v>1</v>
      </c>
      <c r="B245">
        <v>4</v>
      </c>
      <c r="C245" s="2">
        <v>3</v>
      </c>
      <c r="D245" s="2">
        <v>2</v>
      </c>
      <c r="E245" s="2">
        <v>1</v>
      </c>
      <c r="F245" s="2" t="s">
        <v>4</v>
      </c>
      <c r="G245" s="2">
        <v>686.60000000022603</v>
      </c>
      <c r="H245" s="2" t="s">
        <v>8</v>
      </c>
      <c r="I245" s="2">
        <v>133155</v>
      </c>
      <c r="J245" s="2">
        <v>2000</v>
      </c>
      <c r="K245" s="2">
        <v>200</v>
      </c>
      <c r="L245" s="2">
        <v>0</v>
      </c>
      <c r="M245" s="2">
        <v>648807.56999999995</v>
      </c>
      <c r="N245" s="2">
        <f t="shared" si="4"/>
        <v>782649.17000000016</v>
      </c>
      <c r="O245" s="9" t="s">
        <v>5</v>
      </c>
    </row>
    <row r="246" spans="1:15" x14ac:dyDescent="0.2">
      <c r="A246">
        <v>2</v>
      </c>
      <c r="B246">
        <v>4</v>
      </c>
      <c r="C246" s="2">
        <v>3</v>
      </c>
      <c r="D246" s="2">
        <v>2</v>
      </c>
      <c r="E246" s="2">
        <v>2</v>
      </c>
      <c r="F246" s="2" t="s">
        <v>4</v>
      </c>
      <c r="G246" s="2">
        <v>595.39999999991301</v>
      </c>
      <c r="H246" s="2" t="s">
        <v>8</v>
      </c>
      <c r="I246" s="2">
        <v>199936.00000000099</v>
      </c>
      <c r="J246" s="2">
        <v>2000</v>
      </c>
      <c r="K246" s="2">
        <v>200</v>
      </c>
      <c r="L246" s="2">
        <v>0</v>
      </c>
      <c r="M246" s="2">
        <v>565247.56999999995</v>
      </c>
      <c r="N246" s="2">
        <f t="shared" si="4"/>
        <v>765778.9700000009</v>
      </c>
      <c r="O246" s="9" t="s">
        <v>4</v>
      </c>
    </row>
    <row r="247" spans="1:15" x14ac:dyDescent="0.2">
      <c r="A247">
        <v>3</v>
      </c>
      <c r="B247">
        <v>4</v>
      </c>
      <c r="C247" s="2">
        <v>3</v>
      </c>
      <c r="D247" s="2">
        <v>2</v>
      </c>
      <c r="E247" s="2">
        <v>3</v>
      </c>
      <c r="F247" s="2" t="s">
        <v>4</v>
      </c>
      <c r="G247" s="2">
        <v>510.39999999993302</v>
      </c>
      <c r="H247" s="2" t="s">
        <v>8</v>
      </c>
      <c r="I247" s="2">
        <v>165412</v>
      </c>
      <c r="J247" s="2">
        <v>2000</v>
      </c>
      <c r="K247" s="2">
        <v>200</v>
      </c>
      <c r="L247" s="2">
        <v>0</v>
      </c>
      <c r="M247" s="2">
        <v>628967.56999999995</v>
      </c>
      <c r="N247" s="2">
        <f t="shared" si="4"/>
        <v>794889.96999999986</v>
      </c>
      <c r="O247" s="9" t="s">
        <v>4</v>
      </c>
    </row>
    <row r="248" spans="1:15" x14ac:dyDescent="0.2">
      <c r="A248">
        <v>4</v>
      </c>
      <c r="B248">
        <v>4</v>
      </c>
      <c r="C248" s="2">
        <v>3</v>
      </c>
      <c r="D248" s="2">
        <v>3</v>
      </c>
      <c r="E248" s="2">
        <v>1</v>
      </c>
      <c r="F248" s="2" t="s">
        <v>4</v>
      </c>
      <c r="G248" s="2">
        <v>455.79999999958397</v>
      </c>
      <c r="H248" s="2" t="s">
        <v>8</v>
      </c>
      <c r="I248" s="2">
        <v>162882</v>
      </c>
      <c r="J248" s="2">
        <v>2000</v>
      </c>
      <c r="K248" s="2">
        <v>200</v>
      </c>
      <c r="L248" s="2">
        <v>0</v>
      </c>
      <c r="M248" s="2">
        <v>650767.56999999995</v>
      </c>
      <c r="N248" s="2">
        <f t="shared" si="4"/>
        <v>814105.36999999953</v>
      </c>
      <c r="O248" s="9" t="s">
        <v>4</v>
      </c>
    </row>
    <row r="249" spans="1:15" x14ac:dyDescent="0.2">
      <c r="A249">
        <v>5</v>
      </c>
      <c r="B249">
        <v>4</v>
      </c>
      <c r="C249" s="2">
        <v>3</v>
      </c>
      <c r="D249" s="2">
        <v>3</v>
      </c>
      <c r="E249" s="2">
        <v>2</v>
      </c>
      <c r="F249" s="2" t="s">
        <v>4</v>
      </c>
      <c r="G249" s="2">
        <v>514.60000000034302</v>
      </c>
      <c r="H249" s="2" t="s">
        <v>8</v>
      </c>
      <c r="I249" s="2">
        <v>141655.99999999901</v>
      </c>
      <c r="J249" s="2">
        <v>2000</v>
      </c>
      <c r="K249" s="2">
        <v>200</v>
      </c>
      <c r="L249" s="2">
        <v>0</v>
      </c>
      <c r="M249" s="2">
        <v>550806.77</v>
      </c>
      <c r="N249" s="2">
        <f t="shared" si="4"/>
        <v>692977.36999999941</v>
      </c>
      <c r="O249" s="9" t="s">
        <v>5</v>
      </c>
    </row>
    <row r="250" spans="1:15" x14ac:dyDescent="0.2">
      <c r="A250">
        <v>6</v>
      </c>
      <c r="B250">
        <v>4</v>
      </c>
      <c r="C250" s="2">
        <v>3</v>
      </c>
      <c r="D250" s="2">
        <v>3</v>
      </c>
      <c r="E250" s="2">
        <v>3</v>
      </c>
      <c r="F250" s="2" t="s">
        <v>4</v>
      </c>
      <c r="G250" s="2">
        <v>535.59999999990305</v>
      </c>
      <c r="H250" s="2" t="s">
        <v>8</v>
      </c>
      <c r="I250" s="2">
        <v>373666</v>
      </c>
      <c r="J250" s="2">
        <v>2000</v>
      </c>
      <c r="K250" s="2">
        <v>200</v>
      </c>
      <c r="L250" s="2">
        <v>0</v>
      </c>
      <c r="M250" s="2">
        <v>655045.56999999995</v>
      </c>
      <c r="N250" s="2">
        <f t="shared" si="4"/>
        <v>1029247.1699999998</v>
      </c>
      <c r="O250" s="9" t="s">
        <v>4</v>
      </c>
    </row>
    <row r="251" spans="1:15" x14ac:dyDescent="0.2">
      <c r="A251">
        <v>7</v>
      </c>
      <c r="B251">
        <v>4</v>
      </c>
      <c r="C251" s="2">
        <v>4</v>
      </c>
      <c r="D251" s="2">
        <v>2</v>
      </c>
      <c r="E251" s="2">
        <v>1</v>
      </c>
      <c r="F251" s="2" t="s">
        <v>4</v>
      </c>
      <c r="G251" s="2">
        <v>354.799999999855</v>
      </c>
      <c r="H251" s="2" t="s">
        <v>8</v>
      </c>
      <c r="I251" s="2">
        <v>163982.00000000099</v>
      </c>
      <c r="J251" s="2">
        <v>2000</v>
      </c>
      <c r="K251" s="2">
        <v>200</v>
      </c>
      <c r="L251" s="2">
        <v>0</v>
      </c>
      <c r="M251" s="2">
        <v>561047.97</v>
      </c>
      <c r="N251" s="2">
        <f t="shared" si="4"/>
        <v>725384.77000000072</v>
      </c>
      <c r="O251" s="9" t="s">
        <v>4</v>
      </c>
    </row>
    <row r="252" spans="1:15" x14ac:dyDescent="0.2">
      <c r="A252">
        <v>8</v>
      </c>
      <c r="B252">
        <v>4</v>
      </c>
      <c r="C252" s="2">
        <v>4</v>
      </c>
      <c r="D252" s="2">
        <v>2</v>
      </c>
      <c r="E252" s="2">
        <v>2</v>
      </c>
      <c r="F252" s="2" t="s">
        <v>4</v>
      </c>
      <c r="G252" s="2">
        <v>408.79999999958699</v>
      </c>
      <c r="H252" s="2" t="s">
        <v>8</v>
      </c>
      <c r="I252" s="2">
        <v>405767.00000000099</v>
      </c>
      <c r="J252" s="2">
        <v>2000</v>
      </c>
      <c r="K252" s="2">
        <v>200</v>
      </c>
      <c r="L252" s="2">
        <v>0</v>
      </c>
      <c r="M252" s="2">
        <v>571367.56999999995</v>
      </c>
      <c r="N252" s="2">
        <f t="shared" si="4"/>
        <v>977543.37000000058</v>
      </c>
      <c r="O252" s="9" t="s">
        <v>4</v>
      </c>
    </row>
    <row r="253" spans="1:15" x14ac:dyDescent="0.2">
      <c r="A253">
        <v>9</v>
      </c>
      <c r="B253">
        <v>4</v>
      </c>
      <c r="C253" s="2">
        <v>4</v>
      </c>
      <c r="D253" s="2">
        <v>2</v>
      </c>
      <c r="E253" s="2">
        <v>3</v>
      </c>
      <c r="F253" s="2" t="s">
        <v>4</v>
      </c>
      <c r="G253" s="2">
        <v>315.400000000565</v>
      </c>
      <c r="H253" s="2" t="s">
        <v>8</v>
      </c>
      <c r="I253" s="2">
        <v>252100</v>
      </c>
      <c r="J253" s="2">
        <v>2000</v>
      </c>
      <c r="K253" s="2">
        <v>200</v>
      </c>
      <c r="L253" s="2">
        <v>0</v>
      </c>
      <c r="M253" s="2">
        <v>595407.97</v>
      </c>
      <c r="N253" s="2">
        <f t="shared" si="4"/>
        <v>847823.37000000058</v>
      </c>
      <c r="O253" s="9" t="s">
        <v>4</v>
      </c>
    </row>
    <row r="254" spans="1:15" x14ac:dyDescent="0.2">
      <c r="A254">
        <v>10</v>
      </c>
      <c r="B254">
        <v>4</v>
      </c>
      <c r="C254" s="2">
        <v>4</v>
      </c>
      <c r="D254" s="2">
        <v>3</v>
      </c>
      <c r="E254" s="2">
        <v>1</v>
      </c>
      <c r="F254" s="2" t="s">
        <v>4</v>
      </c>
      <c r="G254" s="2">
        <v>303.20000000010299</v>
      </c>
      <c r="H254" s="2" t="s">
        <v>8</v>
      </c>
      <c r="I254" s="2">
        <v>297907</v>
      </c>
      <c r="J254" s="2">
        <v>2000</v>
      </c>
      <c r="K254" s="2">
        <v>200</v>
      </c>
      <c r="L254" s="2">
        <v>0</v>
      </c>
      <c r="M254" s="2">
        <v>587527.56999999995</v>
      </c>
      <c r="N254" s="2">
        <f t="shared" si="4"/>
        <v>885737.77</v>
      </c>
      <c r="O254" s="9" t="s">
        <v>4</v>
      </c>
    </row>
    <row r="255" spans="1:15" x14ac:dyDescent="0.2">
      <c r="A255">
        <v>11</v>
      </c>
      <c r="B255">
        <v>4</v>
      </c>
      <c r="C255" s="2">
        <v>4</v>
      </c>
      <c r="D255" s="2">
        <v>3</v>
      </c>
      <c r="E255" s="2">
        <v>2</v>
      </c>
      <c r="F255" s="2" t="s">
        <v>4</v>
      </c>
      <c r="G255" s="2">
        <v>291.60000000025798</v>
      </c>
      <c r="H255" s="2" t="s">
        <v>8</v>
      </c>
      <c r="I255" s="2">
        <v>486182</v>
      </c>
      <c r="J255" s="2">
        <v>2000</v>
      </c>
      <c r="K255" s="2">
        <v>200</v>
      </c>
      <c r="L255" s="2">
        <v>0</v>
      </c>
      <c r="M255" s="2">
        <v>564846.77</v>
      </c>
      <c r="N255" s="2">
        <f t="shared" si="4"/>
        <v>1051320.3700000001</v>
      </c>
      <c r="O255" s="9" t="s">
        <v>4</v>
      </c>
    </row>
    <row r="256" spans="1:15" x14ac:dyDescent="0.2">
      <c r="A256">
        <v>12</v>
      </c>
      <c r="B256">
        <v>4</v>
      </c>
      <c r="C256" s="2">
        <v>4</v>
      </c>
      <c r="D256" s="2">
        <v>3</v>
      </c>
      <c r="E256" s="2">
        <v>3</v>
      </c>
      <c r="F256" s="2" t="s">
        <v>4</v>
      </c>
      <c r="G256" s="2">
        <v>339.79999999971301</v>
      </c>
      <c r="H256" s="2" t="s">
        <v>8</v>
      </c>
      <c r="I256" s="2">
        <v>514257.00000000099</v>
      </c>
      <c r="J256" s="2">
        <v>2000</v>
      </c>
      <c r="K256" s="2">
        <v>200</v>
      </c>
      <c r="L256" s="2">
        <v>0</v>
      </c>
      <c r="M256" s="2">
        <v>597646.77</v>
      </c>
      <c r="N256" s="2">
        <f t="shared" si="4"/>
        <v>1112243.5700000008</v>
      </c>
      <c r="O256" s="9" t="s">
        <v>4</v>
      </c>
    </row>
    <row r="257" spans="1:15" x14ac:dyDescent="0.2">
      <c r="A257">
        <v>13</v>
      </c>
      <c r="B257">
        <v>4</v>
      </c>
      <c r="C257" s="2">
        <v>4</v>
      </c>
      <c r="D257" s="2">
        <v>2</v>
      </c>
      <c r="E257" s="2">
        <v>1</v>
      </c>
      <c r="F257" s="2" t="s">
        <v>4</v>
      </c>
      <c r="G257" s="2">
        <v>225.19999999985899</v>
      </c>
      <c r="H257" s="2" t="s">
        <v>8</v>
      </c>
      <c r="I257" s="2">
        <v>231354.99999999901</v>
      </c>
      <c r="J257" s="2">
        <v>2000</v>
      </c>
      <c r="K257" s="2">
        <v>200</v>
      </c>
      <c r="L257" s="2">
        <v>0</v>
      </c>
      <c r="M257" s="2">
        <v>587727.56999999995</v>
      </c>
      <c r="N257" s="2">
        <f t="shared" si="4"/>
        <v>819307.76999999885</v>
      </c>
      <c r="O257" s="9" t="s">
        <v>5</v>
      </c>
    </row>
    <row r="258" spans="1:15" x14ac:dyDescent="0.2">
      <c r="A258">
        <v>14</v>
      </c>
      <c r="B258">
        <v>4</v>
      </c>
      <c r="C258" s="2">
        <v>4</v>
      </c>
      <c r="D258" s="2">
        <v>2</v>
      </c>
      <c r="E258" s="2">
        <v>2</v>
      </c>
      <c r="F258" s="2" t="s">
        <v>4</v>
      </c>
      <c r="G258" s="2">
        <v>285.80000000033601</v>
      </c>
      <c r="H258" s="2" t="s">
        <v>8</v>
      </c>
      <c r="I258" s="2">
        <v>254110.00000000099</v>
      </c>
      <c r="J258" s="2">
        <v>2000</v>
      </c>
      <c r="K258" s="2">
        <v>200</v>
      </c>
      <c r="L258" s="2">
        <v>0</v>
      </c>
      <c r="M258" s="2">
        <v>557967.17000000004</v>
      </c>
      <c r="N258" s="2">
        <f t="shared" si="4"/>
        <v>812362.97000000137</v>
      </c>
      <c r="O258" s="9" t="s">
        <v>4</v>
      </c>
    </row>
    <row r="259" spans="1:15" x14ac:dyDescent="0.2">
      <c r="A259">
        <v>15</v>
      </c>
      <c r="B259">
        <v>4</v>
      </c>
      <c r="C259" s="2">
        <v>4</v>
      </c>
      <c r="D259" s="2">
        <v>2</v>
      </c>
      <c r="E259" s="2">
        <v>3</v>
      </c>
      <c r="F259" s="2" t="s">
        <v>4</v>
      </c>
      <c r="G259" s="2">
        <v>273.80000000007999</v>
      </c>
      <c r="H259" s="2" t="s">
        <v>8</v>
      </c>
      <c r="I259" s="2">
        <v>343735.00000000099</v>
      </c>
      <c r="J259" s="2">
        <v>2000</v>
      </c>
      <c r="K259" s="2">
        <v>200</v>
      </c>
      <c r="L259" s="2">
        <v>0</v>
      </c>
      <c r="M259" s="2">
        <v>558166.77</v>
      </c>
      <c r="N259" s="2">
        <f t="shared" si="4"/>
        <v>902175.570000001</v>
      </c>
      <c r="O259" s="9" t="s">
        <v>4</v>
      </c>
    </row>
    <row r="260" spans="1:15" x14ac:dyDescent="0.2">
      <c r="A260">
        <v>16</v>
      </c>
      <c r="B260">
        <v>4</v>
      </c>
      <c r="C260" s="2">
        <v>4</v>
      </c>
      <c r="D260" s="2">
        <v>3</v>
      </c>
      <c r="E260" s="2">
        <v>1</v>
      </c>
      <c r="F260" s="2" t="s">
        <v>4</v>
      </c>
      <c r="G260" s="2">
        <v>261.80000000017901</v>
      </c>
      <c r="H260" s="2" t="s">
        <v>8</v>
      </c>
      <c r="I260" s="2">
        <v>356192.00000000198</v>
      </c>
      <c r="J260" s="2">
        <v>2000</v>
      </c>
      <c r="K260" s="2">
        <v>200</v>
      </c>
      <c r="L260" s="2">
        <v>0</v>
      </c>
      <c r="M260" s="2">
        <v>583527.17000000004</v>
      </c>
      <c r="N260" s="2">
        <f t="shared" si="4"/>
        <v>939980.97000000218</v>
      </c>
      <c r="O260" s="9" t="s">
        <v>4</v>
      </c>
    </row>
    <row r="261" spans="1:15" x14ac:dyDescent="0.2">
      <c r="A261">
        <v>17</v>
      </c>
      <c r="B261">
        <v>4</v>
      </c>
      <c r="C261" s="2">
        <v>4</v>
      </c>
      <c r="D261" s="2">
        <v>3</v>
      </c>
      <c r="E261" s="2">
        <v>2</v>
      </c>
      <c r="F261" s="2" t="s">
        <v>4</v>
      </c>
      <c r="G261" s="2">
        <v>255.000000001004</v>
      </c>
      <c r="H261" s="2" t="s">
        <v>8</v>
      </c>
      <c r="I261" s="2">
        <v>274740.00000000099</v>
      </c>
      <c r="J261" s="2">
        <v>2000</v>
      </c>
      <c r="K261" s="2">
        <v>200</v>
      </c>
      <c r="L261" s="2">
        <v>0</v>
      </c>
      <c r="M261" s="2">
        <v>590727.56999999995</v>
      </c>
      <c r="N261" s="2">
        <f t="shared" si="4"/>
        <v>865722.57000000193</v>
      </c>
      <c r="O261" s="9" t="s">
        <v>4</v>
      </c>
    </row>
    <row r="262" spans="1:15" x14ac:dyDescent="0.2">
      <c r="A262">
        <v>18</v>
      </c>
      <c r="B262">
        <v>4</v>
      </c>
      <c r="C262" s="2">
        <v>4</v>
      </c>
      <c r="D262" s="2">
        <v>3</v>
      </c>
      <c r="E262" s="2">
        <v>3</v>
      </c>
      <c r="F262" s="2" t="s">
        <v>4</v>
      </c>
      <c r="G262" s="2">
        <v>307.79999999950297</v>
      </c>
      <c r="H262" s="2" t="s">
        <v>8</v>
      </c>
      <c r="I262" s="2">
        <v>771308.99999999895</v>
      </c>
      <c r="J262" s="2">
        <v>2000</v>
      </c>
      <c r="K262" s="2">
        <v>200</v>
      </c>
      <c r="L262" s="2">
        <v>0</v>
      </c>
      <c r="M262" s="2">
        <v>630764.77</v>
      </c>
      <c r="N262" s="2">
        <f t="shared" si="4"/>
        <v>1402381.5699999984</v>
      </c>
      <c r="O262" s="9" t="s">
        <v>4</v>
      </c>
    </row>
    <row r="263" spans="1:15" x14ac:dyDescent="0.2">
      <c r="A263">
        <v>19</v>
      </c>
      <c r="B263">
        <v>4</v>
      </c>
      <c r="C263" s="2">
        <v>5</v>
      </c>
      <c r="D263" s="2">
        <v>2</v>
      </c>
      <c r="E263" s="2">
        <v>1</v>
      </c>
      <c r="F263" s="2" t="s">
        <v>4</v>
      </c>
      <c r="G263" s="2">
        <v>241.399999999459</v>
      </c>
      <c r="H263" s="2" t="s">
        <v>8</v>
      </c>
      <c r="I263" s="2">
        <v>274275.99999999697</v>
      </c>
      <c r="J263" s="2">
        <v>2000</v>
      </c>
      <c r="K263" s="2">
        <v>200</v>
      </c>
      <c r="L263" s="2">
        <v>0</v>
      </c>
      <c r="M263" s="2">
        <v>567168.37</v>
      </c>
      <c r="N263" s="2">
        <f t="shared" si="4"/>
        <v>841685.76999999641</v>
      </c>
      <c r="O263" s="9" t="s">
        <v>4</v>
      </c>
    </row>
    <row r="264" spans="1:15" x14ac:dyDescent="0.2">
      <c r="A264">
        <v>20</v>
      </c>
      <c r="B264">
        <v>4</v>
      </c>
      <c r="C264" s="2">
        <v>5</v>
      </c>
      <c r="D264" s="2">
        <v>2</v>
      </c>
      <c r="E264" s="2">
        <v>2</v>
      </c>
      <c r="F264" s="2" t="s">
        <v>4</v>
      </c>
      <c r="G264" s="2">
        <v>301.59999999952402</v>
      </c>
      <c r="H264" s="2" t="s">
        <v>8</v>
      </c>
      <c r="I264" s="2">
        <v>556574.00000000105</v>
      </c>
      <c r="J264" s="2">
        <v>2000</v>
      </c>
      <c r="K264" s="2">
        <v>200</v>
      </c>
      <c r="L264" s="2">
        <v>0</v>
      </c>
      <c r="M264" s="2">
        <v>568167.56999999995</v>
      </c>
      <c r="N264" s="2">
        <f t="shared" si="4"/>
        <v>1125043.1700000004</v>
      </c>
      <c r="O264" s="9" t="s">
        <v>4</v>
      </c>
    </row>
    <row r="265" spans="1:15" x14ac:dyDescent="0.2">
      <c r="A265">
        <v>21</v>
      </c>
      <c r="B265">
        <v>4</v>
      </c>
      <c r="C265" s="2">
        <v>5</v>
      </c>
      <c r="D265" s="2">
        <v>2</v>
      </c>
      <c r="E265" s="2">
        <v>3</v>
      </c>
      <c r="F265" s="2" t="s">
        <v>4</v>
      </c>
      <c r="G265" s="2">
        <v>295.000000000201</v>
      </c>
      <c r="H265" s="2" t="s">
        <v>8</v>
      </c>
      <c r="I265" s="2">
        <v>1036061</v>
      </c>
      <c r="J265" s="2">
        <v>2000</v>
      </c>
      <c r="K265" s="2">
        <v>200</v>
      </c>
      <c r="L265" s="2">
        <v>0</v>
      </c>
      <c r="M265" s="2">
        <v>569487.17000000004</v>
      </c>
      <c r="N265" s="2">
        <f t="shared" si="4"/>
        <v>1605843.1700000004</v>
      </c>
      <c r="O265" s="9" t="s">
        <v>4</v>
      </c>
    </row>
    <row r="266" spans="1:15" x14ac:dyDescent="0.2">
      <c r="A266">
        <v>22</v>
      </c>
      <c r="B266">
        <v>4</v>
      </c>
      <c r="C266" s="2">
        <v>5</v>
      </c>
      <c r="D266" s="2">
        <v>3</v>
      </c>
      <c r="E266" s="2">
        <v>1</v>
      </c>
      <c r="F266" s="2" t="s">
        <v>4</v>
      </c>
      <c r="G266" s="2">
        <v>284.20000000011203</v>
      </c>
      <c r="H266" s="2" t="s">
        <v>8</v>
      </c>
      <c r="I266" s="2">
        <v>788309.00000000198</v>
      </c>
      <c r="J266" s="2">
        <v>2000</v>
      </c>
      <c r="K266" s="2">
        <v>200</v>
      </c>
      <c r="L266" s="2">
        <v>0</v>
      </c>
      <c r="M266" s="2">
        <v>597887.97</v>
      </c>
      <c r="N266" s="2">
        <f t="shared" si="4"/>
        <v>1386481.170000002</v>
      </c>
      <c r="O266" s="9" t="s">
        <v>4</v>
      </c>
    </row>
    <row r="267" spans="1:15" x14ac:dyDescent="0.2">
      <c r="A267">
        <v>23</v>
      </c>
      <c r="B267">
        <v>4</v>
      </c>
      <c r="C267" s="2">
        <v>5</v>
      </c>
      <c r="D267" s="2">
        <v>3</v>
      </c>
      <c r="E267" s="2">
        <v>2</v>
      </c>
      <c r="F267" s="2" t="s">
        <v>4</v>
      </c>
      <c r="G267" s="2">
        <v>292.800000000426</v>
      </c>
      <c r="H267" s="2" t="s">
        <v>8</v>
      </c>
      <c r="I267" s="2">
        <v>713013</v>
      </c>
      <c r="J267" s="2">
        <v>2000</v>
      </c>
      <c r="K267" s="2">
        <v>200</v>
      </c>
      <c r="L267" s="2">
        <v>0</v>
      </c>
      <c r="M267" s="2">
        <v>656288.77</v>
      </c>
      <c r="N267" s="2">
        <f t="shared" si="4"/>
        <v>1369594.5700000003</v>
      </c>
      <c r="O267" s="9" t="s">
        <v>4</v>
      </c>
    </row>
    <row r="268" spans="1:15" x14ac:dyDescent="0.2">
      <c r="A268">
        <v>24</v>
      </c>
      <c r="B268">
        <v>4</v>
      </c>
      <c r="C268" s="2">
        <v>5</v>
      </c>
      <c r="D268" s="2">
        <v>3</v>
      </c>
      <c r="E268" s="2">
        <v>3</v>
      </c>
      <c r="F268" s="2" t="s">
        <v>4</v>
      </c>
      <c r="G268" s="2">
        <v>352.60000000043601</v>
      </c>
      <c r="H268" s="2" t="s">
        <v>8</v>
      </c>
      <c r="I268" s="2">
        <v>1699718</v>
      </c>
      <c r="J268" s="2">
        <v>2000</v>
      </c>
      <c r="K268" s="2">
        <v>200</v>
      </c>
      <c r="L268" s="2">
        <v>0</v>
      </c>
      <c r="M268" s="2">
        <v>552927.97</v>
      </c>
      <c r="N268" s="2">
        <f t="shared" si="4"/>
        <v>2252998.5700000003</v>
      </c>
      <c r="O268" s="9" t="s">
        <v>4</v>
      </c>
    </row>
    <row r="269" spans="1:15" x14ac:dyDescent="0.2">
      <c r="A269">
        <v>25</v>
      </c>
      <c r="B269">
        <v>4</v>
      </c>
      <c r="C269" s="2">
        <v>6</v>
      </c>
      <c r="D269" s="2">
        <v>3</v>
      </c>
      <c r="E269" s="2">
        <v>1</v>
      </c>
      <c r="F269" s="2" t="s">
        <v>4</v>
      </c>
      <c r="G269" s="2">
        <v>315.00000000015399</v>
      </c>
      <c r="H269" s="2" t="s">
        <v>8</v>
      </c>
      <c r="I269" s="2">
        <v>748591.99999999895</v>
      </c>
      <c r="J269" s="2">
        <v>2000</v>
      </c>
      <c r="K269" s="2">
        <v>200</v>
      </c>
      <c r="L269" s="2">
        <v>0</v>
      </c>
      <c r="M269" s="2">
        <v>575367.97</v>
      </c>
      <c r="N269" s="2">
        <f t="shared" si="4"/>
        <v>1324274.969999999</v>
      </c>
      <c r="O269" s="9" t="s">
        <v>4</v>
      </c>
    </row>
    <row r="270" spans="1:15" x14ac:dyDescent="0.2">
      <c r="A270">
        <v>26</v>
      </c>
      <c r="B270">
        <v>4</v>
      </c>
      <c r="C270" s="2">
        <v>6</v>
      </c>
      <c r="D270" s="2">
        <v>3</v>
      </c>
      <c r="E270" s="2">
        <v>2</v>
      </c>
      <c r="F270" s="2" t="s">
        <v>4</v>
      </c>
      <c r="G270" s="2">
        <v>324.400000000224</v>
      </c>
      <c r="H270" s="2" t="s">
        <v>8</v>
      </c>
      <c r="I270" s="2">
        <v>1090027</v>
      </c>
      <c r="J270" s="2">
        <v>2000</v>
      </c>
      <c r="K270" s="2">
        <v>200</v>
      </c>
      <c r="L270" s="2">
        <v>0</v>
      </c>
      <c r="M270" s="2">
        <v>567129.17000000004</v>
      </c>
      <c r="N270" s="2">
        <f t="shared" si="4"/>
        <v>1657480.5700000003</v>
      </c>
      <c r="O270" s="9" t="s">
        <v>4</v>
      </c>
    </row>
    <row r="271" spans="1:15" x14ac:dyDescent="0.2">
      <c r="A271">
        <v>27</v>
      </c>
      <c r="B271">
        <v>4</v>
      </c>
      <c r="C271" s="2">
        <v>6</v>
      </c>
      <c r="D271" s="2">
        <v>3</v>
      </c>
      <c r="E271" s="2">
        <v>3</v>
      </c>
      <c r="F271" s="2" t="s">
        <v>4</v>
      </c>
      <c r="G271" s="2">
        <v>408.40000000024202</v>
      </c>
      <c r="H271" s="2" t="s">
        <v>8</v>
      </c>
      <c r="I271" s="2">
        <v>1930913</v>
      </c>
      <c r="J271" s="2">
        <v>2000</v>
      </c>
      <c r="K271" s="2">
        <v>200</v>
      </c>
      <c r="L271" s="2">
        <v>0</v>
      </c>
      <c r="M271" s="2">
        <v>580084.77</v>
      </c>
      <c r="N271" s="2">
        <f t="shared" si="4"/>
        <v>2511406.1700000004</v>
      </c>
      <c r="O271" s="9" t="s">
        <v>4</v>
      </c>
    </row>
    <row r="272" spans="1:15" x14ac:dyDescent="0.2">
      <c r="A272">
        <v>1</v>
      </c>
      <c r="B272">
        <v>4</v>
      </c>
      <c r="C272" s="2">
        <v>3</v>
      </c>
      <c r="D272" s="2">
        <v>2</v>
      </c>
      <c r="E272" s="2">
        <v>1</v>
      </c>
      <c r="F272" s="2" t="s">
        <v>4</v>
      </c>
      <c r="G272" s="2">
        <v>686.60000000022603</v>
      </c>
      <c r="H272" s="2" t="s">
        <v>8</v>
      </c>
      <c r="I272" s="2">
        <v>133155</v>
      </c>
      <c r="J272" s="2">
        <v>2000</v>
      </c>
      <c r="K272" s="2">
        <v>300</v>
      </c>
      <c r="L272" s="2">
        <v>0</v>
      </c>
      <c r="M272" s="2">
        <v>848807.57</v>
      </c>
      <c r="N272" s="2">
        <f t="shared" si="4"/>
        <v>982649.17000000016</v>
      </c>
      <c r="O272" s="9" t="s">
        <v>5</v>
      </c>
    </row>
    <row r="273" spans="1:15" x14ac:dyDescent="0.2">
      <c r="A273">
        <v>2</v>
      </c>
      <c r="B273">
        <v>4</v>
      </c>
      <c r="C273" s="2">
        <v>3</v>
      </c>
      <c r="D273" s="2">
        <v>2</v>
      </c>
      <c r="E273" s="2">
        <v>2</v>
      </c>
      <c r="F273" s="2" t="s">
        <v>4</v>
      </c>
      <c r="G273" s="2">
        <v>595.39999999991301</v>
      </c>
      <c r="H273" s="2" t="s">
        <v>8</v>
      </c>
      <c r="I273" s="2">
        <v>199936.00000000099</v>
      </c>
      <c r="J273" s="2">
        <v>2000</v>
      </c>
      <c r="K273" s="2">
        <v>300</v>
      </c>
      <c r="L273" s="2">
        <v>0</v>
      </c>
      <c r="M273" s="2">
        <v>765246.77</v>
      </c>
      <c r="N273" s="2">
        <f t="shared" si="4"/>
        <v>965778.17000000086</v>
      </c>
      <c r="O273" s="9" t="s">
        <v>4</v>
      </c>
    </row>
    <row r="274" spans="1:15" x14ac:dyDescent="0.2">
      <c r="A274">
        <v>3</v>
      </c>
      <c r="B274">
        <v>4</v>
      </c>
      <c r="C274" s="2">
        <v>3</v>
      </c>
      <c r="D274" s="2">
        <v>2</v>
      </c>
      <c r="E274" s="2">
        <v>3</v>
      </c>
      <c r="F274" s="2" t="s">
        <v>4</v>
      </c>
      <c r="G274" s="2">
        <v>510.39999999993302</v>
      </c>
      <c r="H274" s="2" t="s">
        <v>8</v>
      </c>
      <c r="I274" s="2">
        <v>165412</v>
      </c>
      <c r="J274" s="2">
        <v>2000</v>
      </c>
      <c r="K274" s="2">
        <v>300</v>
      </c>
      <c r="L274" s="2">
        <v>0</v>
      </c>
      <c r="M274" s="2">
        <v>828967.97</v>
      </c>
      <c r="N274" s="2">
        <f t="shared" si="4"/>
        <v>994890.36999999988</v>
      </c>
      <c r="O274" s="9" t="s">
        <v>5</v>
      </c>
    </row>
    <row r="275" spans="1:15" x14ac:dyDescent="0.2">
      <c r="A275">
        <v>4</v>
      </c>
      <c r="B275">
        <v>4</v>
      </c>
      <c r="C275" s="2">
        <v>3</v>
      </c>
      <c r="D275" s="2">
        <v>3</v>
      </c>
      <c r="E275" s="2">
        <v>1</v>
      </c>
      <c r="F275" s="2" t="s">
        <v>4</v>
      </c>
      <c r="G275" s="2">
        <v>455.79999999958397</v>
      </c>
      <c r="H275" s="2" t="s">
        <v>8</v>
      </c>
      <c r="I275" s="2">
        <v>162882</v>
      </c>
      <c r="J275" s="2">
        <v>2000</v>
      </c>
      <c r="K275" s="2">
        <v>300</v>
      </c>
      <c r="L275" s="2">
        <v>0</v>
      </c>
      <c r="M275" s="2">
        <v>850767.97</v>
      </c>
      <c r="N275" s="2">
        <f t="shared" ref="N275:N365" si="5">G275+M275+I275</f>
        <v>1014105.7699999996</v>
      </c>
      <c r="O275" s="9" t="s">
        <v>5</v>
      </c>
    </row>
    <row r="276" spans="1:15" x14ac:dyDescent="0.2">
      <c r="A276">
        <v>5</v>
      </c>
      <c r="B276">
        <v>4</v>
      </c>
      <c r="C276" s="2">
        <v>3</v>
      </c>
      <c r="D276" s="2">
        <v>3</v>
      </c>
      <c r="E276" s="2">
        <v>2</v>
      </c>
      <c r="F276" s="2" t="s">
        <v>4</v>
      </c>
      <c r="G276" s="2">
        <v>514.60000000034302</v>
      </c>
      <c r="H276" s="2" t="s">
        <v>8</v>
      </c>
      <c r="I276" s="2">
        <v>141655.99999999901</v>
      </c>
      <c r="J276" s="2">
        <v>2000</v>
      </c>
      <c r="K276" s="2">
        <v>300</v>
      </c>
      <c r="L276" s="2">
        <v>0</v>
      </c>
      <c r="M276" s="2">
        <v>750807.17</v>
      </c>
      <c r="N276" s="2">
        <f t="shared" si="5"/>
        <v>892977.76999999932</v>
      </c>
      <c r="O276" s="9" t="s">
        <v>4</v>
      </c>
    </row>
    <row r="277" spans="1:15" x14ac:dyDescent="0.2">
      <c r="A277">
        <v>6</v>
      </c>
      <c r="B277">
        <v>4</v>
      </c>
      <c r="C277" s="2">
        <v>3</v>
      </c>
      <c r="D277" s="2">
        <v>3</v>
      </c>
      <c r="E277" s="2">
        <v>3</v>
      </c>
      <c r="F277" s="2" t="s">
        <v>4</v>
      </c>
      <c r="G277" s="2">
        <v>535.59999999990305</v>
      </c>
      <c r="H277" s="2" t="s">
        <v>8</v>
      </c>
      <c r="I277" s="2">
        <v>373666</v>
      </c>
      <c r="J277" s="2">
        <v>2000</v>
      </c>
      <c r="K277" s="2">
        <v>300</v>
      </c>
      <c r="L277" s="2">
        <v>0</v>
      </c>
      <c r="M277" s="2">
        <v>855045.57</v>
      </c>
      <c r="N277" s="2">
        <f t="shared" si="5"/>
        <v>1229247.17</v>
      </c>
      <c r="O277" s="9" t="s">
        <v>4</v>
      </c>
    </row>
    <row r="278" spans="1:15" x14ac:dyDescent="0.2">
      <c r="A278">
        <v>7</v>
      </c>
      <c r="B278">
        <v>4</v>
      </c>
      <c r="C278" s="2">
        <v>4</v>
      </c>
      <c r="D278" s="2">
        <v>2</v>
      </c>
      <c r="E278" s="2">
        <v>1</v>
      </c>
      <c r="F278" s="2" t="s">
        <v>4</v>
      </c>
      <c r="G278" s="2">
        <v>354.799999999855</v>
      </c>
      <c r="H278" s="2" t="s">
        <v>8</v>
      </c>
      <c r="I278" s="2">
        <v>163982.00000000099</v>
      </c>
      <c r="J278" s="2">
        <v>2000</v>
      </c>
      <c r="K278" s="2">
        <v>300</v>
      </c>
      <c r="L278" s="2">
        <v>0</v>
      </c>
      <c r="M278" s="2">
        <v>761046.77</v>
      </c>
      <c r="N278" s="2">
        <f t="shared" si="5"/>
        <v>925383.57000000076</v>
      </c>
      <c r="O278" s="9" t="s">
        <v>5</v>
      </c>
    </row>
    <row r="279" spans="1:15" x14ac:dyDescent="0.2">
      <c r="A279">
        <v>8</v>
      </c>
      <c r="B279">
        <v>4</v>
      </c>
      <c r="C279" s="2">
        <v>4</v>
      </c>
      <c r="D279" s="2">
        <v>2</v>
      </c>
      <c r="E279" s="2">
        <v>2</v>
      </c>
      <c r="F279" s="2" t="s">
        <v>4</v>
      </c>
      <c r="G279" s="2">
        <v>408.79999999958699</v>
      </c>
      <c r="H279" s="2" t="s">
        <v>8</v>
      </c>
      <c r="I279" s="2">
        <v>405767.00000000099</v>
      </c>
      <c r="J279" s="2">
        <v>2000</v>
      </c>
      <c r="K279" s="2">
        <v>300</v>
      </c>
      <c r="L279" s="2">
        <v>0</v>
      </c>
      <c r="M279" s="2">
        <v>771366.77</v>
      </c>
      <c r="N279" s="2">
        <f t="shared" si="5"/>
        <v>1177542.5700000005</v>
      </c>
      <c r="O279" s="9" t="s">
        <v>4</v>
      </c>
    </row>
    <row r="280" spans="1:15" x14ac:dyDescent="0.2">
      <c r="A280">
        <v>9</v>
      </c>
      <c r="B280">
        <v>4</v>
      </c>
      <c r="C280" s="2">
        <v>4</v>
      </c>
      <c r="D280" s="2">
        <v>2</v>
      </c>
      <c r="E280" s="2">
        <v>3</v>
      </c>
      <c r="F280" s="2" t="s">
        <v>4</v>
      </c>
      <c r="G280" s="2">
        <v>315.400000000565</v>
      </c>
      <c r="H280" s="2" t="s">
        <v>8</v>
      </c>
      <c r="I280" s="2">
        <v>252100</v>
      </c>
      <c r="J280" s="2">
        <v>2000</v>
      </c>
      <c r="K280" s="2">
        <v>300</v>
      </c>
      <c r="L280" s="2">
        <v>0</v>
      </c>
      <c r="M280" s="2">
        <v>795405.17</v>
      </c>
      <c r="N280" s="2">
        <f t="shared" si="5"/>
        <v>1047820.5700000006</v>
      </c>
      <c r="O280" s="9" t="s">
        <v>4</v>
      </c>
    </row>
    <row r="281" spans="1:15" x14ac:dyDescent="0.2">
      <c r="A281">
        <v>10</v>
      </c>
      <c r="B281">
        <v>4</v>
      </c>
      <c r="C281" s="2">
        <v>4</v>
      </c>
      <c r="D281" s="2">
        <v>3</v>
      </c>
      <c r="E281" s="2">
        <v>1</v>
      </c>
      <c r="F281" s="2" t="s">
        <v>4</v>
      </c>
      <c r="G281" s="2">
        <v>303.20000000010299</v>
      </c>
      <c r="H281" s="2" t="s">
        <v>8</v>
      </c>
      <c r="I281" s="2">
        <v>297907</v>
      </c>
      <c r="J281" s="2">
        <v>2000</v>
      </c>
      <c r="K281" s="2">
        <v>300</v>
      </c>
      <c r="L281" s="2">
        <v>0</v>
      </c>
      <c r="M281" s="2">
        <v>787527.57</v>
      </c>
      <c r="N281" s="2">
        <f t="shared" si="5"/>
        <v>1085737.77</v>
      </c>
      <c r="O281" s="9" t="s">
        <v>4</v>
      </c>
    </row>
    <row r="282" spans="1:15" x14ac:dyDescent="0.2">
      <c r="A282">
        <v>11</v>
      </c>
      <c r="B282">
        <v>4</v>
      </c>
      <c r="C282" s="2">
        <v>4</v>
      </c>
      <c r="D282" s="2">
        <v>3</v>
      </c>
      <c r="E282" s="2">
        <v>2</v>
      </c>
      <c r="F282" s="2" t="s">
        <v>4</v>
      </c>
      <c r="G282" s="2">
        <v>291.60000000025798</v>
      </c>
      <c r="H282" s="2" t="s">
        <v>8</v>
      </c>
      <c r="I282" s="2">
        <v>486182</v>
      </c>
      <c r="J282" s="2">
        <v>2000</v>
      </c>
      <c r="K282" s="2">
        <v>300</v>
      </c>
      <c r="L282" s="2">
        <v>0</v>
      </c>
      <c r="M282" s="2">
        <v>764845.97</v>
      </c>
      <c r="N282" s="2">
        <f t="shared" si="5"/>
        <v>1251319.5700000003</v>
      </c>
      <c r="O282" s="9" t="s">
        <v>4</v>
      </c>
    </row>
    <row r="283" spans="1:15" x14ac:dyDescent="0.2">
      <c r="A283">
        <v>12</v>
      </c>
      <c r="B283">
        <v>4</v>
      </c>
      <c r="C283" s="2">
        <v>4</v>
      </c>
      <c r="D283" s="2">
        <v>3</v>
      </c>
      <c r="E283" s="2">
        <v>3</v>
      </c>
      <c r="F283" s="2" t="s">
        <v>4</v>
      </c>
      <c r="G283" s="2">
        <v>339.79999999971301</v>
      </c>
      <c r="H283" s="2" t="s">
        <v>8</v>
      </c>
      <c r="I283" s="2">
        <v>514257.00000000099</v>
      </c>
      <c r="J283" s="2">
        <v>2000</v>
      </c>
      <c r="K283" s="2">
        <v>300</v>
      </c>
      <c r="L283" s="2">
        <v>0</v>
      </c>
      <c r="M283" s="2">
        <v>797646.77</v>
      </c>
      <c r="N283" s="2">
        <f t="shared" si="5"/>
        <v>1312243.5700000008</v>
      </c>
      <c r="O283" s="9" t="s">
        <v>4</v>
      </c>
    </row>
    <row r="284" spans="1:15" x14ac:dyDescent="0.2">
      <c r="A284">
        <v>13</v>
      </c>
      <c r="B284">
        <v>4</v>
      </c>
      <c r="C284" s="2">
        <v>4</v>
      </c>
      <c r="D284" s="2">
        <v>2</v>
      </c>
      <c r="E284" s="2">
        <v>1</v>
      </c>
      <c r="F284" s="2" t="s">
        <v>4</v>
      </c>
      <c r="G284" s="2">
        <v>225.19999999985899</v>
      </c>
      <c r="H284" s="2" t="s">
        <v>8</v>
      </c>
      <c r="I284" s="2">
        <v>231354.99999999901</v>
      </c>
      <c r="J284" s="2">
        <v>2000</v>
      </c>
      <c r="K284" s="2">
        <v>300</v>
      </c>
      <c r="L284" s="2">
        <v>0</v>
      </c>
      <c r="M284" s="2">
        <v>787727.97</v>
      </c>
      <c r="N284" s="2">
        <f t="shared" si="5"/>
        <v>1019308.1699999988</v>
      </c>
      <c r="O284" s="9" t="s">
        <v>5</v>
      </c>
    </row>
    <row r="285" spans="1:15" x14ac:dyDescent="0.2">
      <c r="A285">
        <v>14</v>
      </c>
      <c r="B285">
        <v>4</v>
      </c>
      <c r="C285" s="2">
        <v>4</v>
      </c>
      <c r="D285" s="2">
        <v>2</v>
      </c>
      <c r="E285" s="2">
        <v>2</v>
      </c>
      <c r="F285" s="2" t="s">
        <v>4</v>
      </c>
      <c r="G285" s="2">
        <v>285.80000000033601</v>
      </c>
      <c r="H285" s="2" t="s">
        <v>8</v>
      </c>
      <c r="I285" s="2">
        <v>254110.00000000099</v>
      </c>
      <c r="J285" s="2">
        <v>2000</v>
      </c>
      <c r="K285" s="2">
        <v>300</v>
      </c>
      <c r="L285" s="2">
        <v>0</v>
      </c>
      <c r="M285" s="2">
        <v>757967.17</v>
      </c>
      <c r="N285" s="2">
        <f t="shared" si="5"/>
        <v>1012362.9700000014</v>
      </c>
      <c r="O285" s="9" t="s">
        <v>4</v>
      </c>
    </row>
    <row r="286" spans="1:15" x14ac:dyDescent="0.2">
      <c r="A286">
        <v>15</v>
      </c>
      <c r="B286">
        <v>4</v>
      </c>
      <c r="C286" s="2">
        <v>4</v>
      </c>
      <c r="D286" s="2">
        <v>2</v>
      </c>
      <c r="E286" s="2">
        <v>3</v>
      </c>
      <c r="F286" s="2" t="s">
        <v>4</v>
      </c>
      <c r="G286" s="2">
        <v>273.80000000007999</v>
      </c>
      <c r="H286" s="2" t="s">
        <v>8</v>
      </c>
      <c r="I286" s="2">
        <v>343735.00000000099</v>
      </c>
      <c r="J286" s="2">
        <v>2000</v>
      </c>
      <c r="K286" s="2">
        <v>300</v>
      </c>
      <c r="L286" s="2">
        <v>0</v>
      </c>
      <c r="M286" s="2">
        <v>758166.77</v>
      </c>
      <c r="N286" s="2">
        <f t="shared" si="5"/>
        <v>1102175.570000001</v>
      </c>
      <c r="O286" s="9" t="s">
        <v>4</v>
      </c>
    </row>
    <row r="287" spans="1:15" x14ac:dyDescent="0.2">
      <c r="A287">
        <v>16</v>
      </c>
      <c r="B287">
        <v>4</v>
      </c>
      <c r="C287" s="2">
        <v>4</v>
      </c>
      <c r="D287" s="2">
        <v>3</v>
      </c>
      <c r="E287" s="2">
        <v>1</v>
      </c>
      <c r="F287" s="2" t="s">
        <v>4</v>
      </c>
      <c r="G287" s="2">
        <v>261.80000000017901</v>
      </c>
      <c r="H287" s="2" t="s">
        <v>8</v>
      </c>
      <c r="I287" s="2">
        <v>356192.00000000198</v>
      </c>
      <c r="J287" s="2">
        <v>2000</v>
      </c>
      <c r="K287" s="2">
        <v>300</v>
      </c>
      <c r="L287" s="2">
        <v>0</v>
      </c>
      <c r="M287" s="2">
        <v>783527.17</v>
      </c>
      <c r="N287" s="2">
        <f t="shared" si="5"/>
        <v>1139980.9700000021</v>
      </c>
      <c r="O287" s="9" t="s">
        <v>4</v>
      </c>
    </row>
    <row r="288" spans="1:15" x14ac:dyDescent="0.2">
      <c r="A288">
        <v>17</v>
      </c>
      <c r="B288">
        <v>4</v>
      </c>
      <c r="C288" s="2">
        <v>4</v>
      </c>
      <c r="D288" s="2">
        <v>3</v>
      </c>
      <c r="E288" s="2">
        <v>2</v>
      </c>
      <c r="F288" s="2" t="s">
        <v>4</v>
      </c>
      <c r="G288" s="2">
        <v>255.000000001004</v>
      </c>
      <c r="H288" s="2" t="s">
        <v>8</v>
      </c>
      <c r="I288" s="2">
        <v>274740.00000000099</v>
      </c>
      <c r="J288" s="2">
        <v>2000</v>
      </c>
      <c r="K288" s="2">
        <v>300</v>
      </c>
      <c r="L288" s="2">
        <v>0</v>
      </c>
      <c r="M288" s="2">
        <v>790727.57</v>
      </c>
      <c r="N288" s="2">
        <f t="shared" si="5"/>
        <v>1065722.5700000019</v>
      </c>
      <c r="O288" s="9" t="s">
        <v>4</v>
      </c>
    </row>
    <row r="289" spans="1:15" x14ac:dyDescent="0.2">
      <c r="A289">
        <v>18</v>
      </c>
      <c r="B289">
        <v>4</v>
      </c>
      <c r="C289" s="2">
        <v>4</v>
      </c>
      <c r="D289" s="2">
        <v>3</v>
      </c>
      <c r="E289" s="2">
        <v>3</v>
      </c>
      <c r="F289" s="2" t="s">
        <v>4</v>
      </c>
      <c r="G289" s="2">
        <v>307.79999999950297</v>
      </c>
      <c r="H289" s="2" t="s">
        <v>8</v>
      </c>
      <c r="I289" s="2">
        <v>771308.99999999895</v>
      </c>
      <c r="J289" s="2">
        <v>2000</v>
      </c>
      <c r="K289" s="2">
        <v>300</v>
      </c>
      <c r="L289" s="2">
        <v>0</v>
      </c>
      <c r="M289" s="2">
        <v>830765.17</v>
      </c>
      <c r="N289" s="2">
        <f t="shared" si="5"/>
        <v>1602381.9699999983</v>
      </c>
      <c r="O289" s="9" t="s">
        <v>4</v>
      </c>
    </row>
    <row r="290" spans="1:15" x14ac:dyDescent="0.2">
      <c r="A290">
        <v>19</v>
      </c>
      <c r="B290">
        <v>4</v>
      </c>
      <c r="C290" s="2">
        <v>5</v>
      </c>
      <c r="D290" s="2">
        <v>2</v>
      </c>
      <c r="E290" s="2">
        <v>1</v>
      </c>
      <c r="F290" s="2" t="s">
        <v>4</v>
      </c>
      <c r="G290" s="2">
        <v>241.399999999459</v>
      </c>
      <c r="H290" s="2" t="s">
        <v>8</v>
      </c>
      <c r="I290" s="2">
        <v>274275.99999999697</v>
      </c>
      <c r="J290" s="2">
        <v>2000</v>
      </c>
      <c r="K290" s="2">
        <v>300</v>
      </c>
      <c r="L290" s="2">
        <v>0</v>
      </c>
      <c r="M290" s="2">
        <v>767167.57</v>
      </c>
      <c r="N290" s="2">
        <f t="shared" si="5"/>
        <v>1041684.9699999964</v>
      </c>
      <c r="O290" s="9" t="s">
        <v>5</v>
      </c>
    </row>
    <row r="291" spans="1:15" x14ac:dyDescent="0.2">
      <c r="A291">
        <v>20</v>
      </c>
      <c r="B291">
        <v>4</v>
      </c>
      <c r="C291" s="2">
        <v>5</v>
      </c>
      <c r="D291" s="2">
        <v>2</v>
      </c>
      <c r="E291" s="2">
        <v>2</v>
      </c>
      <c r="F291" s="2" t="s">
        <v>4</v>
      </c>
      <c r="G291" s="2">
        <v>301.59999999952402</v>
      </c>
      <c r="H291" s="2" t="s">
        <v>8</v>
      </c>
      <c r="I291" s="2">
        <v>556574.00000000105</v>
      </c>
      <c r="J291" s="2">
        <v>2000</v>
      </c>
      <c r="K291" s="2">
        <v>300</v>
      </c>
      <c r="L291" s="2">
        <v>0</v>
      </c>
      <c r="M291" s="2">
        <v>768166.77</v>
      </c>
      <c r="N291" s="2">
        <f t="shared" si="5"/>
        <v>1325042.3700000006</v>
      </c>
      <c r="O291" s="9" t="s">
        <v>4</v>
      </c>
    </row>
    <row r="292" spans="1:15" x14ac:dyDescent="0.2">
      <c r="A292">
        <v>21</v>
      </c>
      <c r="B292">
        <v>4</v>
      </c>
      <c r="C292" s="2">
        <v>5</v>
      </c>
      <c r="D292" s="2">
        <v>2</v>
      </c>
      <c r="E292" s="2">
        <v>3</v>
      </c>
      <c r="F292" s="2" t="s">
        <v>4</v>
      </c>
      <c r="G292" s="2">
        <v>295.000000000201</v>
      </c>
      <c r="H292" s="2" t="s">
        <v>8</v>
      </c>
      <c r="I292" s="2">
        <v>1036061</v>
      </c>
      <c r="J292" s="2">
        <v>2000</v>
      </c>
      <c r="K292" s="2">
        <v>300</v>
      </c>
      <c r="L292" s="2">
        <v>0</v>
      </c>
      <c r="M292" s="2">
        <v>769486.77</v>
      </c>
      <c r="N292" s="2">
        <f t="shared" si="5"/>
        <v>1805842.7700000003</v>
      </c>
      <c r="O292" s="9" t="s">
        <v>4</v>
      </c>
    </row>
    <row r="293" spans="1:15" x14ac:dyDescent="0.2">
      <c r="A293">
        <v>22</v>
      </c>
      <c r="B293">
        <v>4</v>
      </c>
      <c r="C293" s="2">
        <v>5</v>
      </c>
      <c r="D293" s="2">
        <v>3</v>
      </c>
      <c r="E293" s="2">
        <v>1</v>
      </c>
      <c r="F293" s="2" t="s">
        <v>4</v>
      </c>
      <c r="G293" s="2">
        <v>284.20000000011203</v>
      </c>
      <c r="H293" s="2" t="s">
        <v>8</v>
      </c>
      <c r="I293" s="2">
        <v>788309.00000000198</v>
      </c>
      <c r="J293" s="2">
        <v>2000</v>
      </c>
      <c r="K293" s="2">
        <v>300</v>
      </c>
      <c r="L293" s="2">
        <v>0</v>
      </c>
      <c r="M293" s="2">
        <v>797887.57</v>
      </c>
      <c r="N293" s="2">
        <f t="shared" si="5"/>
        <v>1586480.7700000019</v>
      </c>
      <c r="O293" s="9" t="s">
        <v>4</v>
      </c>
    </row>
    <row r="294" spans="1:15" x14ac:dyDescent="0.2">
      <c r="A294">
        <v>23</v>
      </c>
      <c r="B294">
        <v>4</v>
      </c>
      <c r="C294" s="2">
        <v>5</v>
      </c>
      <c r="D294" s="2">
        <v>3</v>
      </c>
      <c r="E294" s="2">
        <v>2</v>
      </c>
      <c r="F294" s="2" t="s">
        <v>4</v>
      </c>
      <c r="G294" s="2">
        <v>292.800000000426</v>
      </c>
      <c r="H294" s="2" t="s">
        <v>8</v>
      </c>
      <c r="I294" s="2">
        <v>713013</v>
      </c>
      <c r="J294" s="2">
        <v>2000</v>
      </c>
      <c r="K294" s="2">
        <v>300</v>
      </c>
      <c r="L294" s="2">
        <v>0</v>
      </c>
      <c r="M294" s="2">
        <v>856288.77</v>
      </c>
      <c r="N294" s="2">
        <f t="shared" si="5"/>
        <v>1569594.5700000003</v>
      </c>
      <c r="O294" s="9" t="s">
        <v>4</v>
      </c>
    </row>
    <row r="295" spans="1:15" x14ac:dyDescent="0.2">
      <c r="A295">
        <v>24</v>
      </c>
      <c r="B295">
        <v>4</v>
      </c>
      <c r="C295" s="2">
        <v>5</v>
      </c>
      <c r="D295" s="2">
        <v>3</v>
      </c>
      <c r="E295" s="2">
        <v>3</v>
      </c>
      <c r="F295" s="2" t="s">
        <v>4</v>
      </c>
      <c r="G295" s="2">
        <v>352.60000000043601</v>
      </c>
      <c r="H295" s="2" t="s">
        <v>8</v>
      </c>
      <c r="I295" s="2">
        <v>1699718</v>
      </c>
      <c r="J295" s="2">
        <v>2000</v>
      </c>
      <c r="K295" s="2">
        <v>300</v>
      </c>
      <c r="L295" s="2">
        <v>0</v>
      </c>
      <c r="M295" s="2">
        <v>752928.37</v>
      </c>
      <c r="N295" s="2">
        <f t="shared" si="5"/>
        <v>2452998.9700000007</v>
      </c>
      <c r="O295" s="9" t="s">
        <v>4</v>
      </c>
    </row>
    <row r="296" spans="1:15" x14ac:dyDescent="0.2">
      <c r="A296">
        <v>25</v>
      </c>
      <c r="B296">
        <v>4</v>
      </c>
      <c r="C296" s="2">
        <v>6</v>
      </c>
      <c r="D296" s="2">
        <v>3</v>
      </c>
      <c r="E296" s="2">
        <v>1</v>
      </c>
      <c r="F296" s="2" t="s">
        <v>4</v>
      </c>
      <c r="G296" s="2">
        <v>315.00000000015399</v>
      </c>
      <c r="H296" s="2" t="s">
        <v>8</v>
      </c>
      <c r="I296" s="2">
        <v>748591.99999999895</v>
      </c>
      <c r="J296" s="2">
        <v>2000</v>
      </c>
      <c r="K296" s="2">
        <v>300</v>
      </c>
      <c r="L296" s="2">
        <v>0</v>
      </c>
      <c r="M296" s="2">
        <v>775367.57</v>
      </c>
      <c r="N296" s="2">
        <f t="shared" si="5"/>
        <v>1524274.5699999989</v>
      </c>
      <c r="O296" s="9" t="s">
        <v>4</v>
      </c>
    </row>
    <row r="297" spans="1:15" x14ac:dyDescent="0.2">
      <c r="A297">
        <v>26</v>
      </c>
      <c r="B297">
        <v>4</v>
      </c>
      <c r="C297" s="2">
        <v>6</v>
      </c>
      <c r="D297" s="2">
        <v>3</v>
      </c>
      <c r="E297" s="2">
        <v>2</v>
      </c>
      <c r="F297" s="2" t="s">
        <v>4</v>
      </c>
      <c r="G297" s="2">
        <v>324.400000000224</v>
      </c>
      <c r="H297" s="2" t="s">
        <v>8</v>
      </c>
      <c r="I297" s="2">
        <v>1090027</v>
      </c>
      <c r="J297" s="2">
        <v>2000</v>
      </c>
      <c r="K297" s="2">
        <v>300</v>
      </c>
      <c r="L297" s="2">
        <v>0</v>
      </c>
      <c r="M297" s="2">
        <v>767129.17</v>
      </c>
      <c r="N297" s="2">
        <f t="shared" si="5"/>
        <v>1857480.5700000003</v>
      </c>
      <c r="O297" s="9" t="s">
        <v>4</v>
      </c>
    </row>
    <row r="298" spans="1:15" x14ac:dyDescent="0.2">
      <c r="A298">
        <v>27</v>
      </c>
      <c r="B298">
        <v>4</v>
      </c>
      <c r="C298" s="2">
        <v>6</v>
      </c>
      <c r="D298" s="2">
        <v>3</v>
      </c>
      <c r="E298" s="2">
        <v>3</v>
      </c>
      <c r="F298" s="2" t="s">
        <v>4</v>
      </c>
      <c r="G298" s="2">
        <v>408.40000000024202</v>
      </c>
      <c r="H298" s="2" t="s">
        <v>8</v>
      </c>
      <c r="I298" s="2">
        <v>1930913</v>
      </c>
      <c r="J298" s="2">
        <v>2000</v>
      </c>
      <c r="K298" s="2">
        <v>300</v>
      </c>
      <c r="L298" s="2">
        <v>0</v>
      </c>
      <c r="M298" s="2">
        <v>780084.37</v>
      </c>
      <c r="N298" s="2">
        <f t="shared" si="5"/>
        <v>2711405.7700000005</v>
      </c>
      <c r="O298" s="9" t="s">
        <v>4</v>
      </c>
    </row>
    <row r="299" spans="1:15" x14ac:dyDescent="0.2">
      <c r="A299">
        <v>1</v>
      </c>
      <c r="B299">
        <v>4</v>
      </c>
      <c r="C299" s="2">
        <v>3</v>
      </c>
      <c r="D299" s="2">
        <v>2</v>
      </c>
      <c r="E299" s="2">
        <v>1</v>
      </c>
      <c r="F299" s="2" t="s">
        <v>4</v>
      </c>
      <c r="G299" s="2">
        <v>686.60000000022603</v>
      </c>
      <c r="H299" s="2" t="s">
        <v>8</v>
      </c>
      <c r="I299" s="2">
        <v>133155</v>
      </c>
      <c r="J299" s="2">
        <v>1000</v>
      </c>
      <c r="K299" s="2">
        <v>300</v>
      </c>
      <c r="L299" s="2">
        <v>0</v>
      </c>
      <c r="M299" s="2">
        <v>432367.17</v>
      </c>
      <c r="N299" s="2">
        <f t="shared" si="5"/>
        <v>566208.77000000025</v>
      </c>
      <c r="O299" s="2" t="s">
        <v>5</v>
      </c>
    </row>
    <row r="300" spans="1:15" x14ac:dyDescent="0.2">
      <c r="A300">
        <v>2</v>
      </c>
      <c r="B300">
        <v>4</v>
      </c>
      <c r="C300" s="2">
        <v>3</v>
      </c>
      <c r="D300" s="2">
        <v>2</v>
      </c>
      <c r="E300" s="2">
        <v>2</v>
      </c>
      <c r="F300" s="2" t="s">
        <v>4</v>
      </c>
      <c r="G300" s="2">
        <v>595.39999999991301</v>
      </c>
      <c r="H300" s="2" t="s">
        <v>8</v>
      </c>
      <c r="I300" s="2">
        <v>199936.00000000099</v>
      </c>
      <c r="J300" s="2">
        <v>1000</v>
      </c>
      <c r="K300" s="2">
        <v>300</v>
      </c>
      <c r="L300" s="2">
        <v>0</v>
      </c>
      <c r="M300" s="2">
        <v>390586.77</v>
      </c>
      <c r="N300" s="2">
        <f t="shared" si="5"/>
        <v>591118.17000000086</v>
      </c>
      <c r="O300" s="2" t="s">
        <v>4</v>
      </c>
    </row>
    <row r="301" spans="1:15" x14ac:dyDescent="0.2">
      <c r="A301">
        <v>3</v>
      </c>
      <c r="B301">
        <v>4</v>
      </c>
      <c r="C301" s="2">
        <v>3</v>
      </c>
      <c r="D301" s="2">
        <v>2</v>
      </c>
      <c r="E301" s="2">
        <v>3</v>
      </c>
      <c r="F301" s="2" t="s">
        <v>4</v>
      </c>
      <c r="G301" s="2">
        <v>510.39999999993302</v>
      </c>
      <c r="H301" s="2" t="s">
        <v>8</v>
      </c>
      <c r="I301" s="2">
        <v>165412</v>
      </c>
      <c r="J301" s="2">
        <v>1000</v>
      </c>
      <c r="K301" s="2">
        <v>300</v>
      </c>
      <c r="L301" s="2">
        <v>0</v>
      </c>
      <c r="M301" s="2">
        <v>422447.17</v>
      </c>
      <c r="N301" s="2">
        <f t="shared" si="5"/>
        <v>588369.56999999983</v>
      </c>
      <c r="O301" s="2" t="s">
        <v>4</v>
      </c>
    </row>
    <row r="302" spans="1:15" x14ac:dyDescent="0.2">
      <c r="A302">
        <v>4</v>
      </c>
      <c r="B302">
        <v>4</v>
      </c>
      <c r="C302" s="2">
        <v>3</v>
      </c>
      <c r="D302" s="2">
        <v>3</v>
      </c>
      <c r="E302" s="2">
        <v>1</v>
      </c>
      <c r="F302" s="2" t="s">
        <v>4</v>
      </c>
      <c r="G302" s="2">
        <v>455.79999999958397</v>
      </c>
      <c r="H302" s="2" t="s">
        <v>8</v>
      </c>
      <c r="I302" s="2">
        <v>162882</v>
      </c>
      <c r="J302" s="2">
        <v>1000</v>
      </c>
      <c r="K302" s="2">
        <v>300</v>
      </c>
      <c r="L302" s="2">
        <v>0</v>
      </c>
      <c r="M302" s="2">
        <v>433347.57</v>
      </c>
      <c r="N302" s="2">
        <f t="shared" ref="N302:N325" si="6">G302+M302+I302</f>
        <v>596685.36999999965</v>
      </c>
      <c r="O302" s="2" t="s">
        <v>4</v>
      </c>
    </row>
    <row r="303" spans="1:15" x14ac:dyDescent="0.2">
      <c r="A303">
        <v>5</v>
      </c>
      <c r="B303">
        <v>4</v>
      </c>
      <c r="C303" s="2">
        <v>3</v>
      </c>
      <c r="D303" s="2">
        <v>3</v>
      </c>
      <c r="E303" s="2">
        <v>2</v>
      </c>
      <c r="F303" s="2" t="s">
        <v>4</v>
      </c>
      <c r="G303" s="2">
        <v>514.60000000034302</v>
      </c>
      <c r="H303" s="2" t="s">
        <v>8</v>
      </c>
      <c r="I303" s="2">
        <v>141655.99999999901</v>
      </c>
      <c r="J303" s="2">
        <v>1000</v>
      </c>
      <c r="K303" s="2">
        <v>300</v>
      </c>
      <c r="L303" s="2">
        <v>0</v>
      </c>
      <c r="M303" s="2">
        <v>383366.77</v>
      </c>
      <c r="N303" s="2">
        <f t="shared" si="6"/>
        <v>525537.36999999941</v>
      </c>
      <c r="O303" s="2" t="s">
        <v>4</v>
      </c>
    </row>
    <row r="304" spans="1:15" x14ac:dyDescent="0.2">
      <c r="A304">
        <v>6</v>
      </c>
      <c r="B304">
        <v>4</v>
      </c>
      <c r="C304" s="2">
        <v>3</v>
      </c>
      <c r="D304" s="2">
        <v>3</v>
      </c>
      <c r="E304" s="2">
        <v>3</v>
      </c>
      <c r="F304" s="2" t="s">
        <v>4</v>
      </c>
      <c r="G304" s="2">
        <v>535.59999999990305</v>
      </c>
      <c r="H304" s="2" t="s">
        <v>8</v>
      </c>
      <c r="I304" s="2">
        <v>373666</v>
      </c>
      <c r="J304" s="2">
        <v>1000</v>
      </c>
      <c r="K304" s="2">
        <v>300</v>
      </c>
      <c r="L304" s="2">
        <v>0</v>
      </c>
      <c r="M304" s="2">
        <v>435485.17</v>
      </c>
      <c r="N304" s="2">
        <f t="shared" si="6"/>
        <v>809686.7699999999</v>
      </c>
      <c r="O304" s="2" t="s">
        <v>4</v>
      </c>
    </row>
    <row r="305" spans="1:15" x14ac:dyDescent="0.2">
      <c r="A305">
        <v>7</v>
      </c>
      <c r="B305">
        <v>4</v>
      </c>
      <c r="C305" s="2">
        <v>4</v>
      </c>
      <c r="D305" s="2">
        <v>2</v>
      </c>
      <c r="E305" s="2">
        <v>1</v>
      </c>
      <c r="F305" s="2" t="s">
        <v>4</v>
      </c>
      <c r="G305" s="2">
        <v>354.799999999855</v>
      </c>
      <c r="H305" s="2" t="s">
        <v>8</v>
      </c>
      <c r="I305" s="2">
        <v>163982.00000000099</v>
      </c>
      <c r="J305" s="2">
        <v>1000</v>
      </c>
      <c r="K305" s="2">
        <v>300</v>
      </c>
      <c r="L305" s="2">
        <v>0</v>
      </c>
      <c r="M305" s="2">
        <v>388486.37</v>
      </c>
      <c r="N305" s="2">
        <f t="shared" si="6"/>
        <v>552823.17000000086</v>
      </c>
      <c r="O305" s="2" t="s">
        <v>5</v>
      </c>
    </row>
    <row r="306" spans="1:15" x14ac:dyDescent="0.2">
      <c r="A306">
        <v>8</v>
      </c>
      <c r="B306">
        <v>4</v>
      </c>
      <c r="C306" s="2">
        <v>4</v>
      </c>
      <c r="D306" s="2">
        <v>2</v>
      </c>
      <c r="E306" s="2">
        <v>2</v>
      </c>
      <c r="F306" s="2" t="s">
        <v>4</v>
      </c>
      <c r="G306" s="2">
        <v>408.79999999958699</v>
      </c>
      <c r="H306" s="2" t="s">
        <v>8</v>
      </c>
      <c r="I306" s="2">
        <v>405767.00000000099</v>
      </c>
      <c r="J306" s="2">
        <v>1000</v>
      </c>
      <c r="K306" s="2">
        <v>300</v>
      </c>
      <c r="L306" s="2">
        <v>0</v>
      </c>
      <c r="M306" s="2">
        <v>393647.17</v>
      </c>
      <c r="N306" s="2">
        <f t="shared" si="6"/>
        <v>799822.97000000055</v>
      </c>
      <c r="O306" s="2" t="s">
        <v>4</v>
      </c>
    </row>
    <row r="307" spans="1:15" x14ac:dyDescent="0.2">
      <c r="A307">
        <v>9</v>
      </c>
      <c r="B307">
        <v>4</v>
      </c>
      <c r="C307" s="2">
        <v>4</v>
      </c>
      <c r="D307" s="2">
        <v>2</v>
      </c>
      <c r="E307" s="2">
        <v>3</v>
      </c>
      <c r="F307" s="2" t="s">
        <v>4</v>
      </c>
      <c r="G307" s="2">
        <v>315.400000000565</v>
      </c>
      <c r="H307" s="2" t="s">
        <v>8</v>
      </c>
      <c r="I307" s="2">
        <v>252100</v>
      </c>
      <c r="J307" s="2">
        <v>1000</v>
      </c>
      <c r="K307" s="2">
        <v>300</v>
      </c>
      <c r="L307" s="2">
        <v>0</v>
      </c>
      <c r="M307" s="2">
        <v>405665.97</v>
      </c>
      <c r="N307" s="2">
        <f t="shared" si="6"/>
        <v>658081.37000000058</v>
      </c>
      <c r="O307" s="2" t="s">
        <v>4</v>
      </c>
    </row>
    <row r="308" spans="1:15" x14ac:dyDescent="0.2">
      <c r="A308">
        <v>10</v>
      </c>
      <c r="B308">
        <v>4</v>
      </c>
      <c r="C308" s="2">
        <v>4</v>
      </c>
      <c r="D308" s="2">
        <v>3</v>
      </c>
      <c r="E308" s="2">
        <v>1</v>
      </c>
      <c r="F308" s="2" t="s">
        <v>4</v>
      </c>
      <c r="G308" s="2">
        <v>303.20000000010299</v>
      </c>
      <c r="H308" s="2" t="s">
        <v>8</v>
      </c>
      <c r="I308" s="2">
        <v>297907</v>
      </c>
      <c r="J308" s="2">
        <v>1000</v>
      </c>
      <c r="K308" s="2">
        <v>300</v>
      </c>
      <c r="L308" s="2">
        <v>0</v>
      </c>
      <c r="M308" s="2">
        <v>401727.17</v>
      </c>
      <c r="N308" s="2">
        <f t="shared" si="6"/>
        <v>699937.37000000011</v>
      </c>
      <c r="O308" s="2" t="s">
        <v>4</v>
      </c>
    </row>
    <row r="309" spans="1:15" x14ac:dyDescent="0.2">
      <c r="A309">
        <v>11</v>
      </c>
      <c r="B309">
        <v>4</v>
      </c>
      <c r="C309" s="2">
        <v>4</v>
      </c>
      <c r="D309" s="2">
        <v>3</v>
      </c>
      <c r="E309" s="2">
        <v>2</v>
      </c>
      <c r="F309" s="2" t="s">
        <v>4</v>
      </c>
      <c r="G309" s="2">
        <v>291.60000000025798</v>
      </c>
      <c r="H309" s="2" t="s">
        <v>8</v>
      </c>
      <c r="I309" s="2">
        <v>486182</v>
      </c>
      <c r="J309" s="2">
        <v>1000</v>
      </c>
      <c r="K309" s="2">
        <v>300</v>
      </c>
      <c r="L309" s="2">
        <v>0</v>
      </c>
      <c r="M309" s="2">
        <v>390386.37</v>
      </c>
      <c r="N309" s="2">
        <f t="shared" si="6"/>
        <v>876859.9700000002</v>
      </c>
      <c r="O309" s="2" t="s">
        <v>4</v>
      </c>
    </row>
    <row r="310" spans="1:15" x14ac:dyDescent="0.2">
      <c r="A310">
        <v>12</v>
      </c>
      <c r="B310">
        <v>4</v>
      </c>
      <c r="C310" s="2">
        <v>4</v>
      </c>
      <c r="D310" s="2">
        <v>3</v>
      </c>
      <c r="E310" s="2">
        <v>3</v>
      </c>
      <c r="F310" s="2" t="s">
        <v>4</v>
      </c>
      <c r="G310" s="2">
        <v>339.79999999971301</v>
      </c>
      <c r="H310" s="2" t="s">
        <v>8</v>
      </c>
      <c r="I310" s="2">
        <v>514257.00000000099</v>
      </c>
      <c r="J310" s="2">
        <v>1000</v>
      </c>
      <c r="K310" s="2">
        <v>300</v>
      </c>
      <c r="L310" s="2">
        <v>0</v>
      </c>
      <c r="M310" s="2">
        <v>406786.37</v>
      </c>
      <c r="N310" s="2">
        <f t="shared" si="6"/>
        <v>921383.17000000062</v>
      </c>
      <c r="O310" s="2" t="s">
        <v>4</v>
      </c>
    </row>
    <row r="311" spans="1:15" x14ac:dyDescent="0.2">
      <c r="A311">
        <v>13</v>
      </c>
      <c r="B311">
        <v>4</v>
      </c>
      <c r="C311" s="2">
        <v>4</v>
      </c>
      <c r="D311" s="2">
        <v>2</v>
      </c>
      <c r="E311" s="2">
        <v>1</v>
      </c>
      <c r="F311" s="2" t="s">
        <v>4</v>
      </c>
      <c r="G311" s="2">
        <v>225.19999999985899</v>
      </c>
      <c r="H311" s="2" t="s">
        <v>8</v>
      </c>
      <c r="I311" s="2">
        <v>231354.99999999901</v>
      </c>
      <c r="J311" s="2">
        <v>1000</v>
      </c>
      <c r="K311" s="2">
        <v>300</v>
      </c>
      <c r="L311" s="2">
        <v>0</v>
      </c>
      <c r="M311" s="2">
        <v>401827.17</v>
      </c>
      <c r="N311" s="2">
        <f t="shared" si="6"/>
        <v>633407.36999999883</v>
      </c>
      <c r="O311" s="2" t="s">
        <v>5</v>
      </c>
    </row>
    <row r="312" spans="1:15" x14ac:dyDescent="0.2">
      <c r="A312">
        <v>14</v>
      </c>
      <c r="B312">
        <v>4</v>
      </c>
      <c r="C312" s="2">
        <v>4</v>
      </c>
      <c r="D312" s="2">
        <v>2</v>
      </c>
      <c r="E312" s="2">
        <v>2</v>
      </c>
      <c r="F312" s="2" t="s">
        <v>4</v>
      </c>
      <c r="G312" s="2">
        <v>285.80000000033601</v>
      </c>
      <c r="H312" s="2" t="s">
        <v>8</v>
      </c>
      <c r="I312" s="2">
        <v>254110.00000000099</v>
      </c>
      <c r="J312" s="2">
        <v>1000</v>
      </c>
      <c r="K312" s="2">
        <v>300</v>
      </c>
      <c r="L312" s="2">
        <v>0</v>
      </c>
      <c r="M312" s="2">
        <v>386946.37</v>
      </c>
      <c r="N312" s="2">
        <f t="shared" si="6"/>
        <v>641342.17000000132</v>
      </c>
      <c r="O312" s="2" t="s">
        <v>4</v>
      </c>
    </row>
    <row r="313" spans="1:15" x14ac:dyDescent="0.2">
      <c r="A313">
        <v>15</v>
      </c>
      <c r="B313">
        <v>4</v>
      </c>
      <c r="C313" s="2">
        <v>4</v>
      </c>
      <c r="D313" s="2">
        <v>2</v>
      </c>
      <c r="E313" s="2">
        <v>3</v>
      </c>
      <c r="F313" s="2" t="s">
        <v>4</v>
      </c>
      <c r="G313" s="2">
        <v>273.80000000007999</v>
      </c>
      <c r="H313" s="2" t="s">
        <v>8</v>
      </c>
      <c r="I313" s="2">
        <v>343735.00000000099</v>
      </c>
      <c r="J313" s="2">
        <v>1000</v>
      </c>
      <c r="K313" s="2">
        <v>300</v>
      </c>
      <c r="L313" s="2">
        <v>0</v>
      </c>
      <c r="M313" s="2">
        <v>387046.77</v>
      </c>
      <c r="N313" s="2">
        <f t="shared" si="6"/>
        <v>731055.57000000111</v>
      </c>
      <c r="O313" s="2" t="s">
        <v>4</v>
      </c>
    </row>
    <row r="314" spans="1:15" x14ac:dyDescent="0.2">
      <c r="A314">
        <v>16</v>
      </c>
      <c r="B314">
        <v>4</v>
      </c>
      <c r="C314" s="2">
        <v>4</v>
      </c>
      <c r="D314" s="2">
        <v>3</v>
      </c>
      <c r="E314" s="2">
        <v>1</v>
      </c>
      <c r="F314" s="2" t="s">
        <v>4</v>
      </c>
      <c r="G314" s="2">
        <v>261.80000000017901</v>
      </c>
      <c r="H314" s="2" t="s">
        <v>8</v>
      </c>
      <c r="I314" s="2">
        <v>356192.00000000198</v>
      </c>
      <c r="J314" s="2">
        <v>1000</v>
      </c>
      <c r="K314" s="2">
        <v>300</v>
      </c>
      <c r="L314" s="2">
        <v>0</v>
      </c>
      <c r="M314" s="2">
        <v>399726.77</v>
      </c>
      <c r="N314" s="2">
        <f t="shared" si="6"/>
        <v>756180.57000000216</v>
      </c>
      <c r="O314" s="2" t="s">
        <v>4</v>
      </c>
    </row>
    <row r="315" spans="1:15" x14ac:dyDescent="0.2">
      <c r="A315">
        <v>17</v>
      </c>
      <c r="B315">
        <v>4</v>
      </c>
      <c r="C315" s="2">
        <v>4</v>
      </c>
      <c r="D315" s="2">
        <v>3</v>
      </c>
      <c r="E315" s="2">
        <v>2</v>
      </c>
      <c r="F315" s="2" t="s">
        <v>4</v>
      </c>
      <c r="G315" s="2">
        <v>255.000000001004</v>
      </c>
      <c r="H315" s="2" t="s">
        <v>8</v>
      </c>
      <c r="I315" s="2">
        <v>274740.00000000099</v>
      </c>
      <c r="J315" s="2">
        <v>1000</v>
      </c>
      <c r="K315" s="2">
        <v>300</v>
      </c>
      <c r="L315" s="2">
        <v>0</v>
      </c>
      <c r="M315" s="2">
        <v>403327.17</v>
      </c>
      <c r="N315" s="2">
        <f t="shared" si="6"/>
        <v>678322.17000000202</v>
      </c>
      <c r="O315" s="2" t="s">
        <v>4</v>
      </c>
    </row>
    <row r="316" spans="1:15" x14ac:dyDescent="0.2">
      <c r="A316">
        <v>18</v>
      </c>
      <c r="B316">
        <v>4</v>
      </c>
      <c r="C316" s="2">
        <v>4</v>
      </c>
      <c r="D316" s="2">
        <v>3</v>
      </c>
      <c r="E316" s="2">
        <v>3</v>
      </c>
      <c r="F316" s="2" t="s">
        <v>4</v>
      </c>
      <c r="G316" s="2">
        <v>307.79999999950297</v>
      </c>
      <c r="H316" s="2" t="s">
        <v>8</v>
      </c>
      <c r="I316" s="2">
        <v>771308.99999999895</v>
      </c>
      <c r="J316" s="2">
        <v>1000</v>
      </c>
      <c r="K316" s="2">
        <v>300</v>
      </c>
      <c r="L316" s="2">
        <v>0</v>
      </c>
      <c r="M316" s="2">
        <v>423345.17</v>
      </c>
      <c r="N316" s="2">
        <f t="shared" si="6"/>
        <v>1194961.9699999983</v>
      </c>
      <c r="O316" s="2" t="s">
        <v>4</v>
      </c>
    </row>
    <row r="317" spans="1:15" x14ac:dyDescent="0.2">
      <c r="A317">
        <v>19</v>
      </c>
      <c r="B317">
        <v>4</v>
      </c>
      <c r="C317" s="2">
        <v>5</v>
      </c>
      <c r="D317" s="2">
        <v>2</v>
      </c>
      <c r="E317" s="2">
        <v>1</v>
      </c>
      <c r="F317" s="2" t="s">
        <v>4</v>
      </c>
      <c r="G317" s="2">
        <v>241.399999999459</v>
      </c>
      <c r="H317" s="2" t="s">
        <v>8</v>
      </c>
      <c r="I317" s="2">
        <v>274275.99999999697</v>
      </c>
      <c r="J317" s="2">
        <v>1000</v>
      </c>
      <c r="K317" s="2">
        <v>300</v>
      </c>
      <c r="L317" s="2">
        <v>0</v>
      </c>
      <c r="M317" s="2">
        <v>391547.17</v>
      </c>
      <c r="N317" s="2">
        <f t="shared" si="6"/>
        <v>666064.56999999634</v>
      </c>
      <c r="O317" s="2" t="s">
        <v>4</v>
      </c>
    </row>
    <row r="318" spans="1:15" x14ac:dyDescent="0.2">
      <c r="A318">
        <v>20</v>
      </c>
      <c r="B318">
        <v>4</v>
      </c>
      <c r="C318" s="2">
        <v>5</v>
      </c>
      <c r="D318" s="2">
        <v>2</v>
      </c>
      <c r="E318" s="2">
        <v>2</v>
      </c>
      <c r="F318" s="2" t="s">
        <v>4</v>
      </c>
      <c r="G318" s="2">
        <v>301.59999999952402</v>
      </c>
      <c r="H318" s="2" t="s">
        <v>8</v>
      </c>
      <c r="I318" s="2">
        <v>556574.00000000105</v>
      </c>
      <c r="J318" s="2">
        <v>1000</v>
      </c>
      <c r="K318" s="2">
        <v>300</v>
      </c>
      <c r="L318" s="2">
        <v>0</v>
      </c>
      <c r="M318" s="2">
        <v>392047.17</v>
      </c>
      <c r="N318" s="2">
        <f t="shared" si="6"/>
        <v>948922.77000000048</v>
      </c>
      <c r="O318" s="2" t="s">
        <v>4</v>
      </c>
    </row>
    <row r="319" spans="1:15" x14ac:dyDescent="0.2">
      <c r="A319">
        <v>21</v>
      </c>
      <c r="B319">
        <v>4</v>
      </c>
      <c r="C319" s="2">
        <v>5</v>
      </c>
      <c r="D319" s="2">
        <v>2</v>
      </c>
      <c r="E319" s="2">
        <v>3</v>
      </c>
      <c r="F319" s="2" t="s">
        <v>4</v>
      </c>
      <c r="G319" s="2">
        <v>295.000000000201</v>
      </c>
      <c r="H319" s="2" t="s">
        <v>8</v>
      </c>
      <c r="I319" s="2">
        <v>1036061</v>
      </c>
      <c r="J319" s="2">
        <v>1000</v>
      </c>
      <c r="K319" s="2">
        <v>300</v>
      </c>
      <c r="L319" s="2">
        <v>0</v>
      </c>
      <c r="M319" s="2">
        <v>392706.37</v>
      </c>
      <c r="N319" s="2">
        <f t="shared" si="6"/>
        <v>1429062.37</v>
      </c>
      <c r="O319" s="2" t="s">
        <v>4</v>
      </c>
    </row>
    <row r="320" spans="1:15" x14ac:dyDescent="0.2">
      <c r="A320">
        <v>22</v>
      </c>
      <c r="B320">
        <v>4</v>
      </c>
      <c r="C320" s="2">
        <v>5</v>
      </c>
      <c r="D320" s="2">
        <v>3</v>
      </c>
      <c r="E320" s="2">
        <v>1</v>
      </c>
      <c r="F320" s="2" t="s">
        <v>4</v>
      </c>
      <c r="G320" s="2">
        <v>284.20000000011203</v>
      </c>
      <c r="H320" s="2" t="s">
        <v>8</v>
      </c>
      <c r="I320" s="2">
        <v>788309.00000000198</v>
      </c>
      <c r="J320" s="2">
        <v>1000</v>
      </c>
      <c r="K320" s="2">
        <v>300</v>
      </c>
      <c r="L320" s="2">
        <v>0</v>
      </c>
      <c r="M320" s="2">
        <v>406906.77</v>
      </c>
      <c r="N320" s="2">
        <f t="shared" si="6"/>
        <v>1195499.9700000021</v>
      </c>
      <c r="O320" s="2" t="s">
        <v>4</v>
      </c>
    </row>
    <row r="321" spans="1:15" x14ac:dyDescent="0.2">
      <c r="A321">
        <v>23</v>
      </c>
      <c r="B321">
        <v>4</v>
      </c>
      <c r="C321" s="2">
        <v>5</v>
      </c>
      <c r="D321" s="2">
        <v>3</v>
      </c>
      <c r="E321" s="2">
        <v>2</v>
      </c>
      <c r="F321" s="2" t="s">
        <v>4</v>
      </c>
      <c r="G321" s="2">
        <v>292.800000000426</v>
      </c>
      <c r="H321" s="2" t="s">
        <v>8</v>
      </c>
      <c r="I321" s="2">
        <v>713013</v>
      </c>
      <c r="J321" s="2">
        <v>1000</v>
      </c>
      <c r="K321" s="2">
        <v>300</v>
      </c>
      <c r="L321" s="2">
        <v>0</v>
      </c>
      <c r="M321" s="2">
        <v>436107.97</v>
      </c>
      <c r="N321" s="2">
        <f t="shared" si="6"/>
        <v>1149413.7700000005</v>
      </c>
      <c r="O321" s="2" t="s">
        <v>4</v>
      </c>
    </row>
    <row r="322" spans="1:15" x14ac:dyDescent="0.2">
      <c r="A322">
        <v>24</v>
      </c>
      <c r="B322">
        <v>4</v>
      </c>
      <c r="C322" s="2">
        <v>5</v>
      </c>
      <c r="D322" s="2">
        <v>3</v>
      </c>
      <c r="E322" s="2">
        <v>3</v>
      </c>
      <c r="F322" s="2" t="s">
        <v>4</v>
      </c>
      <c r="G322" s="2">
        <v>352.60000000043601</v>
      </c>
      <c r="H322" s="2" t="s">
        <v>8</v>
      </c>
      <c r="I322" s="2">
        <v>1699718</v>
      </c>
      <c r="J322" s="2">
        <v>1000</v>
      </c>
      <c r="K322" s="2">
        <v>300</v>
      </c>
      <c r="L322" s="2">
        <v>0</v>
      </c>
      <c r="M322" s="2">
        <v>384427.17</v>
      </c>
      <c r="N322" s="2">
        <f t="shared" si="6"/>
        <v>2084497.7700000005</v>
      </c>
      <c r="O322" s="2" t="s">
        <v>4</v>
      </c>
    </row>
    <row r="323" spans="1:15" x14ac:dyDescent="0.2">
      <c r="A323">
        <v>25</v>
      </c>
      <c r="B323">
        <v>4</v>
      </c>
      <c r="C323" s="2">
        <v>6</v>
      </c>
      <c r="D323" s="2">
        <v>3</v>
      </c>
      <c r="E323" s="2">
        <v>1</v>
      </c>
      <c r="F323" s="2" t="s">
        <v>4</v>
      </c>
      <c r="G323" s="2">
        <v>315.00000000015399</v>
      </c>
      <c r="H323" s="2" t="s">
        <v>8</v>
      </c>
      <c r="I323" s="2">
        <v>748591.99999999895</v>
      </c>
      <c r="J323" s="2">
        <v>1000</v>
      </c>
      <c r="K323" s="2">
        <v>300</v>
      </c>
      <c r="L323" s="2">
        <v>0</v>
      </c>
      <c r="M323" s="2">
        <v>395647.57</v>
      </c>
      <c r="N323" s="2">
        <f t="shared" si="6"/>
        <v>1144554.5699999991</v>
      </c>
      <c r="O323" s="2" t="s">
        <v>4</v>
      </c>
    </row>
    <row r="324" spans="1:15" x14ac:dyDescent="0.2">
      <c r="A324">
        <v>26</v>
      </c>
      <c r="B324">
        <v>4</v>
      </c>
      <c r="C324" s="2">
        <v>6</v>
      </c>
      <c r="D324" s="2">
        <v>3</v>
      </c>
      <c r="E324" s="2">
        <v>2</v>
      </c>
      <c r="F324" s="2" t="s">
        <v>4</v>
      </c>
      <c r="G324" s="2">
        <v>324.400000000224</v>
      </c>
      <c r="H324" s="2" t="s">
        <v>8</v>
      </c>
      <c r="I324" s="2">
        <v>1090027</v>
      </c>
      <c r="J324" s="2">
        <v>1000</v>
      </c>
      <c r="K324" s="2">
        <v>300</v>
      </c>
      <c r="L324" s="2">
        <v>0</v>
      </c>
      <c r="M324" s="2">
        <v>391527.97</v>
      </c>
      <c r="N324" s="2">
        <f t="shared" si="6"/>
        <v>1481879.37</v>
      </c>
      <c r="O324" s="2" t="s">
        <v>4</v>
      </c>
    </row>
    <row r="325" spans="1:15" x14ac:dyDescent="0.2">
      <c r="A325">
        <v>27</v>
      </c>
      <c r="B325">
        <v>4</v>
      </c>
      <c r="C325" s="2">
        <v>6</v>
      </c>
      <c r="D325" s="2">
        <v>3</v>
      </c>
      <c r="E325" s="2">
        <v>3</v>
      </c>
      <c r="F325" s="2" t="s">
        <v>4</v>
      </c>
      <c r="G325" s="2">
        <v>408.40000000024202</v>
      </c>
      <c r="H325" s="2" t="s">
        <v>8</v>
      </c>
      <c r="I325" s="2">
        <v>1930913</v>
      </c>
      <c r="J325" s="2">
        <v>1000</v>
      </c>
      <c r="K325" s="2">
        <v>300</v>
      </c>
      <c r="L325" s="2">
        <v>0</v>
      </c>
      <c r="M325" s="2">
        <v>398005.57</v>
      </c>
      <c r="N325" s="2">
        <f t="shared" si="6"/>
        <v>2329326.9700000002</v>
      </c>
      <c r="O325" s="2" t="s">
        <v>4</v>
      </c>
    </row>
    <row r="326" spans="1:15" x14ac:dyDescent="0.2">
      <c r="A326">
        <v>1</v>
      </c>
      <c r="B326">
        <v>4</v>
      </c>
      <c r="C326" s="2">
        <v>3</v>
      </c>
      <c r="D326" s="2">
        <v>2</v>
      </c>
      <c r="E326" s="2">
        <v>1</v>
      </c>
      <c r="F326" s="2" t="s">
        <v>4</v>
      </c>
      <c r="G326" s="2">
        <v>686.60000000022603</v>
      </c>
      <c r="H326" s="2" t="s">
        <v>8</v>
      </c>
      <c r="I326" s="2">
        <v>133155</v>
      </c>
      <c r="J326" s="2">
        <v>1000</v>
      </c>
      <c r="K326" s="2">
        <v>500</v>
      </c>
      <c r="L326" s="2">
        <v>0</v>
      </c>
      <c r="M326" s="2">
        <v>632363.97</v>
      </c>
      <c r="N326" s="2">
        <f t="shared" si="5"/>
        <v>766205.57000000018</v>
      </c>
      <c r="O326" s="9" t="s">
        <v>5</v>
      </c>
    </row>
    <row r="327" spans="1:15" x14ac:dyDescent="0.2">
      <c r="A327">
        <v>2</v>
      </c>
      <c r="B327">
        <v>4</v>
      </c>
      <c r="C327" s="2">
        <v>3</v>
      </c>
      <c r="D327" s="2">
        <v>2</v>
      </c>
      <c r="E327" s="2">
        <v>2</v>
      </c>
      <c r="F327" s="2" t="s">
        <v>4</v>
      </c>
      <c r="G327" s="2">
        <v>595.39999999991301</v>
      </c>
      <c r="H327" s="2" t="s">
        <v>8</v>
      </c>
      <c r="I327" s="2">
        <v>199936.00000000099</v>
      </c>
      <c r="J327" s="2">
        <v>1000</v>
      </c>
      <c r="K327" s="2">
        <v>500</v>
      </c>
      <c r="L327" s="2">
        <v>0</v>
      </c>
      <c r="M327" s="2">
        <v>590583.17000000004</v>
      </c>
      <c r="N327" s="2">
        <f t="shared" si="5"/>
        <v>791114.570000001</v>
      </c>
      <c r="O327" s="9" t="s">
        <v>4</v>
      </c>
    </row>
    <row r="328" spans="1:15" x14ac:dyDescent="0.2">
      <c r="A328">
        <v>3</v>
      </c>
      <c r="B328">
        <v>4</v>
      </c>
      <c r="C328" s="2">
        <v>3</v>
      </c>
      <c r="D328" s="2">
        <v>2</v>
      </c>
      <c r="E328" s="2">
        <v>3</v>
      </c>
      <c r="F328" s="2" t="s">
        <v>4</v>
      </c>
      <c r="G328" s="2">
        <v>510.39999999993302</v>
      </c>
      <c r="H328" s="2" t="s">
        <v>8</v>
      </c>
      <c r="I328" s="2">
        <v>165412</v>
      </c>
      <c r="J328" s="2">
        <v>1000</v>
      </c>
      <c r="K328" s="2">
        <v>500</v>
      </c>
      <c r="L328" s="2">
        <v>0</v>
      </c>
      <c r="M328" s="2">
        <v>622444.37</v>
      </c>
      <c r="N328" s="2">
        <f t="shared" si="5"/>
        <v>788366.7699999999</v>
      </c>
      <c r="O328" s="9" t="s">
        <v>5</v>
      </c>
    </row>
    <row r="329" spans="1:15" x14ac:dyDescent="0.2">
      <c r="A329">
        <v>4</v>
      </c>
      <c r="B329">
        <v>4</v>
      </c>
      <c r="C329" s="2">
        <v>3</v>
      </c>
      <c r="D329" s="2">
        <v>3</v>
      </c>
      <c r="E329" s="2">
        <v>1</v>
      </c>
      <c r="F329" s="2" t="s">
        <v>4</v>
      </c>
      <c r="G329" s="2">
        <v>455.79999999958397</v>
      </c>
      <c r="H329" s="2" t="s">
        <v>8</v>
      </c>
      <c r="I329" s="2">
        <v>162882</v>
      </c>
      <c r="J329" s="2">
        <v>1000</v>
      </c>
      <c r="K329" s="2">
        <v>500</v>
      </c>
      <c r="L329" s="2">
        <v>0</v>
      </c>
      <c r="M329" s="2">
        <v>633343.97</v>
      </c>
      <c r="N329" s="2">
        <f t="shared" si="5"/>
        <v>796681.76999999955</v>
      </c>
      <c r="O329" s="9" t="s">
        <v>5</v>
      </c>
    </row>
    <row r="330" spans="1:15" x14ac:dyDescent="0.2">
      <c r="A330">
        <v>5</v>
      </c>
      <c r="B330">
        <v>4</v>
      </c>
      <c r="C330" s="2">
        <v>3</v>
      </c>
      <c r="D330" s="2">
        <v>3</v>
      </c>
      <c r="E330" s="2">
        <v>2</v>
      </c>
      <c r="F330" s="2" t="s">
        <v>4</v>
      </c>
      <c r="G330" s="2">
        <v>514.60000000034302</v>
      </c>
      <c r="H330" s="2" t="s">
        <v>8</v>
      </c>
      <c r="I330" s="2">
        <v>141655.99999999901</v>
      </c>
      <c r="J330" s="2">
        <v>1000</v>
      </c>
      <c r="K330" s="2">
        <v>500</v>
      </c>
      <c r="L330" s="2">
        <v>0</v>
      </c>
      <c r="M330" s="2">
        <v>583363.56999999995</v>
      </c>
      <c r="N330" s="2">
        <f t="shared" si="5"/>
        <v>725534.16999999923</v>
      </c>
      <c r="O330" s="9" t="s">
        <v>4</v>
      </c>
    </row>
    <row r="331" spans="1:15" x14ac:dyDescent="0.2">
      <c r="A331">
        <v>6</v>
      </c>
      <c r="B331">
        <v>4</v>
      </c>
      <c r="C331" s="2">
        <v>3</v>
      </c>
      <c r="D331" s="2">
        <v>3</v>
      </c>
      <c r="E331" s="2">
        <v>3</v>
      </c>
      <c r="F331" s="2" t="s">
        <v>4</v>
      </c>
      <c r="G331" s="2">
        <v>535.59999999990305</v>
      </c>
      <c r="H331" s="2" t="s">
        <v>8</v>
      </c>
      <c r="I331" s="2">
        <v>373666</v>
      </c>
      <c r="J331" s="2">
        <v>1000</v>
      </c>
      <c r="K331" s="2">
        <v>500</v>
      </c>
      <c r="L331" s="2">
        <v>0</v>
      </c>
      <c r="M331" s="2">
        <v>635481.97</v>
      </c>
      <c r="N331" s="2">
        <f t="shared" si="5"/>
        <v>1009683.5699999998</v>
      </c>
      <c r="O331" s="9" t="s">
        <v>4</v>
      </c>
    </row>
    <row r="332" spans="1:15" x14ac:dyDescent="0.2">
      <c r="A332">
        <v>7</v>
      </c>
      <c r="B332">
        <v>4</v>
      </c>
      <c r="C332" s="2">
        <v>4</v>
      </c>
      <c r="D332" s="2">
        <v>2</v>
      </c>
      <c r="E332" s="2">
        <v>1</v>
      </c>
      <c r="F332" s="2" t="s">
        <v>4</v>
      </c>
      <c r="G332" s="2">
        <v>354.799999999855</v>
      </c>
      <c r="H332" s="2" t="s">
        <v>8</v>
      </c>
      <c r="I332" s="2">
        <v>163982.00000000099</v>
      </c>
      <c r="J332" s="2">
        <v>1000</v>
      </c>
      <c r="K332" s="2">
        <v>500</v>
      </c>
      <c r="L332" s="2">
        <v>0</v>
      </c>
      <c r="M332" s="2">
        <v>588483.56999999995</v>
      </c>
      <c r="N332" s="2">
        <f t="shared" si="5"/>
        <v>752820.37000000081</v>
      </c>
      <c r="O332" s="9" t="s">
        <v>4</v>
      </c>
    </row>
    <row r="333" spans="1:15" x14ac:dyDescent="0.2">
      <c r="A333">
        <v>8</v>
      </c>
      <c r="B333">
        <v>4</v>
      </c>
      <c r="C333" s="2">
        <v>4</v>
      </c>
      <c r="D333" s="2">
        <v>2</v>
      </c>
      <c r="E333" s="2">
        <v>2</v>
      </c>
      <c r="F333" s="2" t="s">
        <v>4</v>
      </c>
      <c r="G333" s="2">
        <v>408.79999999958699</v>
      </c>
      <c r="H333" s="2" t="s">
        <v>8</v>
      </c>
      <c r="I333" s="2">
        <v>405767.00000000099</v>
      </c>
      <c r="J333" s="2">
        <v>1000</v>
      </c>
      <c r="K333" s="2">
        <v>500</v>
      </c>
      <c r="L333" s="2">
        <v>0</v>
      </c>
      <c r="M333" s="2">
        <v>593643.17000000004</v>
      </c>
      <c r="N333" s="2">
        <f t="shared" si="5"/>
        <v>999818.97000000067</v>
      </c>
      <c r="O333" s="9" t="s">
        <v>4</v>
      </c>
    </row>
    <row r="334" spans="1:15" x14ac:dyDescent="0.2">
      <c r="A334">
        <v>9</v>
      </c>
      <c r="B334">
        <v>4</v>
      </c>
      <c r="C334" s="2">
        <v>4</v>
      </c>
      <c r="D334" s="2">
        <v>2</v>
      </c>
      <c r="E334" s="2">
        <v>3</v>
      </c>
      <c r="F334" s="2" t="s">
        <v>4</v>
      </c>
      <c r="G334" s="2">
        <v>315.400000000565</v>
      </c>
      <c r="H334" s="2" t="s">
        <v>8</v>
      </c>
      <c r="I334" s="2">
        <v>252100</v>
      </c>
      <c r="J334" s="2">
        <v>1000</v>
      </c>
      <c r="K334" s="2">
        <v>500</v>
      </c>
      <c r="L334" s="2">
        <v>0</v>
      </c>
      <c r="M334" s="2">
        <v>605662.77</v>
      </c>
      <c r="N334" s="2">
        <f t="shared" si="5"/>
        <v>858078.17000000062</v>
      </c>
      <c r="O334" s="9" t="s">
        <v>4</v>
      </c>
    </row>
    <row r="335" spans="1:15" x14ac:dyDescent="0.2">
      <c r="A335">
        <v>10</v>
      </c>
      <c r="B335">
        <v>4</v>
      </c>
      <c r="C335" s="2">
        <v>4</v>
      </c>
      <c r="D335" s="2">
        <v>3</v>
      </c>
      <c r="E335" s="2">
        <v>1</v>
      </c>
      <c r="F335" s="2" t="s">
        <v>4</v>
      </c>
      <c r="G335" s="2">
        <v>303.20000000010299</v>
      </c>
      <c r="H335" s="2" t="s">
        <v>8</v>
      </c>
      <c r="I335" s="2">
        <v>297907</v>
      </c>
      <c r="J335" s="2">
        <v>1000</v>
      </c>
      <c r="K335" s="2">
        <v>500</v>
      </c>
      <c r="L335" s="2">
        <v>0</v>
      </c>
      <c r="M335" s="2">
        <v>601723.97</v>
      </c>
      <c r="N335" s="2">
        <f t="shared" si="5"/>
        <v>899934.17</v>
      </c>
      <c r="O335" s="9" t="s">
        <v>4</v>
      </c>
    </row>
    <row r="336" spans="1:15" x14ac:dyDescent="0.2">
      <c r="A336">
        <v>11</v>
      </c>
      <c r="B336">
        <v>4</v>
      </c>
      <c r="C336" s="2">
        <v>4</v>
      </c>
      <c r="D336" s="2">
        <v>3</v>
      </c>
      <c r="E336" s="2">
        <v>2</v>
      </c>
      <c r="F336" s="2" t="s">
        <v>4</v>
      </c>
      <c r="G336" s="2">
        <v>291.60000000025798</v>
      </c>
      <c r="H336" s="2" t="s">
        <v>8</v>
      </c>
      <c r="I336" s="2">
        <v>486182</v>
      </c>
      <c r="J336" s="2">
        <v>1000</v>
      </c>
      <c r="K336" s="2">
        <v>500</v>
      </c>
      <c r="L336" s="2">
        <v>0</v>
      </c>
      <c r="M336" s="2">
        <v>590383.17000000004</v>
      </c>
      <c r="N336" s="2">
        <f t="shared" si="5"/>
        <v>1076856.7700000003</v>
      </c>
      <c r="O336" s="9" t="s">
        <v>4</v>
      </c>
    </row>
    <row r="337" spans="1:15" x14ac:dyDescent="0.2">
      <c r="A337">
        <v>12</v>
      </c>
      <c r="B337">
        <v>4</v>
      </c>
      <c r="C337" s="2">
        <v>4</v>
      </c>
      <c r="D337" s="2">
        <v>3</v>
      </c>
      <c r="E337" s="2">
        <v>3</v>
      </c>
      <c r="F337" s="2" t="s">
        <v>4</v>
      </c>
      <c r="G337" s="2">
        <v>339.79999999971301</v>
      </c>
      <c r="H337" s="2" t="s">
        <v>8</v>
      </c>
      <c r="I337" s="2">
        <v>514257.00000000099</v>
      </c>
      <c r="J337" s="2">
        <v>1000</v>
      </c>
      <c r="K337" s="2">
        <v>500</v>
      </c>
      <c r="L337" s="2">
        <v>0</v>
      </c>
      <c r="M337" s="2">
        <v>606783.17000000004</v>
      </c>
      <c r="N337" s="2">
        <f t="shared" si="5"/>
        <v>1121379.9700000007</v>
      </c>
      <c r="O337" s="9" t="s">
        <v>4</v>
      </c>
    </row>
    <row r="338" spans="1:15" x14ac:dyDescent="0.2">
      <c r="A338">
        <v>13</v>
      </c>
      <c r="B338">
        <v>4</v>
      </c>
      <c r="C338" s="2">
        <v>4</v>
      </c>
      <c r="D338" s="2">
        <v>2</v>
      </c>
      <c r="E338" s="2">
        <v>1</v>
      </c>
      <c r="F338" s="2" t="s">
        <v>4</v>
      </c>
      <c r="G338" s="2">
        <v>225.19999999985899</v>
      </c>
      <c r="H338" s="2" t="s">
        <v>8</v>
      </c>
      <c r="I338" s="2">
        <v>231354.99999999901</v>
      </c>
      <c r="J338" s="2">
        <v>1000</v>
      </c>
      <c r="K338" s="2">
        <v>500</v>
      </c>
      <c r="L338" s="2">
        <v>0</v>
      </c>
      <c r="M338" s="2">
        <v>601823.97</v>
      </c>
      <c r="N338" s="2">
        <f t="shared" si="5"/>
        <v>833404.16999999876</v>
      </c>
      <c r="O338" s="9" t="s">
        <v>5</v>
      </c>
    </row>
    <row r="339" spans="1:15" x14ac:dyDescent="0.2">
      <c r="A339">
        <v>14</v>
      </c>
      <c r="B339">
        <v>4</v>
      </c>
      <c r="C339" s="2">
        <v>4</v>
      </c>
      <c r="D339" s="2">
        <v>2</v>
      </c>
      <c r="E339" s="2">
        <v>2</v>
      </c>
      <c r="F339" s="2" t="s">
        <v>4</v>
      </c>
      <c r="G339" s="2">
        <v>285.80000000033601</v>
      </c>
      <c r="H339" s="2" t="s">
        <v>8</v>
      </c>
      <c r="I339" s="2">
        <v>254110.00000000099</v>
      </c>
      <c r="J339" s="2">
        <v>1000</v>
      </c>
      <c r="K339" s="2">
        <v>500</v>
      </c>
      <c r="L339" s="2">
        <v>0</v>
      </c>
      <c r="M339" s="2">
        <v>586943.97</v>
      </c>
      <c r="N339" s="2">
        <f t="shared" si="5"/>
        <v>841339.77000000118</v>
      </c>
      <c r="O339" s="9" t="s">
        <v>4</v>
      </c>
    </row>
    <row r="340" spans="1:15" x14ac:dyDescent="0.2">
      <c r="A340">
        <v>15</v>
      </c>
      <c r="B340">
        <v>4</v>
      </c>
      <c r="C340" s="2">
        <v>4</v>
      </c>
      <c r="D340" s="2">
        <v>2</v>
      </c>
      <c r="E340" s="2">
        <v>3</v>
      </c>
      <c r="F340" s="2" t="s">
        <v>4</v>
      </c>
      <c r="G340" s="2">
        <v>273.80000000007999</v>
      </c>
      <c r="H340" s="2" t="s">
        <v>8</v>
      </c>
      <c r="I340" s="2">
        <v>343735.00000000099</v>
      </c>
      <c r="J340" s="2">
        <v>1000</v>
      </c>
      <c r="K340" s="2">
        <v>500</v>
      </c>
      <c r="L340" s="2">
        <v>0</v>
      </c>
      <c r="M340" s="2">
        <v>587043.97</v>
      </c>
      <c r="N340" s="2">
        <f t="shared" si="5"/>
        <v>931052.77000000095</v>
      </c>
      <c r="O340" s="9" t="s">
        <v>4</v>
      </c>
    </row>
    <row r="341" spans="1:15" x14ac:dyDescent="0.2">
      <c r="A341">
        <v>16</v>
      </c>
      <c r="B341">
        <v>4</v>
      </c>
      <c r="C341" s="2">
        <v>4</v>
      </c>
      <c r="D341" s="2">
        <v>3</v>
      </c>
      <c r="E341" s="2">
        <v>1</v>
      </c>
      <c r="F341" s="2" t="s">
        <v>4</v>
      </c>
      <c r="G341" s="2">
        <v>261.80000000017901</v>
      </c>
      <c r="H341" s="2" t="s">
        <v>8</v>
      </c>
      <c r="I341" s="2">
        <v>356192.00000000198</v>
      </c>
      <c r="J341" s="2">
        <v>1000</v>
      </c>
      <c r="K341" s="2">
        <v>500</v>
      </c>
      <c r="L341" s="2">
        <v>0</v>
      </c>
      <c r="M341" s="2">
        <v>599723.97</v>
      </c>
      <c r="N341" s="2">
        <f t="shared" si="5"/>
        <v>956177.77000000211</v>
      </c>
      <c r="O341" s="9" t="s">
        <v>4</v>
      </c>
    </row>
    <row r="342" spans="1:15" x14ac:dyDescent="0.2">
      <c r="A342">
        <v>17</v>
      </c>
      <c r="B342">
        <v>4</v>
      </c>
      <c r="C342" s="2">
        <v>4</v>
      </c>
      <c r="D342" s="2">
        <v>3</v>
      </c>
      <c r="E342" s="2">
        <v>2</v>
      </c>
      <c r="F342" s="2" t="s">
        <v>4</v>
      </c>
      <c r="G342" s="2">
        <v>255.000000001004</v>
      </c>
      <c r="H342" s="2" t="s">
        <v>8</v>
      </c>
      <c r="I342" s="2">
        <v>274740.00000000099</v>
      </c>
      <c r="J342" s="2">
        <v>1000</v>
      </c>
      <c r="K342" s="2">
        <v>500</v>
      </c>
      <c r="L342" s="2">
        <v>0</v>
      </c>
      <c r="M342" s="2">
        <v>603323.97</v>
      </c>
      <c r="N342" s="2">
        <f t="shared" si="5"/>
        <v>878318.97000000207</v>
      </c>
      <c r="O342" s="9" t="s">
        <v>4</v>
      </c>
    </row>
    <row r="343" spans="1:15" x14ac:dyDescent="0.2">
      <c r="A343">
        <v>18</v>
      </c>
      <c r="B343">
        <v>4</v>
      </c>
      <c r="C343" s="2">
        <v>4</v>
      </c>
      <c r="D343" s="2">
        <v>3</v>
      </c>
      <c r="E343" s="2">
        <v>3</v>
      </c>
      <c r="F343" s="2" t="s">
        <v>4</v>
      </c>
      <c r="G343" s="2">
        <v>307.79999999950297</v>
      </c>
      <c r="H343" s="2" t="s">
        <v>8</v>
      </c>
      <c r="I343" s="2">
        <v>771308.99999999895</v>
      </c>
      <c r="J343" s="2">
        <v>1000</v>
      </c>
      <c r="K343" s="2">
        <v>500</v>
      </c>
      <c r="L343" s="2">
        <v>0</v>
      </c>
      <c r="M343" s="2">
        <v>623341.17000000004</v>
      </c>
      <c r="N343" s="2">
        <f t="shared" si="5"/>
        <v>1394957.9699999983</v>
      </c>
      <c r="O343" s="9" t="s">
        <v>4</v>
      </c>
    </row>
    <row r="344" spans="1:15" x14ac:dyDescent="0.2">
      <c r="A344">
        <v>19</v>
      </c>
      <c r="B344">
        <v>4</v>
      </c>
      <c r="C344" s="2">
        <v>5</v>
      </c>
      <c r="D344" s="2">
        <v>2</v>
      </c>
      <c r="E344" s="2">
        <v>1</v>
      </c>
      <c r="F344" s="2" t="s">
        <v>4</v>
      </c>
      <c r="G344" s="2">
        <v>241.399999999459</v>
      </c>
      <c r="H344" s="2" t="s">
        <v>8</v>
      </c>
      <c r="I344" s="2">
        <v>274275.99999999697</v>
      </c>
      <c r="J344" s="2">
        <v>1000</v>
      </c>
      <c r="K344" s="2">
        <v>500</v>
      </c>
      <c r="L344" s="2">
        <v>0</v>
      </c>
      <c r="M344" s="2">
        <v>591543.17000000004</v>
      </c>
      <c r="N344" s="2">
        <f t="shared" si="5"/>
        <v>866060.56999999646</v>
      </c>
      <c r="O344" s="9" t="s">
        <v>5</v>
      </c>
    </row>
    <row r="345" spans="1:15" x14ac:dyDescent="0.2">
      <c r="A345">
        <v>20</v>
      </c>
      <c r="B345">
        <v>4</v>
      </c>
      <c r="C345" s="2">
        <v>5</v>
      </c>
      <c r="D345" s="2">
        <v>2</v>
      </c>
      <c r="E345" s="2">
        <v>2</v>
      </c>
      <c r="F345" s="2" t="s">
        <v>4</v>
      </c>
      <c r="G345" s="2">
        <v>301.59999999952402</v>
      </c>
      <c r="H345" s="2" t="s">
        <v>8</v>
      </c>
      <c r="I345" s="2">
        <v>556574.00000000105</v>
      </c>
      <c r="J345" s="2">
        <v>1000</v>
      </c>
      <c r="K345" s="2">
        <v>500</v>
      </c>
      <c r="L345" s="2">
        <v>0</v>
      </c>
      <c r="M345" s="2">
        <v>592044.37</v>
      </c>
      <c r="N345" s="2">
        <f t="shared" si="5"/>
        <v>1148919.9700000007</v>
      </c>
      <c r="O345" s="9" t="s">
        <v>4</v>
      </c>
    </row>
    <row r="346" spans="1:15" x14ac:dyDescent="0.2">
      <c r="A346">
        <v>21</v>
      </c>
      <c r="B346">
        <v>4</v>
      </c>
      <c r="C346" s="2">
        <v>5</v>
      </c>
      <c r="D346" s="2">
        <v>2</v>
      </c>
      <c r="E346" s="2">
        <v>3</v>
      </c>
      <c r="F346" s="2" t="s">
        <v>4</v>
      </c>
      <c r="G346" s="2">
        <v>295.000000000201</v>
      </c>
      <c r="H346" s="2" t="s">
        <v>8</v>
      </c>
      <c r="I346" s="2">
        <v>1036061</v>
      </c>
      <c r="J346" s="2">
        <v>1000</v>
      </c>
      <c r="K346" s="2">
        <v>500</v>
      </c>
      <c r="L346" s="2">
        <v>0</v>
      </c>
      <c r="M346" s="2">
        <v>592703.56999999995</v>
      </c>
      <c r="N346" s="2">
        <f t="shared" si="5"/>
        <v>1629059.5700000003</v>
      </c>
      <c r="O346" s="9" t="s">
        <v>4</v>
      </c>
    </row>
    <row r="347" spans="1:15" x14ac:dyDescent="0.2">
      <c r="A347">
        <v>22</v>
      </c>
      <c r="B347">
        <v>4</v>
      </c>
      <c r="C347" s="2">
        <v>5</v>
      </c>
      <c r="D347" s="2">
        <v>3</v>
      </c>
      <c r="E347" s="2">
        <v>1</v>
      </c>
      <c r="F347" s="2" t="s">
        <v>4</v>
      </c>
      <c r="G347" s="2">
        <v>284.20000000011203</v>
      </c>
      <c r="H347" s="2" t="s">
        <v>8</v>
      </c>
      <c r="I347" s="2">
        <v>788309.00000000198</v>
      </c>
      <c r="J347" s="2">
        <v>1000</v>
      </c>
      <c r="K347" s="2">
        <v>500</v>
      </c>
      <c r="L347" s="2">
        <v>0</v>
      </c>
      <c r="M347" s="2">
        <v>606904.37</v>
      </c>
      <c r="N347" s="2">
        <f t="shared" si="5"/>
        <v>1395497.5700000022</v>
      </c>
      <c r="O347" s="9" t="s">
        <v>4</v>
      </c>
    </row>
    <row r="348" spans="1:15" x14ac:dyDescent="0.2">
      <c r="A348">
        <v>23</v>
      </c>
      <c r="B348">
        <v>4</v>
      </c>
      <c r="C348" s="2">
        <v>5</v>
      </c>
      <c r="D348" s="2">
        <v>3</v>
      </c>
      <c r="E348" s="2">
        <v>2</v>
      </c>
      <c r="F348" s="2" t="s">
        <v>4</v>
      </c>
      <c r="G348" s="2">
        <v>292.800000000426</v>
      </c>
      <c r="H348" s="2" t="s">
        <v>8</v>
      </c>
      <c r="I348" s="2">
        <v>713013</v>
      </c>
      <c r="J348" s="2">
        <v>1000</v>
      </c>
      <c r="K348" s="2">
        <v>500</v>
      </c>
      <c r="L348" s="2">
        <v>0</v>
      </c>
      <c r="M348" s="2">
        <v>636105.17000000004</v>
      </c>
      <c r="N348" s="2">
        <f t="shared" si="5"/>
        <v>1349410.9700000004</v>
      </c>
      <c r="O348" s="9" t="s">
        <v>4</v>
      </c>
    </row>
    <row r="349" spans="1:15" x14ac:dyDescent="0.2">
      <c r="A349">
        <v>24</v>
      </c>
      <c r="B349">
        <v>4</v>
      </c>
      <c r="C349" s="2">
        <v>5</v>
      </c>
      <c r="D349" s="2">
        <v>3</v>
      </c>
      <c r="E349" s="2">
        <v>3</v>
      </c>
      <c r="F349" s="2" t="s">
        <v>4</v>
      </c>
      <c r="G349" s="2">
        <v>352.60000000043601</v>
      </c>
      <c r="H349" s="2" t="s">
        <v>8</v>
      </c>
      <c r="I349" s="2">
        <v>1699718</v>
      </c>
      <c r="J349" s="2">
        <v>1000</v>
      </c>
      <c r="K349" s="2">
        <v>500</v>
      </c>
      <c r="L349" s="2">
        <v>0</v>
      </c>
      <c r="M349" s="2">
        <v>584425.17000000004</v>
      </c>
      <c r="N349" s="2">
        <f t="shared" si="5"/>
        <v>2284495.7700000005</v>
      </c>
      <c r="O349" s="9" t="s">
        <v>4</v>
      </c>
    </row>
    <row r="350" spans="1:15" x14ac:dyDescent="0.2">
      <c r="A350">
        <v>25</v>
      </c>
      <c r="B350">
        <v>4</v>
      </c>
      <c r="C350" s="2">
        <v>6</v>
      </c>
      <c r="D350" s="2">
        <v>3</v>
      </c>
      <c r="E350" s="2">
        <v>1</v>
      </c>
      <c r="F350" s="2" t="s">
        <v>4</v>
      </c>
      <c r="G350" s="2">
        <v>315.00000000015399</v>
      </c>
      <c r="H350" s="2" t="s">
        <v>8</v>
      </c>
      <c r="I350" s="2">
        <v>748591.99999999895</v>
      </c>
      <c r="J350" s="2">
        <v>1000</v>
      </c>
      <c r="K350" s="2">
        <v>500</v>
      </c>
      <c r="L350" s="2">
        <v>0</v>
      </c>
      <c r="M350" s="2">
        <v>595644.37</v>
      </c>
      <c r="N350" s="2">
        <f t="shared" si="5"/>
        <v>1344551.3699999992</v>
      </c>
      <c r="O350" s="9" t="s">
        <v>4</v>
      </c>
    </row>
    <row r="351" spans="1:15" x14ac:dyDescent="0.2">
      <c r="A351">
        <v>26</v>
      </c>
      <c r="B351">
        <v>4</v>
      </c>
      <c r="C351" s="2">
        <v>6</v>
      </c>
      <c r="D351" s="2">
        <v>3</v>
      </c>
      <c r="E351" s="2">
        <v>2</v>
      </c>
      <c r="F351" s="2" t="s">
        <v>4</v>
      </c>
      <c r="G351" s="2">
        <v>324.400000000224</v>
      </c>
      <c r="H351" s="2" t="s">
        <v>8</v>
      </c>
      <c r="I351" s="2">
        <v>1090027</v>
      </c>
      <c r="J351" s="2">
        <v>1000</v>
      </c>
      <c r="K351" s="2">
        <v>500</v>
      </c>
      <c r="L351" s="2">
        <v>0</v>
      </c>
      <c r="M351" s="2">
        <v>591526.37</v>
      </c>
      <c r="N351" s="2">
        <f t="shared" si="5"/>
        <v>1681877.7700000003</v>
      </c>
      <c r="O351" s="9" t="s">
        <v>4</v>
      </c>
    </row>
    <row r="352" spans="1:15" x14ac:dyDescent="0.2">
      <c r="A352">
        <v>27</v>
      </c>
      <c r="B352">
        <v>4</v>
      </c>
      <c r="C352" s="2">
        <v>6</v>
      </c>
      <c r="D352" s="2">
        <v>3</v>
      </c>
      <c r="E352" s="2">
        <v>3</v>
      </c>
      <c r="F352" s="2" t="s">
        <v>4</v>
      </c>
      <c r="G352" s="2">
        <v>408.40000000024202</v>
      </c>
      <c r="H352" s="2" t="s">
        <v>8</v>
      </c>
      <c r="I352" s="2">
        <v>1930913</v>
      </c>
      <c r="J352" s="2">
        <v>1000</v>
      </c>
      <c r="K352" s="2">
        <v>500</v>
      </c>
      <c r="L352" s="2">
        <v>0</v>
      </c>
      <c r="M352" s="2">
        <v>598002.37</v>
      </c>
      <c r="N352" s="2">
        <f t="shared" si="5"/>
        <v>2529323.7700000005</v>
      </c>
      <c r="O352" s="9" t="s">
        <v>4</v>
      </c>
    </row>
    <row r="353" spans="1:15" x14ac:dyDescent="0.2">
      <c r="A353">
        <v>1</v>
      </c>
      <c r="B353">
        <v>4</v>
      </c>
      <c r="C353" s="2">
        <v>3</v>
      </c>
      <c r="D353" s="2">
        <v>2</v>
      </c>
      <c r="E353" s="2">
        <v>1</v>
      </c>
      <c r="F353" s="2" t="s">
        <v>4</v>
      </c>
      <c r="G353" s="2">
        <v>686.60000000022603</v>
      </c>
      <c r="H353" s="2" t="s">
        <v>8</v>
      </c>
      <c r="I353" s="2">
        <v>133155</v>
      </c>
      <c r="J353" s="2">
        <v>1000</v>
      </c>
      <c r="K353" s="2">
        <v>700</v>
      </c>
      <c r="L353" s="2">
        <v>0</v>
      </c>
      <c r="M353" s="2">
        <v>832363.97</v>
      </c>
      <c r="N353" s="2">
        <f t="shared" si="5"/>
        <v>966205.57000000018</v>
      </c>
      <c r="O353" s="9" t="s">
        <v>5</v>
      </c>
    </row>
    <row r="354" spans="1:15" x14ac:dyDescent="0.2">
      <c r="A354">
        <v>2</v>
      </c>
      <c r="B354">
        <v>4</v>
      </c>
      <c r="C354" s="2">
        <v>3</v>
      </c>
      <c r="D354" s="2">
        <v>2</v>
      </c>
      <c r="E354" s="2">
        <v>2</v>
      </c>
      <c r="F354" s="2" t="s">
        <v>4</v>
      </c>
      <c r="G354" s="2">
        <v>595.39999999991301</v>
      </c>
      <c r="H354" s="2" t="s">
        <v>8</v>
      </c>
      <c r="I354" s="2">
        <v>199936.00000000099</v>
      </c>
      <c r="J354" s="2">
        <v>1000</v>
      </c>
      <c r="K354" s="2">
        <v>700</v>
      </c>
      <c r="L354" s="2">
        <v>0</v>
      </c>
      <c r="M354" s="2">
        <v>790583.17</v>
      </c>
      <c r="N354" s="2">
        <f t="shared" si="5"/>
        <v>991114.570000001</v>
      </c>
      <c r="O354" s="9" t="s">
        <v>4</v>
      </c>
    </row>
    <row r="355" spans="1:15" x14ac:dyDescent="0.2">
      <c r="A355">
        <v>3</v>
      </c>
      <c r="B355">
        <v>4</v>
      </c>
      <c r="C355" s="2">
        <v>3</v>
      </c>
      <c r="D355" s="2">
        <v>2</v>
      </c>
      <c r="E355" s="2">
        <v>3</v>
      </c>
      <c r="F355" s="2" t="s">
        <v>4</v>
      </c>
      <c r="G355" s="2">
        <v>510.39999999993302</v>
      </c>
      <c r="H355" s="2" t="s">
        <v>8</v>
      </c>
      <c r="I355" s="2">
        <v>165412</v>
      </c>
      <c r="J355" s="2">
        <v>1000</v>
      </c>
      <c r="K355" s="2">
        <v>700</v>
      </c>
      <c r="L355" s="2">
        <v>0</v>
      </c>
      <c r="M355" s="2">
        <v>822444.37</v>
      </c>
      <c r="N355" s="2">
        <f t="shared" si="5"/>
        <v>988366.7699999999</v>
      </c>
      <c r="O355" s="9" t="s">
        <v>4</v>
      </c>
    </row>
    <row r="356" spans="1:15" x14ac:dyDescent="0.2">
      <c r="A356">
        <v>4</v>
      </c>
      <c r="B356">
        <v>4</v>
      </c>
      <c r="C356" s="2">
        <v>3</v>
      </c>
      <c r="D356" s="2">
        <v>3</v>
      </c>
      <c r="E356" s="2">
        <v>1</v>
      </c>
      <c r="F356" s="2" t="s">
        <v>4</v>
      </c>
      <c r="G356" s="2">
        <v>455.79999999958397</v>
      </c>
      <c r="H356" s="2" t="s">
        <v>8</v>
      </c>
      <c r="I356" s="2">
        <v>162882</v>
      </c>
      <c r="J356" s="2">
        <v>1000</v>
      </c>
      <c r="K356" s="2">
        <v>700</v>
      </c>
      <c r="L356" s="2">
        <v>0</v>
      </c>
      <c r="M356" s="2">
        <v>833343.97</v>
      </c>
      <c r="N356" s="2">
        <f t="shared" si="5"/>
        <v>996681.76999999955</v>
      </c>
      <c r="O356" s="9" t="s">
        <v>5</v>
      </c>
    </row>
    <row r="357" spans="1:15" x14ac:dyDescent="0.2">
      <c r="A357">
        <v>5</v>
      </c>
      <c r="B357">
        <v>4</v>
      </c>
      <c r="C357" s="2">
        <v>3</v>
      </c>
      <c r="D357" s="2">
        <v>3</v>
      </c>
      <c r="E357" s="2">
        <v>2</v>
      </c>
      <c r="F357" s="2" t="s">
        <v>4</v>
      </c>
      <c r="G357" s="2">
        <v>514.60000000034302</v>
      </c>
      <c r="H357" s="2" t="s">
        <v>8</v>
      </c>
      <c r="I357" s="2">
        <v>141655.99999999901</v>
      </c>
      <c r="J357" s="2">
        <v>1000</v>
      </c>
      <c r="K357" s="2">
        <v>700</v>
      </c>
      <c r="L357" s="2">
        <v>0</v>
      </c>
      <c r="M357" s="2">
        <v>783363.57</v>
      </c>
      <c r="N357" s="2">
        <f t="shared" si="5"/>
        <v>925534.16999999923</v>
      </c>
      <c r="O357" s="9" t="s">
        <v>5</v>
      </c>
    </row>
    <row r="358" spans="1:15" x14ac:dyDescent="0.2">
      <c r="A358">
        <v>6</v>
      </c>
      <c r="B358">
        <v>4</v>
      </c>
      <c r="C358" s="2">
        <v>3</v>
      </c>
      <c r="D358" s="2">
        <v>3</v>
      </c>
      <c r="E358" s="2">
        <v>3</v>
      </c>
      <c r="F358" s="2" t="s">
        <v>4</v>
      </c>
      <c r="G358" s="2">
        <v>535.59999999990305</v>
      </c>
      <c r="H358" s="2" t="s">
        <v>8</v>
      </c>
      <c r="I358" s="2">
        <v>373666</v>
      </c>
      <c r="J358" s="2">
        <v>1000</v>
      </c>
      <c r="K358" s="2">
        <v>700</v>
      </c>
      <c r="L358" s="2">
        <v>0</v>
      </c>
      <c r="M358" s="2">
        <v>835481.97</v>
      </c>
      <c r="N358" s="2">
        <f t="shared" si="5"/>
        <v>1209683.5699999998</v>
      </c>
      <c r="O358" s="9" t="s">
        <v>4</v>
      </c>
    </row>
    <row r="359" spans="1:15" x14ac:dyDescent="0.2">
      <c r="A359">
        <v>7</v>
      </c>
      <c r="B359">
        <v>4</v>
      </c>
      <c r="C359" s="2">
        <v>4</v>
      </c>
      <c r="D359" s="2">
        <v>2</v>
      </c>
      <c r="E359" s="2">
        <v>1</v>
      </c>
      <c r="F359" s="2" t="s">
        <v>4</v>
      </c>
      <c r="G359" s="2">
        <v>354.799999999855</v>
      </c>
      <c r="H359" s="2" t="s">
        <v>8</v>
      </c>
      <c r="I359" s="2">
        <v>163982.00000000099</v>
      </c>
      <c r="J359" s="2">
        <v>1000</v>
      </c>
      <c r="K359" s="2">
        <v>700</v>
      </c>
      <c r="L359" s="2">
        <v>0</v>
      </c>
      <c r="M359" s="2">
        <v>788483.57</v>
      </c>
      <c r="N359" s="2">
        <f t="shared" si="5"/>
        <v>952820.37000000081</v>
      </c>
      <c r="O359" s="9" t="s">
        <v>4</v>
      </c>
    </row>
    <row r="360" spans="1:15" x14ac:dyDescent="0.2">
      <c r="A360">
        <v>8</v>
      </c>
      <c r="B360">
        <v>4</v>
      </c>
      <c r="C360" s="2">
        <v>4</v>
      </c>
      <c r="D360" s="2">
        <v>2</v>
      </c>
      <c r="E360" s="2">
        <v>2</v>
      </c>
      <c r="F360" s="2" t="s">
        <v>4</v>
      </c>
      <c r="G360" s="2">
        <v>408.79999999958699</v>
      </c>
      <c r="H360" s="2" t="s">
        <v>8</v>
      </c>
      <c r="I360" s="2">
        <v>405767.00000000099</v>
      </c>
      <c r="J360" s="2">
        <v>1000</v>
      </c>
      <c r="K360" s="2">
        <v>700</v>
      </c>
      <c r="L360" s="2">
        <v>0</v>
      </c>
      <c r="M360" s="2">
        <v>793643.17</v>
      </c>
      <c r="N360" s="2">
        <f t="shared" si="5"/>
        <v>1199818.9700000007</v>
      </c>
      <c r="O360" s="9" t="s">
        <v>4</v>
      </c>
    </row>
    <row r="361" spans="1:15" x14ac:dyDescent="0.2">
      <c r="A361">
        <v>9</v>
      </c>
      <c r="B361">
        <v>4</v>
      </c>
      <c r="C361" s="2">
        <v>4</v>
      </c>
      <c r="D361" s="2">
        <v>2</v>
      </c>
      <c r="E361" s="2">
        <v>3</v>
      </c>
      <c r="F361" s="2" t="s">
        <v>4</v>
      </c>
      <c r="G361" s="2">
        <v>315.400000000565</v>
      </c>
      <c r="H361" s="2" t="s">
        <v>8</v>
      </c>
      <c r="I361" s="2">
        <v>252100</v>
      </c>
      <c r="J361" s="2">
        <v>1000</v>
      </c>
      <c r="K361" s="2">
        <v>700</v>
      </c>
      <c r="L361" s="2">
        <v>0</v>
      </c>
      <c r="M361" s="2">
        <v>805662.77</v>
      </c>
      <c r="N361" s="2">
        <f t="shared" si="5"/>
        <v>1058078.1700000006</v>
      </c>
      <c r="O361" s="9" t="s">
        <v>4</v>
      </c>
    </row>
    <row r="362" spans="1:15" x14ac:dyDescent="0.2">
      <c r="A362">
        <v>10</v>
      </c>
      <c r="B362">
        <v>4</v>
      </c>
      <c r="C362" s="2">
        <v>4</v>
      </c>
      <c r="D362" s="2">
        <v>3</v>
      </c>
      <c r="E362" s="2">
        <v>1</v>
      </c>
      <c r="F362" s="2" t="s">
        <v>4</v>
      </c>
      <c r="G362" s="2">
        <v>303.20000000010299</v>
      </c>
      <c r="H362" s="2" t="s">
        <v>8</v>
      </c>
      <c r="I362" s="2">
        <v>297907</v>
      </c>
      <c r="J362" s="2">
        <v>1000</v>
      </c>
      <c r="K362" s="2">
        <v>700</v>
      </c>
      <c r="L362" s="2">
        <v>0</v>
      </c>
      <c r="M362" s="2">
        <v>801723.97</v>
      </c>
      <c r="N362" s="2">
        <f t="shared" si="5"/>
        <v>1099934.17</v>
      </c>
      <c r="O362" s="9" t="s">
        <v>4</v>
      </c>
    </row>
    <row r="363" spans="1:15" x14ac:dyDescent="0.2">
      <c r="A363">
        <v>11</v>
      </c>
      <c r="B363">
        <v>4</v>
      </c>
      <c r="C363" s="2">
        <v>4</v>
      </c>
      <c r="D363" s="2">
        <v>3</v>
      </c>
      <c r="E363" s="2">
        <v>2</v>
      </c>
      <c r="F363" s="2" t="s">
        <v>4</v>
      </c>
      <c r="G363" s="2">
        <v>291.60000000025798</v>
      </c>
      <c r="H363" s="2" t="s">
        <v>8</v>
      </c>
      <c r="I363" s="2">
        <v>486182</v>
      </c>
      <c r="J363" s="2">
        <v>1000</v>
      </c>
      <c r="K363" s="2">
        <v>700</v>
      </c>
      <c r="L363" s="2">
        <v>0</v>
      </c>
      <c r="M363" s="2">
        <v>790383.17</v>
      </c>
      <c r="N363" s="2">
        <f t="shared" si="5"/>
        <v>1276856.7700000003</v>
      </c>
      <c r="O363" s="9" t="s">
        <v>4</v>
      </c>
    </row>
    <row r="364" spans="1:15" x14ac:dyDescent="0.2">
      <c r="A364">
        <v>12</v>
      </c>
      <c r="B364">
        <v>4</v>
      </c>
      <c r="C364" s="2">
        <v>4</v>
      </c>
      <c r="D364" s="2">
        <v>3</v>
      </c>
      <c r="E364" s="2">
        <v>3</v>
      </c>
      <c r="F364" s="2" t="s">
        <v>4</v>
      </c>
      <c r="G364" s="2">
        <v>339.79999999971301</v>
      </c>
      <c r="H364" s="2" t="s">
        <v>8</v>
      </c>
      <c r="I364" s="2">
        <v>514257.00000000099</v>
      </c>
      <c r="J364" s="2">
        <v>1000</v>
      </c>
      <c r="K364" s="2">
        <v>700</v>
      </c>
      <c r="L364" s="2">
        <v>0</v>
      </c>
      <c r="M364" s="2">
        <v>806783.17</v>
      </c>
      <c r="N364" s="2">
        <f t="shared" si="5"/>
        <v>1321379.9700000007</v>
      </c>
      <c r="O364" s="9" t="s">
        <v>4</v>
      </c>
    </row>
    <row r="365" spans="1:15" x14ac:dyDescent="0.2">
      <c r="A365">
        <v>13</v>
      </c>
      <c r="B365">
        <v>4</v>
      </c>
      <c r="C365" s="2">
        <v>4</v>
      </c>
      <c r="D365" s="2">
        <v>2</v>
      </c>
      <c r="E365" s="2">
        <v>1</v>
      </c>
      <c r="F365" s="2" t="s">
        <v>4</v>
      </c>
      <c r="G365" s="2">
        <v>225.19999999985899</v>
      </c>
      <c r="H365" s="2" t="s">
        <v>8</v>
      </c>
      <c r="I365" s="2">
        <v>231354.99999999901</v>
      </c>
      <c r="J365" s="2">
        <v>1000</v>
      </c>
      <c r="K365" s="2">
        <v>700</v>
      </c>
      <c r="L365" s="2">
        <v>0</v>
      </c>
      <c r="M365" s="2">
        <v>801823.97</v>
      </c>
      <c r="N365" s="2">
        <f t="shared" si="5"/>
        <v>1033404.1699999988</v>
      </c>
      <c r="O365" s="9" t="s">
        <v>5</v>
      </c>
    </row>
    <row r="366" spans="1:15" x14ac:dyDescent="0.2">
      <c r="A366">
        <v>14</v>
      </c>
      <c r="B366">
        <v>4</v>
      </c>
      <c r="C366" s="2">
        <v>4</v>
      </c>
      <c r="D366" s="2">
        <v>2</v>
      </c>
      <c r="E366" s="2">
        <v>2</v>
      </c>
      <c r="F366" s="2" t="s">
        <v>4</v>
      </c>
      <c r="G366" s="2">
        <v>285.80000000033601</v>
      </c>
      <c r="H366" s="2" t="s">
        <v>8</v>
      </c>
      <c r="I366" s="2">
        <v>254110.00000000099</v>
      </c>
      <c r="J366" s="2">
        <v>1000</v>
      </c>
      <c r="K366" s="2">
        <v>700</v>
      </c>
      <c r="L366" s="2">
        <v>0</v>
      </c>
      <c r="M366" s="2">
        <v>786943.97</v>
      </c>
      <c r="N366" s="2">
        <f t="shared" ref="N366:N456" si="7">G366+M366+I366</f>
        <v>1041339.7700000012</v>
      </c>
      <c r="O366" s="9" t="s">
        <v>4</v>
      </c>
    </row>
    <row r="367" spans="1:15" x14ac:dyDescent="0.2">
      <c r="A367">
        <v>15</v>
      </c>
      <c r="B367">
        <v>4</v>
      </c>
      <c r="C367" s="2">
        <v>4</v>
      </c>
      <c r="D367" s="2">
        <v>2</v>
      </c>
      <c r="E367" s="2">
        <v>3</v>
      </c>
      <c r="F367" s="2" t="s">
        <v>4</v>
      </c>
      <c r="G367" s="2">
        <v>273.80000000007999</v>
      </c>
      <c r="H367" s="2" t="s">
        <v>8</v>
      </c>
      <c r="I367" s="2">
        <v>343735.00000000099</v>
      </c>
      <c r="J367" s="2">
        <v>1000</v>
      </c>
      <c r="K367" s="2">
        <v>700</v>
      </c>
      <c r="L367" s="2">
        <v>0</v>
      </c>
      <c r="M367" s="2">
        <v>787043.97</v>
      </c>
      <c r="N367" s="2">
        <f t="shared" si="7"/>
        <v>1131052.7700000009</v>
      </c>
      <c r="O367" s="9" t="s">
        <v>4</v>
      </c>
    </row>
    <row r="368" spans="1:15" x14ac:dyDescent="0.2">
      <c r="A368">
        <v>16</v>
      </c>
      <c r="B368">
        <v>4</v>
      </c>
      <c r="C368" s="2">
        <v>4</v>
      </c>
      <c r="D368" s="2">
        <v>3</v>
      </c>
      <c r="E368" s="2">
        <v>1</v>
      </c>
      <c r="F368" s="2" t="s">
        <v>4</v>
      </c>
      <c r="G368" s="2">
        <v>261.80000000017901</v>
      </c>
      <c r="H368" s="2" t="s">
        <v>8</v>
      </c>
      <c r="I368" s="2">
        <v>356192.00000000198</v>
      </c>
      <c r="J368" s="2">
        <v>1000</v>
      </c>
      <c r="K368" s="2">
        <v>700</v>
      </c>
      <c r="L368" s="2">
        <v>0</v>
      </c>
      <c r="M368" s="2">
        <v>799723.97</v>
      </c>
      <c r="N368" s="2">
        <f t="shared" si="7"/>
        <v>1156177.7700000021</v>
      </c>
      <c r="O368" s="9" t="s">
        <v>4</v>
      </c>
    </row>
    <row r="369" spans="1:15" x14ac:dyDescent="0.2">
      <c r="A369">
        <v>17</v>
      </c>
      <c r="B369">
        <v>4</v>
      </c>
      <c r="C369" s="2">
        <v>4</v>
      </c>
      <c r="D369" s="2">
        <v>3</v>
      </c>
      <c r="E369" s="2">
        <v>2</v>
      </c>
      <c r="F369" s="2" t="s">
        <v>4</v>
      </c>
      <c r="G369" s="2">
        <v>255.000000001004</v>
      </c>
      <c r="H369" s="2" t="s">
        <v>8</v>
      </c>
      <c r="I369" s="2">
        <v>274740.00000000099</v>
      </c>
      <c r="J369" s="2">
        <v>1000</v>
      </c>
      <c r="K369" s="2">
        <v>700</v>
      </c>
      <c r="L369" s="2">
        <v>0</v>
      </c>
      <c r="M369" s="2">
        <v>803323.97</v>
      </c>
      <c r="N369" s="2">
        <f t="shared" si="7"/>
        <v>1078318.9700000021</v>
      </c>
      <c r="O369" s="9" t="s">
        <v>4</v>
      </c>
    </row>
    <row r="370" spans="1:15" x14ac:dyDescent="0.2">
      <c r="A370">
        <v>18</v>
      </c>
      <c r="B370">
        <v>4</v>
      </c>
      <c r="C370" s="2">
        <v>4</v>
      </c>
      <c r="D370" s="2">
        <v>3</v>
      </c>
      <c r="E370" s="2">
        <v>3</v>
      </c>
      <c r="F370" s="2" t="s">
        <v>4</v>
      </c>
      <c r="G370" s="2">
        <v>307.79999999950297</v>
      </c>
      <c r="H370" s="2" t="s">
        <v>8</v>
      </c>
      <c r="I370" s="2">
        <v>771308.99999999895</v>
      </c>
      <c r="J370" s="2">
        <v>1000</v>
      </c>
      <c r="K370" s="2">
        <v>700</v>
      </c>
      <c r="L370" s="2">
        <v>0</v>
      </c>
      <c r="M370" s="2">
        <v>823341.17</v>
      </c>
      <c r="N370" s="2">
        <f t="shared" si="7"/>
        <v>1594957.9699999983</v>
      </c>
      <c r="O370" s="9" t="s">
        <v>4</v>
      </c>
    </row>
    <row r="371" spans="1:15" x14ac:dyDescent="0.2">
      <c r="A371">
        <v>19</v>
      </c>
      <c r="B371">
        <v>4</v>
      </c>
      <c r="C371" s="2">
        <v>5</v>
      </c>
      <c r="D371" s="2">
        <v>2</v>
      </c>
      <c r="E371" s="2">
        <v>1</v>
      </c>
      <c r="F371" s="2" t="s">
        <v>4</v>
      </c>
      <c r="G371" s="2">
        <v>241.399999999459</v>
      </c>
      <c r="H371" s="2" t="s">
        <v>8</v>
      </c>
      <c r="I371" s="2">
        <v>274275.99999999697</v>
      </c>
      <c r="J371" s="2">
        <v>1000</v>
      </c>
      <c r="K371" s="2">
        <v>700</v>
      </c>
      <c r="L371" s="2">
        <v>0</v>
      </c>
      <c r="M371" s="2">
        <v>791543.17</v>
      </c>
      <c r="N371" s="2">
        <f t="shared" si="7"/>
        <v>1066060.5699999966</v>
      </c>
      <c r="O371" s="9" t="s">
        <v>4</v>
      </c>
    </row>
    <row r="372" spans="1:15" x14ac:dyDescent="0.2">
      <c r="A372">
        <v>20</v>
      </c>
      <c r="B372">
        <v>4</v>
      </c>
      <c r="C372" s="2">
        <v>5</v>
      </c>
      <c r="D372" s="2">
        <v>2</v>
      </c>
      <c r="E372" s="2">
        <v>2</v>
      </c>
      <c r="F372" s="2" t="s">
        <v>4</v>
      </c>
      <c r="G372" s="2">
        <v>301.59999999952402</v>
      </c>
      <c r="H372" s="2" t="s">
        <v>8</v>
      </c>
      <c r="I372" s="2">
        <v>556574.00000000105</v>
      </c>
      <c r="J372" s="2">
        <v>1000</v>
      </c>
      <c r="K372" s="2">
        <v>700</v>
      </c>
      <c r="L372" s="2">
        <v>0</v>
      </c>
      <c r="M372" s="2">
        <v>792044.37</v>
      </c>
      <c r="N372" s="2">
        <f t="shared" si="7"/>
        <v>1348919.9700000007</v>
      </c>
      <c r="O372" s="9" t="s">
        <v>4</v>
      </c>
    </row>
    <row r="373" spans="1:15" x14ac:dyDescent="0.2">
      <c r="A373">
        <v>21</v>
      </c>
      <c r="B373">
        <v>4</v>
      </c>
      <c r="C373" s="2">
        <v>5</v>
      </c>
      <c r="D373" s="2">
        <v>2</v>
      </c>
      <c r="E373" s="2">
        <v>3</v>
      </c>
      <c r="F373" s="2" t="s">
        <v>4</v>
      </c>
      <c r="G373" s="2">
        <v>295.000000000201</v>
      </c>
      <c r="H373" s="2" t="s">
        <v>8</v>
      </c>
      <c r="I373" s="2">
        <v>1036061</v>
      </c>
      <c r="J373" s="2">
        <v>1000</v>
      </c>
      <c r="K373" s="2">
        <v>700</v>
      </c>
      <c r="L373" s="2">
        <v>0</v>
      </c>
      <c r="M373" s="2">
        <v>792703.57</v>
      </c>
      <c r="N373" s="2">
        <f t="shared" si="7"/>
        <v>1829059.5700000003</v>
      </c>
      <c r="O373" s="9" t="s">
        <v>4</v>
      </c>
    </row>
    <row r="374" spans="1:15" x14ac:dyDescent="0.2">
      <c r="A374">
        <v>22</v>
      </c>
      <c r="B374">
        <v>4</v>
      </c>
      <c r="C374" s="2">
        <v>5</v>
      </c>
      <c r="D374" s="2">
        <v>3</v>
      </c>
      <c r="E374" s="2">
        <v>1</v>
      </c>
      <c r="F374" s="2" t="s">
        <v>4</v>
      </c>
      <c r="G374" s="2">
        <v>284.20000000011203</v>
      </c>
      <c r="H374" s="2" t="s">
        <v>8</v>
      </c>
      <c r="I374" s="2">
        <v>788309.00000000198</v>
      </c>
      <c r="J374" s="2">
        <v>1000</v>
      </c>
      <c r="K374" s="2">
        <v>700</v>
      </c>
      <c r="L374" s="2">
        <v>0</v>
      </c>
      <c r="M374" s="2">
        <v>806904.37</v>
      </c>
      <c r="N374" s="2">
        <f t="shared" si="7"/>
        <v>1595497.5700000022</v>
      </c>
      <c r="O374" s="9" t="s">
        <v>4</v>
      </c>
    </row>
    <row r="375" spans="1:15" x14ac:dyDescent="0.2">
      <c r="A375">
        <v>23</v>
      </c>
      <c r="B375">
        <v>4</v>
      </c>
      <c r="C375" s="2">
        <v>5</v>
      </c>
      <c r="D375" s="2">
        <v>3</v>
      </c>
      <c r="E375" s="2">
        <v>2</v>
      </c>
      <c r="F375" s="2" t="s">
        <v>4</v>
      </c>
      <c r="G375" s="2">
        <v>292.800000000426</v>
      </c>
      <c r="H375" s="2" t="s">
        <v>8</v>
      </c>
      <c r="I375" s="2">
        <v>713013</v>
      </c>
      <c r="J375" s="2">
        <v>1000</v>
      </c>
      <c r="K375" s="2">
        <v>700</v>
      </c>
      <c r="L375" s="2">
        <v>0</v>
      </c>
      <c r="M375" s="2">
        <v>836105.17</v>
      </c>
      <c r="N375" s="2">
        <f t="shared" si="7"/>
        <v>1549410.9700000004</v>
      </c>
      <c r="O375" s="9" t="s">
        <v>4</v>
      </c>
    </row>
    <row r="376" spans="1:15" x14ac:dyDescent="0.2">
      <c r="A376">
        <v>24</v>
      </c>
      <c r="B376">
        <v>4</v>
      </c>
      <c r="C376" s="2">
        <v>5</v>
      </c>
      <c r="D376" s="2">
        <v>3</v>
      </c>
      <c r="E376" s="2">
        <v>3</v>
      </c>
      <c r="F376" s="2" t="s">
        <v>4</v>
      </c>
      <c r="G376" s="2">
        <v>352.60000000043601</v>
      </c>
      <c r="H376" s="2" t="s">
        <v>8</v>
      </c>
      <c r="I376" s="2">
        <v>1699718</v>
      </c>
      <c r="J376" s="2">
        <v>1000</v>
      </c>
      <c r="K376" s="2">
        <v>700</v>
      </c>
      <c r="L376" s="2">
        <v>0</v>
      </c>
      <c r="M376" s="2">
        <v>784425.17</v>
      </c>
      <c r="N376" s="2">
        <f t="shared" si="7"/>
        <v>2484495.7700000005</v>
      </c>
      <c r="O376" s="9" t="s">
        <v>4</v>
      </c>
    </row>
    <row r="377" spans="1:15" x14ac:dyDescent="0.2">
      <c r="A377">
        <v>25</v>
      </c>
      <c r="B377">
        <v>4</v>
      </c>
      <c r="C377" s="2">
        <v>6</v>
      </c>
      <c r="D377" s="2">
        <v>3</v>
      </c>
      <c r="E377" s="2">
        <v>1</v>
      </c>
      <c r="F377" s="2" t="s">
        <v>4</v>
      </c>
      <c r="G377" s="2">
        <v>315.00000000015399</v>
      </c>
      <c r="H377" s="2" t="s">
        <v>8</v>
      </c>
      <c r="I377" s="2">
        <v>748591.99999999895</v>
      </c>
      <c r="J377" s="2">
        <v>1000</v>
      </c>
      <c r="K377" s="2">
        <v>700</v>
      </c>
      <c r="L377" s="2">
        <v>0</v>
      </c>
      <c r="M377" s="2">
        <v>795644.37</v>
      </c>
      <c r="N377" s="2">
        <f t="shared" si="7"/>
        <v>1544551.3699999992</v>
      </c>
      <c r="O377" s="9" t="s">
        <v>4</v>
      </c>
    </row>
    <row r="378" spans="1:15" x14ac:dyDescent="0.2">
      <c r="A378">
        <v>26</v>
      </c>
      <c r="B378">
        <v>4</v>
      </c>
      <c r="C378" s="2">
        <v>6</v>
      </c>
      <c r="D378" s="2">
        <v>3</v>
      </c>
      <c r="E378" s="2">
        <v>2</v>
      </c>
      <c r="F378" s="2" t="s">
        <v>4</v>
      </c>
      <c r="G378" s="2">
        <v>324.400000000224</v>
      </c>
      <c r="H378" s="2" t="s">
        <v>8</v>
      </c>
      <c r="I378" s="2">
        <v>1090027</v>
      </c>
      <c r="J378" s="2">
        <v>1000</v>
      </c>
      <c r="K378" s="2">
        <v>700</v>
      </c>
      <c r="L378" s="2">
        <v>0</v>
      </c>
      <c r="M378" s="2">
        <v>791526.37</v>
      </c>
      <c r="N378" s="2">
        <f t="shared" si="7"/>
        <v>1881877.7700000003</v>
      </c>
      <c r="O378" s="9" t="s">
        <v>4</v>
      </c>
    </row>
    <row r="379" spans="1:15" x14ac:dyDescent="0.2">
      <c r="A379">
        <v>27</v>
      </c>
      <c r="B379">
        <v>4</v>
      </c>
      <c r="C379" s="2">
        <v>6</v>
      </c>
      <c r="D379" s="2">
        <v>3</v>
      </c>
      <c r="E379" s="2">
        <v>3</v>
      </c>
      <c r="F379" s="2" t="s">
        <v>4</v>
      </c>
      <c r="G379" s="2">
        <v>408.40000000024202</v>
      </c>
      <c r="H379" s="2" t="s">
        <v>8</v>
      </c>
      <c r="I379" s="2">
        <v>1930913</v>
      </c>
      <c r="J379" s="2">
        <v>1000</v>
      </c>
      <c r="K379" s="2">
        <v>700</v>
      </c>
      <c r="L379" s="2">
        <v>0</v>
      </c>
      <c r="M379" s="2">
        <v>798002.37</v>
      </c>
      <c r="N379" s="2">
        <f t="shared" si="7"/>
        <v>2729323.7700000005</v>
      </c>
      <c r="O379" s="9" t="s">
        <v>4</v>
      </c>
    </row>
    <row r="380" spans="1:15" x14ac:dyDescent="0.2">
      <c r="A380">
        <v>1</v>
      </c>
      <c r="B380">
        <v>4</v>
      </c>
      <c r="C380" s="2">
        <v>3</v>
      </c>
      <c r="D380" s="2">
        <v>2</v>
      </c>
      <c r="E380" s="2">
        <v>1</v>
      </c>
      <c r="F380" s="2" t="s">
        <v>4</v>
      </c>
      <c r="G380" s="2">
        <v>686.60000000022603</v>
      </c>
      <c r="H380" s="2" t="s">
        <v>16</v>
      </c>
      <c r="I380" s="2">
        <v>41551.999999967396</v>
      </c>
      <c r="J380" s="2">
        <v>1000</v>
      </c>
      <c r="K380" s="2">
        <v>300</v>
      </c>
      <c r="L380" s="2">
        <v>0</v>
      </c>
      <c r="M380" s="2">
        <v>381587.21</v>
      </c>
      <c r="N380" s="2">
        <f t="shared" ref="N380:N406" si="8">G380+M380+I380</f>
        <v>423825.80999996763</v>
      </c>
      <c r="O380" s="2" t="s">
        <v>5</v>
      </c>
    </row>
    <row r="381" spans="1:15" x14ac:dyDescent="0.2">
      <c r="A381">
        <v>2</v>
      </c>
      <c r="B381">
        <v>4</v>
      </c>
      <c r="C381" s="2">
        <v>3</v>
      </c>
      <c r="D381" s="2">
        <v>2</v>
      </c>
      <c r="E381" s="2">
        <v>2</v>
      </c>
      <c r="F381" s="2" t="s">
        <v>4</v>
      </c>
      <c r="G381" s="2">
        <v>595.39999999991301</v>
      </c>
      <c r="H381" s="2" t="s">
        <v>16</v>
      </c>
      <c r="I381" s="2">
        <v>274612.00000004697</v>
      </c>
      <c r="J381" s="2">
        <v>1000</v>
      </c>
      <c r="K381" s="2">
        <v>300</v>
      </c>
      <c r="L381" s="2">
        <v>0</v>
      </c>
      <c r="M381" s="2">
        <v>382707.21</v>
      </c>
      <c r="N381" s="2">
        <f t="shared" si="8"/>
        <v>657914.6100000469</v>
      </c>
      <c r="O381" s="2" t="s">
        <v>4</v>
      </c>
    </row>
    <row r="382" spans="1:15" x14ac:dyDescent="0.2">
      <c r="A382">
        <v>3</v>
      </c>
      <c r="B382">
        <v>4</v>
      </c>
      <c r="C382" s="2">
        <v>3</v>
      </c>
      <c r="D382" s="2">
        <v>2</v>
      </c>
      <c r="E382" s="2">
        <v>3</v>
      </c>
      <c r="F382" s="2" t="s">
        <v>4</v>
      </c>
      <c r="G382" s="2">
        <v>510.39999999993302</v>
      </c>
      <c r="H382" s="2" t="s">
        <v>16</v>
      </c>
      <c r="I382" s="2">
        <v>107829.999999979</v>
      </c>
      <c r="J382" s="2">
        <v>1000</v>
      </c>
      <c r="K382" s="2">
        <v>300</v>
      </c>
      <c r="L382" s="2">
        <v>0</v>
      </c>
      <c r="M382" s="2">
        <v>394907.21</v>
      </c>
      <c r="N382" s="2">
        <f t="shared" si="8"/>
        <v>503247.60999997891</v>
      </c>
      <c r="O382" s="2" t="s">
        <v>4</v>
      </c>
    </row>
    <row r="383" spans="1:15" x14ac:dyDescent="0.2">
      <c r="A383">
        <v>4</v>
      </c>
      <c r="B383">
        <v>4</v>
      </c>
      <c r="C383" s="2">
        <v>3</v>
      </c>
      <c r="D383" s="2">
        <v>3</v>
      </c>
      <c r="E383" s="2">
        <v>1</v>
      </c>
      <c r="F383" s="2" t="s">
        <v>4</v>
      </c>
      <c r="G383" s="2">
        <v>455.79999999958397</v>
      </c>
      <c r="H383" s="2" t="s">
        <v>16</v>
      </c>
      <c r="I383" s="2">
        <v>73137.000000031097</v>
      </c>
      <c r="J383" s="2">
        <v>1000</v>
      </c>
      <c r="K383" s="2">
        <v>300</v>
      </c>
      <c r="L383" s="2">
        <v>0</v>
      </c>
      <c r="M383" s="2">
        <v>382627.61</v>
      </c>
      <c r="N383" s="2">
        <f t="shared" si="8"/>
        <v>456220.41000003065</v>
      </c>
      <c r="O383" s="2" t="s">
        <v>4</v>
      </c>
    </row>
    <row r="384" spans="1:15" x14ac:dyDescent="0.2">
      <c r="A384">
        <v>5</v>
      </c>
      <c r="B384">
        <v>4</v>
      </c>
      <c r="C384" s="2">
        <v>3</v>
      </c>
      <c r="D384" s="2">
        <v>3</v>
      </c>
      <c r="E384" s="2">
        <v>2</v>
      </c>
      <c r="F384" s="2" t="s">
        <v>4</v>
      </c>
      <c r="G384" s="2">
        <v>514.60000000034302</v>
      </c>
      <c r="H384" s="2" t="s">
        <v>16</v>
      </c>
      <c r="I384" s="2">
        <v>86206.000000004206</v>
      </c>
      <c r="J384" s="2">
        <v>1000</v>
      </c>
      <c r="K384" s="2">
        <v>300</v>
      </c>
      <c r="L384" s="2">
        <v>0</v>
      </c>
      <c r="M384" s="2">
        <v>377267.21</v>
      </c>
      <c r="N384" s="2">
        <f t="shared" si="8"/>
        <v>463987.81000000454</v>
      </c>
      <c r="O384" s="2" t="s">
        <v>4</v>
      </c>
    </row>
    <row r="385" spans="1:15" x14ac:dyDescent="0.2">
      <c r="A385">
        <v>6</v>
      </c>
      <c r="B385">
        <v>4</v>
      </c>
      <c r="C385" s="2">
        <v>3</v>
      </c>
      <c r="D385" s="2">
        <v>3</v>
      </c>
      <c r="E385" s="2">
        <v>3</v>
      </c>
      <c r="F385" s="2" t="s">
        <v>4</v>
      </c>
      <c r="G385" s="2">
        <v>535.59999999990305</v>
      </c>
      <c r="H385" s="2" t="s">
        <v>16</v>
      </c>
      <c r="I385" s="2">
        <v>206090.000000017</v>
      </c>
      <c r="J385" s="2">
        <v>1000</v>
      </c>
      <c r="K385" s="2">
        <v>300</v>
      </c>
      <c r="L385" s="2">
        <v>0</v>
      </c>
      <c r="M385" s="2">
        <v>379947.21</v>
      </c>
      <c r="N385" s="2">
        <f t="shared" si="8"/>
        <v>586572.81000001694</v>
      </c>
      <c r="O385" s="2" t="s">
        <v>4</v>
      </c>
    </row>
    <row r="386" spans="1:15" x14ac:dyDescent="0.2">
      <c r="A386">
        <v>7</v>
      </c>
      <c r="B386">
        <v>4</v>
      </c>
      <c r="C386" s="2">
        <v>4</v>
      </c>
      <c r="D386" s="2">
        <v>2</v>
      </c>
      <c r="E386" s="2">
        <v>1</v>
      </c>
      <c r="F386" s="2" t="s">
        <v>4</v>
      </c>
      <c r="G386" s="2">
        <v>354.799999999855</v>
      </c>
      <c r="H386" s="2" t="s">
        <v>16</v>
      </c>
      <c r="I386" s="2">
        <v>56281.000000012697</v>
      </c>
      <c r="J386" s="2">
        <v>1000</v>
      </c>
      <c r="K386" s="2">
        <v>300</v>
      </c>
      <c r="L386" s="2">
        <v>0</v>
      </c>
      <c r="M386" s="2">
        <v>401987.21</v>
      </c>
      <c r="N386" s="2">
        <f t="shared" si="8"/>
        <v>458623.01000001258</v>
      </c>
      <c r="O386" s="2" t="s">
        <v>5</v>
      </c>
    </row>
    <row r="387" spans="1:15" x14ac:dyDescent="0.2">
      <c r="A387">
        <v>8</v>
      </c>
      <c r="B387">
        <v>4</v>
      </c>
      <c r="C387" s="2">
        <v>4</v>
      </c>
      <c r="D387" s="2">
        <v>2</v>
      </c>
      <c r="E387" s="2">
        <v>2</v>
      </c>
      <c r="F387" s="2" t="s">
        <v>4</v>
      </c>
      <c r="G387" s="2">
        <v>408.79999999958699</v>
      </c>
      <c r="H387" s="2" t="s">
        <v>16</v>
      </c>
      <c r="I387" s="2">
        <v>241269.00000004499</v>
      </c>
      <c r="J387" s="2">
        <v>1000</v>
      </c>
      <c r="K387" s="2">
        <v>300</v>
      </c>
      <c r="L387" s="2">
        <v>0</v>
      </c>
      <c r="M387" s="2">
        <v>395467.61</v>
      </c>
      <c r="N387" s="2">
        <f t="shared" si="8"/>
        <v>637145.41000004462</v>
      </c>
      <c r="O387" s="2" t="s">
        <v>4</v>
      </c>
    </row>
    <row r="388" spans="1:15" x14ac:dyDescent="0.2">
      <c r="A388">
        <v>9</v>
      </c>
      <c r="B388">
        <v>4</v>
      </c>
      <c r="C388" s="2">
        <v>4</v>
      </c>
      <c r="D388" s="2">
        <v>2</v>
      </c>
      <c r="E388" s="2">
        <v>3</v>
      </c>
      <c r="F388" s="2" t="s">
        <v>4</v>
      </c>
      <c r="G388" s="2">
        <v>315.400000000565</v>
      </c>
      <c r="H388" s="2" t="s">
        <v>16</v>
      </c>
      <c r="I388" s="2">
        <v>186287.99999998999</v>
      </c>
      <c r="J388" s="2">
        <v>1000</v>
      </c>
      <c r="K388" s="2">
        <v>300</v>
      </c>
      <c r="L388" s="2">
        <v>0</v>
      </c>
      <c r="M388" s="2">
        <v>412787.21</v>
      </c>
      <c r="N388" s="2">
        <f t="shared" si="8"/>
        <v>599390.60999999056</v>
      </c>
      <c r="O388" s="2" t="s">
        <v>4</v>
      </c>
    </row>
    <row r="389" spans="1:15" x14ac:dyDescent="0.2">
      <c r="A389">
        <v>10</v>
      </c>
      <c r="B389">
        <v>4</v>
      </c>
      <c r="C389" s="2">
        <v>4</v>
      </c>
      <c r="D389" s="2">
        <v>3</v>
      </c>
      <c r="E389" s="2">
        <v>1</v>
      </c>
      <c r="F389" s="2" t="s">
        <v>4</v>
      </c>
      <c r="G389" s="2">
        <v>303.20000000010299</v>
      </c>
      <c r="H389" s="2" t="s">
        <v>16</v>
      </c>
      <c r="I389" s="2">
        <v>234249.999999975</v>
      </c>
      <c r="J389" s="2">
        <v>1000</v>
      </c>
      <c r="K389" s="2">
        <v>300</v>
      </c>
      <c r="L389" s="2">
        <v>0</v>
      </c>
      <c r="M389" s="2">
        <v>404027.61</v>
      </c>
      <c r="N389" s="2">
        <f t="shared" si="8"/>
        <v>638580.80999997514</v>
      </c>
      <c r="O389" s="2" t="s">
        <v>4</v>
      </c>
    </row>
    <row r="390" spans="1:15" x14ac:dyDescent="0.2">
      <c r="A390">
        <v>11</v>
      </c>
      <c r="B390">
        <v>4</v>
      </c>
      <c r="C390" s="2">
        <v>4</v>
      </c>
      <c r="D390" s="2">
        <v>3</v>
      </c>
      <c r="E390" s="2">
        <v>2</v>
      </c>
      <c r="F390" s="2" t="s">
        <v>4</v>
      </c>
      <c r="G390" s="2">
        <v>291.60000000025798</v>
      </c>
      <c r="H390" s="2" t="s">
        <v>16</v>
      </c>
      <c r="I390" s="2">
        <v>264225.00000001001</v>
      </c>
      <c r="J390" s="2">
        <v>1000</v>
      </c>
      <c r="K390" s="2">
        <v>300</v>
      </c>
      <c r="L390" s="2">
        <v>0</v>
      </c>
      <c r="M390" s="2">
        <v>410507.21</v>
      </c>
      <c r="N390" s="2">
        <f t="shared" si="8"/>
        <v>675023.8100000103</v>
      </c>
      <c r="O390" s="2" t="s">
        <v>4</v>
      </c>
    </row>
    <row r="391" spans="1:15" x14ac:dyDescent="0.2">
      <c r="A391">
        <v>12</v>
      </c>
      <c r="B391">
        <v>4</v>
      </c>
      <c r="C391" s="2">
        <v>4</v>
      </c>
      <c r="D391" s="2">
        <v>3</v>
      </c>
      <c r="E391" s="2">
        <v>3</v>
      </c>
      <c r="F391" s="2" t="s">
        <v>4</v>
      </c>
      <c r="G391" s="2">
        <v>339.79999999971301</v>
      </c>
      <c r="H391" s="2" t="s">
        <v>16</v>
      </c>
      <c r="I391" s="2">
        <v>238984.00000001601</v>
      </c>
      <c r="J391" s="2">
        <v>1000</v>
      </c>
      <c r="K391" s="2">
        <v>300</v>
      </c>
      <c r="L391" s="2">
        <v>0</v>
      </c>
      <c r="M391" s="2">
        <v>417627.61</v>
      </c>
      <c r="N391" s="2">
        <f t="shared" si="8"/>
        <v>656951.41000001575</v>
      </c>
      <c r="O391" s="2" t="s">
        <v>4</v>
      </c>
    </row>
    <row r="392" spans="1:15" x14ac:dyDescent="0.2">
      <c r="A392">
        <v>13</v>
      </c>
      <c r="B392">
        <v>4</v>
      </c>
      <c r="C392" s="2">
        <v>4</v>
      </c>
      <c r="D392" s="2">
        <v>2</v>
      </c>
      <c r="E392" s="2">
        <v>1</v>
      </c>
      <c r="F392" s="2" t="s">
        <v>4</v>
      </c>
      <c r="G392" s="2">
        <v>225.19999999985899</v>
      </c>
      <c r="H392" s="2" t="s">
        <v>16</v>
      </c>
      <c r="I392" s="2">
        <v>107898.00000003399</v>
      </c>
      <c r="J392" s="2">
        <v>1000</v>
      </c>
      <c r="K392" s="2">
        <v>300</v>
      </c>
      <c r="L392" s="2">
        <v>0</v>
      </c>
      <c r="M392" s="2">
        <v>377307.61</v>
      </c>
      <c r="N392" s="2">
        <f t="shared" si="8"/>
        <v>485430.81000003382</v>
      </c>
      <c r="O392" s="2" t="s">
        <v>5</v>
      </c>
    </row>
    <row r="393" spans="1:15" x14ac:dyDescent="0.2">
      <c r="A393">
        <v>14</v>
      </c>
      <c r="B393">
        <v>4</v>
      </c>
      <c r="C393" s="2">
        <v>4</v>
      </c>
      <c r="D393" s="2">
        <v>2</v>
      </c>
      <c r="E393" s="2">
        <v>2</v>
      </c>
      <c r="F393" s="2" t="s">
        <v>4</v>
      </c>
      <c r="G393" s="2">
        <v>285.80000000033601</v>
      </c>
      <c r="H393" s="2" t="s">
        <v>16</v>
      </c>
      <c r="I393" s="2">
        <v>234233.999999958</v>
      </c>
      <c r="J393" s="2">
        <v>1000</v>
      </c>
      <c r="K393" s="2">
        <v>300</v>
      </c>
      <c r="L393" s="2">
        <v>0</v>
      </c>
      <c r="M393" s="2">
        <v>397228.41</v>
      </c>
      <c r="N393" s="2">
        <f t="shared" si="8"/>
        <v>631748.20999995829</v>
      </c>
      <c r="O393" s="2" t="s">
        <v>4</v>
      </c>
    </row>
    <row r="394" spans="1:15" x14ac:dyDescent="0.2">
      <c r="A394">
        <v>15</v>
      </c>
      <c r="B394">
        <v>4</v>
      </c>
      <c r="C394" s="2">
        <v>4</v>
      </c>
      <c r="D394" s="2">
        <v>2</v>
      </c>
      <c r="E394" s="2">
        <v>3</v>
      </c>
      <c r="F394" s="2" t="s">
        <v>4</v>
      </c>
      <c r="G394" s="2">
        <v>273.80000000007999</v>
      </c>
      <c r="H394" s="2" t="s">
        <v>16</v>
      </c>
      <c r="I394" s="2">
        <v>299454.00000002602</v>
      </c>
      <c r="J394" s="2">
        <v>1000</v>
      </c>
      <c r="K394" s="2">
        <v>300</v>
      </c>
      <c r="L394" s="2">
        <v>0</v>
      </c>
      <c r="M394" s="2">
        <v>411147.21</v>
      </c>
      <c r="N394" s="2">
        <f t="shared" si="8"/>
        <v>710875.01000002609</v>
      </c>
      <c r="O394" s="2" t="s">
        <v>4</v>
      </c>
    </row>
    <row r="395" spans="1:15" x14ac:dyDescent="0.2">
      <c r="A395">
        <v>16</v>
      </c>
      <c r="B395">
        <v>4</v>
      </c>
      <c r="C395" s="2">
        <v>4</v>
      </c>
      <c r="D395" s="2">
        <v>3</v>
      </c>
      <c r="E395" s="2">
        <v>1</v>
      </c>
      <c r="F395" s="2" t="s">
        <v>4</v>
      </c>
      <c r="G395" s="2">
        <v>261.80000000017901</v>
      </c>
      <c r="H395" s="2" t="s">
        <v>16</v>
      </c>
      <c r="I395" s="2">
        <v>168532.00000002701</v>
      </c>
      <c r="J395" s="2">
        <v>1000</v>
      </c>
      <c r="K395" s="2">
        <v>300</v>
      </c>
      <c r="L395" s="2">
        <v>0</v>
      </c>
      <c r="M395" s="2">
        <v>385027.21</v>
      </c>
      <c r="N395" s="2">
        <f t="shared" si="8"/>
        <v>553821.01000002725</v>
      </c>
      <c r="O395" s="2" t="s">
        <v>4</v>
      </c>
    </row>
    <row r="396" spans="1:15" x14ac:dyDescent="0.2">
      <c r="A396">
        <v>17</v>
      </c>
      <c r="B396">
        <v>4</v>
      </c>
      <c r="C396" s="2">
        <v>4</v>
      </c>
      <c r="D396" s="2">
        <v>3</v>
      </c>
      <c r="E396" s="2">
        <v>2</v>
      </c>
      <c r="F396" s="2" t="s">
        <v>4</v>
      </c>
      <c r="G396" s="2">
        <v>255.000000001004</v>
      </c>
      <c r="H396" s="2" t="s">
        <v>16</v>
      </c>
      <c r="I396" s="2">
        <v>125322.00000004</v>
      </c>
      <c r="J396" s="2">
        <v>1000</v>
      </c>
      <c r="K396" s="2">
        <v>300</v>
      </c>
      <c r="L396" s="2">
        <v>0</v>
      </c>
      <c r="M396" s="2">
        <v>384627.21</v>
      </c>
      <c r="N396" s="2">
        <f t="shared" si="8"/>
        <v>510204.210000041</v>
      </c>
      <c r="O396" s="2" t="s">
        <v>4</v>
      </c>
    </row>
    <row r="397" spans="1:15" x14ac:dyDescent="0.2">
      <c r="A397">
        <v>18</v>
      </c>
      <c r="B397">
        <v>4</v>
      </c>
      <c r="C397" s="2">
        <v>4</v>
      </c>
      <c r="D397" s="2">
        <v>3</v>
      </c>
      <c r="E397" s="2">
        <v>3</v>
      </c>
      <c r="F397" s="2" t="s">
        <v>4</v>
      </c>
      <c r="G397" s="2">
        <v>307.79999999950297</v>
      </c>
      <c r="H397" s="2" t="s">
        <v>16</v>
      </c>
      <c r="I397" s="2">
        <v>445655.99999998498</v>
      </c>
      <c r="J397" s="2">
        <v>1000</v>
      </c>
      <c r="K397" s="2">
        <v>300</v>
      </c>
      <c r="L397" s="2">
        <v>0</v>
      </c>
      <c r="M397" s="2">
        <v>384906.41</v>
      </c>
      <c r="N397" s="2">
        <f t="shared" si="8"/>
        <v>830870.20999998448</v>
      </c>
      <c r="O397" s="2" t="s">
        <v>4</v>
      </c>
    </row>
    <row r="398" spans="1:15" x14ac:dyDescent="0.2">
      <c r="A398">
        <v>19</v>
      </c>
      <c r="B398">
        <v>4</v>
      </c>
      <c r="C398" s="2">
        <v>5</v>
      </c>
      <c r="D398" s="2">
        <v>2</v>
      </c>
      <c r="E398" s="2">
        <v>1</v>
      </c>
      <c r="F398" s="2" t="s">
        <v>4</v>
      </c>
      <c r="G398" s="2">
        <v>241.399999999459</v>
      </c>
      <c r="H398" s="2" t="s">
        <v>16</v>
      </c>
      <c r="I398" s="2">
        <v>86420.000000032407</v>
      </c>
      <c r="J398" s="2">
        <v>1000</v>
      </c>
      <c r="K398" s="2">
        <v>300</v>
      </c>
      <c r="L398" s="2">
        <v>0</v>
      </c>
      <c r="M398" s="2">
        <v>402387.21</v>
      </c>
      <c r="N398" s="2">
        <f t="shared" si="8"/>
        <v>489048.61000003188</v>
      </c>
      <c r="O398" s="2" t="s">
        <v>5</v>
      </c>
    </row>
    <row r="399" spans="1:15" x14ac:dyDescent="0.2">
      <c r="A399">
        <v>20</v>
      </c>
      <c r="B399">
        <v>4</v>
      </c>
      <c r="C399" s="2">
        <v>5</v>
      </c>
      <c r="D399" s="2">
        <v>2</v>
      </c>
      <c r="E399" s="2">
        <v>2</v>
      </c>
      <c r="F399" s="2" t="s">
        <v>4</v>
      </c>
      <c r="G399" s="2">
        <v>301.59999999952402</v>
      </c>
      <c r="H399" s="2" t="s">
        <v>16</v>
      </c>
      <c r="I399" s="2">
        <v>298383.99999999901</v>
      </c>
      <c r="J399" s="2">
        <v>1000</v>
      </c>
      <c r="K399" s="2">
        <v>300</v>
      </c>
      <c r="L399" s="2">
        <v>0</v>
      </c>
      <c r="M399" s="2">
        <v>396867.61</v>
      </c>
      <c r="N399" s="2">
        <f t="shared" si="8"/>
        <v>695553.20999999857</v>
      </c>
      <c r="O399" s="2" t="s">
        <v>4</v>
      </c>
    </row>
    <row r="400" spans="1:15" x14ac:dyDescent="0.2">
      <c r="A400">
        <v>21</v>
      </c>
      <c r="B400">
        <v>4</v>
      </c>
      <c r="C400" s="2">
        <v>5</v>
      </c>
      <c r="D400" s="2">
        <v>2</v>
      </c>
      <c r="E400" s="2">
        <v>3</v>
      </c>
      <c r="F400" s="2" t="s">
        <v>4</v>
      </c>
      <c r="G400" s="2">
        <v>295.000000000201</v>
      </c>
      <c r="H400" s="2" t="s">
        <v>16</v>
      </c>
      <c r="I400" s="2">
        <v>248884.99999997299</v>
      </c>
      <c r="J400" s="2">
        <v>1000</v>
      </c>
      <c r="K400" s="2">
        <v>300</v>
      </c>
      <c r="L400" s="2">
        <v>0</v>
      </c>
      <c r="M400" s="2">
        <v>383146.41</v>
      </c>
      <c r="N400" s="2">
        <f t="shared" si="8"/>
        <v>632326.40999997314</v>
      </c>
      <c r="O400" s="2" t="s">
        <v>4</v>
      </c>
    </row>
    <row r="401" spans="1:15" x14ac:dyDescent="0.2">
      <c r="A401">
        <v>22</v>
      </c>
      <c r="B401">
        <v>4</v>
      </c>
      <c r="C401" s="2">
        <v>5</v>
      </c>
      <c r="D401" s="2">
        <v>3</v>
      </c>
      <c r="E401" s="2">
        <v>1</v>
      </c>
      <c r="F401" s="2" t="s">
        <v>4</v>
      </c>
      <c r="G401" s="2">
        <v>284.20000000011203</v>
      </c>
      <c r="H401" s="2" t="s">
        <v>16</v>
      </c>
      <c r="I401" s="2">
        <v>193147.00000001001</v>
      </c>
      <c r="J401" s="2">
        <v>1000</v>
      </c>
      <c r="K401" s="2">
        <v>300</v>
      </c>
      <c r="L401" s="2">
        <v>0</v>
      </c>
      <c r="M401" s="2">
        <v>414867.61</v>
      </c>
      <c r="N401" s="2">
        <f t="shared" si="8"/>
        <v>608298.81000001007</v>
      </c>
      <c r="O401" s="2" t="s">
        <v>4</v>
      </c>
    </row>
    <row r="402" spans="1:15" x14ac:dyDescent="0.2">
      <c r="A402">
        <v>23</v>
      </c>
      <c r="B402">
        <v>4</v>
      </c>
      <c r="C402" s="2">
        <v>5</v>
      </c>
      <c r="D402" s="2">
        <v>3</v>
      </c>
      <c r="E402" s="2">
        <v>2</v>
      </c>
      <c r="F402" s="2" t="s">
        <v>4</v>
      </c>
      <c r="G402" s="2">
        <v>292.800000000426</v>
      </c>
      <c r="H402" s="2" t="s">
        <v>16</v>
      </c>
      <c r="I402" s="2">
        <v>373690.000000011</v>
      </c>
      <c r="J402" s="2">
        <v>1000</v>
      </c>
      <c r="K402" s="2">
        <v>300</v>
      </c>
      <c r="L402" s="2">
        <v>0</v>
      </c>
      <c r="M402" s="2">
        <v>385226.81</v>
      </c>
      <c r="N402" s="2">
        <f t="shared" si="8"/>
        <v>759209.61000001151</v>
      </c>
      <c r="O402" s="2" t="s">
        <v>4</v>
      </c>
    </row>
    <row r="403" spans="1:15" x14ac:dyDescent="0.2">
      <c r="A403">
        <v>24</v>
      </c>
      <c r="B403">
        <v>4</v>
      </c>
      <c r="C403" s="2">
        <v>5</v>
      </c>
      <c r="D403" s="2">
        <v>3</v>
      </c>
      <c r="E403" s="2">
        <v>3</v>
      </c>
      <c r="F403" s="2" t="s">
        <v>4</v>
      </c>
      <c r="G403" s="2">
        <v>352.60000000043601</v>
      </c>
      <c r="H403" s="2" t="s">
        <v>16</v>
      </c>
      <c r="I403" s="2">
        <v>513671.00000004499</v>
      </c>
      <c r="J403" s="2">
        <v>1000</v>
      </c>
      <c r="K403" s="2">
        <v>300</v>
      </c>
      <c r="L403" s="2">
        <v>0</v>
      </c>
      <c r="M403" s="2">
        <v>404507.21</v>
      </c>
      <c r="N403" s="2">
        <f t="shared" si="8"/>
        <v>918530.81000004546</v>
      </c>
      <c r="O403" s="2" t="s">
        <v>4</v>
      </c>
    </row>
    <row r="404" spans="1:15" x14ac:dyDescent="0.2">
      <c r="A404">
        <v>25</v>
      </c>
      <c r="B404">
        <v>4</v>
      </c>
      <c r="C404" s="2">
        <v>6</v>
      </c>
      <c r="D404" s="2">
        <v>3</v>
      </c>
      <c r="E404" s="2">
        <v>1</v>
      </c>
      <c r="F404" s="2" t="s">
        <v>4</v>
      </c>
      <c r="G404" s="2">
        <v>315.00000000015399</v>
      </c>
      <c r="H404" s="2" t="s">
        <v>16</v>
      </c>
      <c r="I404" s="2">
        <v>392347.00000002899</v>
      </c>
      <c r="J404" s="2">
        <v>1000</v>
      </c>
      <c r="K404" s="2">
        <v>300</v>
      </c>
      <c r="L404" s="2">
        <v>0</v>
      </c>
      <c r="M404" s="2">
        <v>411507.61</v>
      </c>
      <c r="N404" s="2">
        <f t="shared" si="8"/>
        <v>804169.61000002921</v>
      </c>
      <c r="O404" s="2" t="s">
        <v>4</v>
      </c>
    </row>
    <row r="405" spans="1:15" x14ac:dyDescent="0.2">
      <c r="A405">
        <v>26</v>
      </c>
      <c r="B405">
        <v>4</v>
      </c>
      <c r="C405" s="2">
        <v>6</v>
      </c>
      <c r="D405" s="2">
        <v>3</v>
      </c>
      <c r="E405" s="2">
        <v>2</v>
      </c>
      <c r="F405" s="2" t="s">
        <v>4</v>
      </c>
      <c r="G405" s="2">
        <v>324.400000000224</v>
      </c>
      <c r="H405" s="2" t="s">
        <v>16</v>
      </c>
      <c r="I405" s="2">
        <v>725330.999999983</v>
      </c>
      <c r="J405" s="2">
        <v>1000</v>
      </c>
      <c r="K405" s="2">
        <v>300</v>
      </c>
      <c r="L405" s="2">
        <v>0</v>
      </c>
      <c r="M405" s="2">
        <v>384027.61</v>
      </c>
      <c r="N405" s="2">
        <f t="shared" si="8"/>
        <v>1109683.0099999832</v>
      </c>
      <c r="O405" s="2" t="s">
        <v>4</v>
      </c>
    </row>
    <row r="406" spans="1:15" x14ac:dyDescent="0.2">
      <c r="A406">
        <v>27</v>
      </c>
      <c r="B406">
        <v>4</v>
      </c>
      <c r="C406" s="2">
        <v>6</v>
      </c>
      <c r="D406" s="2">
        <v>3</v>
      </c>
      <c r="E406" s="2">
        <v>3</v>
      </c>
      <c r="F406" s="2" t="s">
        <v>4</v>
      </c>
      <c r="G406" s="2">
        <v>408.40000000024202</v>
      </c>
      <c r="H406" s="2" t="s">
        <v>16</v>
      </c>
      <c r="I406" s="2">
        <v>531781.00000002398</v>
      </c>
      <c r="J406" s="2">
        <v>1000</v>
      </c>
      <c r="K406" s="2">
        <v>300</v>
      </c>
      <c r="L406" s="2">
        <v>0</v>
      </c>
      <c r="M406" s="2">
        <v>384826.81</v>
      </c>
      <c r="N406" s="2">
        <f t="shared" si="8"/>
        <v>917016.21000002418</v>
      </c>
      <c r="O406" s="2" t="s">
        <v>4</v>
      </c>
    </row>
    <row r="407" spans="1:15" x14ac:dyDescent="0.2">
      <c r="A407">
        <v>1</v>
      </c>
      <c r="B407">
        <v>4</v>
      </c>
      <c r="C407" s="2">
        <v>3</v>
      </c>
      <c r="D407" s="2">
        <v>2</v>
      </c>
      <c r="E407" s="2">
        <v>1</v>
      </c>
      <c r="F407" s="2" t="s">
        <v>4</v>
      </c>
      <c r="G407" s="2">
        <v>686.60000000022603</v>
      </c>
      <c r="H407" s="2" t="s">
        <v>16</v>
      </c>
      <c r="I407" s="2">
        <v>41551.999999967396</v>
      </c>
      <c r="J407" s="2">
        <v>1000</v>
      </c>
      <c r="K407" s="2">
        <v>500</v>
      </c>
      <c r="L407" s="2">
        <v>0</v>
      </c>
      <c r="M407" s="2">
        <v>581587.61</v>
      </c>
      <c r="N407" s="2">
        <f t="shared" si="7"/>
        <v>623826.2099999676</v>
      </c>
      <c r="O407" s="2" t="s">
        <v>5</v>
      </c>
    </row>
    <row r="408" spans="1:15" x14ac:dyDescent="0.2">
      <c r="A408">
        <v>2</v>
      </c>
      <c r="B408">
        <v>4</v>
      </c>
      <c r="C408" s="2">
        <v>3</v>
      </c>
      <c r="D408" s="2">
        <v>2</v>
      </c>
      <c r="E408" s="2">
        <v>2</v>
      </c>
      <c r="F408" s="2" t="s">
        <v>4</v>
      </c>
      <c r="G408" s="2">
        <v>595.39999999991301</v>
      </c>
      <c r="H408" s="2" t="s">
        <v>16</v>
      </c>
      <c r="I408" s="2">
        <v>274612.00000004697</v>
      </c>
      <c r="J408" s="2">
        <v>1000</v>
      </c>
      <c r="K408" s="2">
        <v>500</v>
      </c>
      <c r="L408" s="2">
        <v>0</v>
      </c>
      <c r="M408" s="2">
        <v>582707.61</v>
      </c>
      <c r="N408" s="2">
        <f t="shared" si="7"/>
        <v>857915.01000004681</v>
      </c>
      <c r="O408" s="2" t="s">
        <v>5</v>
      </c>
    </row>
    <row r="409" spans="1:15" x14ac:dyDescent="0.2">
      <c r="A409">
        <v>3</v>
      </c>
      <c r="B409">
        <v>4</v>
      </c>
      <c r="C409" s="2">
        <v>3</v>
      </c>
      <c r="D409" s="2">
        <v>2</v>
      </c>
      <c r="E409" s="2">
        <v>3</v>
      </c>
      <c r="F409" s="2" t="s">
        <v>4</v>
      </c>
      <c r="G409" s="2">
        <v>510.39999999993302</v>
      </c>
      <c r="H409" s="2" t="s">
        <v>16</v>
      </c>
      <c r="I409" s="2">
        <v>107829.999999979</v>
      </c>
      <c r="J409" s="2">
        <v>1000</v>
      </c>
      <c r="K409" s="2">
        <v>500</v>
      </c>
      <c r="L409" s="2">
        <v>0</v>
      </c>
      <c r="M409" s="2">
        <v>594907.61</v>
      </c>
      <c r="N409" s="2">
        <f t="shared" si="7"/>
        <v>703248.00999997894</v>
      </c>
      <c r="O409" s="2" t="s">
        <v>5</v>
      </c>
    </row>
    <row r="410" spans="1:15" x14ac:dyDescent="0.2">
      <c r="A410">
        <v>4</v>
      </c>
      <c r="B410">
        <v>4</v>
      </c>
      <c r="C410" s="2">
        <v>3</v>
      </c>
      <c r="D410" s="2">
        <v>3</v>
      </c>
      <c r="E410" s="2">
        <v>1</v>
      </c>
      <c r="F410" s="2" t="s">
        <v>4</v>
      </c>
      <c r="G410" s="2">
        <v>455.79999999958397</v>
      </c>
      <c r="H410" s="2" t="s">
        <v>16</v>
      </c>
      <c r="I410" s="2">
        <v>73137.000000031097</v>
      </c>
      <c r="J410" s="2">
        <v>1000</v>
      </c>
      <c r="K410" s="2">
        <v>500</v>
      </c>
      <c r="L410" s="2">
        <v>0</v>
      </c>
      <c r="M410" s="2">
        <v>582628.01</v>
      </c>
      <c r="N410" s="2">
        <f t="shared" si="7"/>
        <v>656220.81000003067</v>
      </c>
      <c r="O410" s="2" t="s">
        <v>4</v>
      </c>
    </row>
    <row r="411" spans="1:15" x14ac:dyDescent="0.2">
      <c r="A411">
        <v>5</v>
      </c>
      <c r="B411">
        <v>4</v>
      </c>
      <c r="C411" s="2">
        <v>3</v>
      </c>
      <c r="D411" s="2">
        <v>3</v>
      </c>
      <c r="E411" s="2">
        <v>2</v>
      </c>
      <c r="F411" s="2" t="s">
        <v>4</v>
      </c>
      <c r="G411" s="2">
        <v>514.60000000034302</v>
      </c>
      <c r="H411" s="2" t="s">
        <v>16</v>
      </c>
      <c r="I411" s="2">
        <v>86206.000000004206</v>
      </c>
      <c r="J411" s="2">
        <v>1000</v>
      </c>
      <c r="K411" s="2">
        <v>500</v>
      </c>
      <c r="L411" s="2">
        <v>0</v>
      </c>
      <c r="M411" s="2">
        <v>577267.61</v>
      </c>
      <c r="N411" s="2">
        <f t="shared" si="7"/>
        <v>663988.2100000045</v>
      </c>
      <c r="O411" s="2" t="s">
        <v>4</v>
      </c>
    </row>
    <row r="412" spans="1:15" x14ac:dyDescent="0.2">
      <c r="A412">
        <v>6</v>
      </c>
      <c r="B412">
        <v>4</v>
      </c>
      <c r="C412" s="2">
        <v>3</v>
      </c>
      <c r="D412" s="2">
        <v>3</v>
      </c>
      <c r="E412" s="2">
        <v>3</v>
      </c>
      <c r="F412" s="2" t="s">
        <v>4</v>
      </c>
      <c r="G412" s="2">
        <v>535.59999999990305</v>
      </c>
      <c r="H412" s="2" t="s">
        <v>16</v>
      </c>
      <c r="I412" s="2">
        <v>206090.000000017</v>
      </c>
      <c r="J412" s="2">
        <v>1000</v>
      </c>
      <c r="K412" s="2">
        <v>500</v>
      </c>
      <c r="L412" s="2">
        <v>0</v>
      </c>
      <c r="M412" s="2">
        <v>579947.61</v>
      </c>
      <c r="N412" s="2">
        <f t="shared" si="7"/>
        <v>786573.21000001684</v>
      </c>
      <c r="O412" s="2" t="s">
        <v>4</v>
      </c>
    </row>
    <row r="413" spans="1:15" x14ac:dyDescent="0.2">
      <c r="A413">
        <v>7</v>
      </c>
      <c r="B413">
        <v>4</v>
      </c>
      <c r="C413" s="2">
        <v>4</v>
      </c>
      <c r="D413" s="2">
        <v>2</v>
      </c>
      <c r="E413" s="2">
        <v>1</v>
      </c>
      <c r="F413" s="2" t="s">
        <v>4</v>
      </c>
      <c r="G413" s="2">
        <v>354.799999999855</v>
      </c>
      <c r="H413" s="2" t="s">
        <v>16</v>
      </c>
      <c r="I413" s="2">
        <v>56281.000000012697</v>
      </c>
      <c r="J413" s="2">
        <v>1000</v>
      </c>
      <c r="K413" s="2">
        <v>500</v>
      </c>
      <c r="L413" s="2">
        <v>0</v>
      </c>
      <c r="M413" s="2">
        <v>601987.61</v>
      </c>
      <c r="N413" s="2">
        <f t="shared" si="7"/>
        <v>658623.41000001249</v>
      </c>
      <c r="O413" s="2" t="s">
        <v>5</v>
      </c>
    </row>
    <row r="414" spans="1:15" x14ac:dyDescent="0.2">
      <c r="A414">
        <v>8</v>
      </c>
      <c r="B414">
        <v>4</v>
      </c>
      <c r="C414" s="2">
        <v>4</v>
      </c>
      <c r="D414" s="2">
        <v>2</v>
      </c>
      <c r="E414" s="2">
        <v>2</v>
      </c>
      <c r="F414" s="2" t="s">
        <v>4</v>
      </c>
      <c r="G414" s="2">
        <v>408.79999999958699</v>
      </c>
      <c r="H414" s="2" t="s">
        <v>16</v>
      </c>
      <c r="I414" s="2">
        <v>241269.00000004499</v>
      </c>
      <c r="J414" s="2">
        <v>1000</v>
      </c>
      <c r="K414" s="2">
        <v>500</v>
      </c>
      <c r="L414" s="2">
        <v>0</v>
      </c>
      <c r="M414" s="2">
        <v>595468.01</v>
      </c>
      <c r="N414" s="2">
        <f t="shared" si="7"/>
        <v>837145.81000004453</v>
      </c>
      <c r="O414" s="2" t="s">
        <v>4</v>
      </c>
    </row>
    <row r="415" spans="1:15" x14ac:dyDescent="0.2">
      <c r="A415">
        <v>9</v>
      </c>
      <c r="B415">
        <v>4</v>
      </c>
      <c r="C415" s="2">
        <v>4</v>
      </c>
      <c r="D415" s="2">
        <v>2</v>
      </c>
      <c r="E415" s="2">
        <v>3</v>
      </c>
      <c r="F415" s="2" t="s">
        <v>4</v>
      </c>
      <c r="G415" s="2">
        <v>315.400000000565</v>
      </c>
      <c r="H415" s="2" t="s">
        <v>16</v>
      </c>
      <c r="I415" s="2">
        <v>186287.99999998999</v>
      </c>
      <c r="J415" s="2">
        <v>1000</v>
      </c>
      <c r="K415" s="2">
        <v>500</v>
      </c>
      <c r="L415" s="2">
        <v>0</v>
      </c>
      <c r="M415" s="2">
        <v>612787.61</v>
      </c>
      <c r="N415" s="2">
        <f t="shared" si="7"/>
        <v>799391.00999999058</v>
      </c>
      <c r="O415" s="2" t="s">
        <v>4</v>
      </c>
    </row>
    <row r="416" spans="1:15" x14ac:dyDescent="0.2">
      <c r="A416">
        <v>10</v>
      </c>
      <c r="B416">
        <v>4</v>
      </c>
      <c r="C416" s="2">
        <v>4</v>
      </c>
      <c r="D416" s="2">
        <v>3</v>
      </c>
      <c r="E416" s="2">
        <v>1</v>
      </c>
      <c r="F416" s="2" t="s">
        <v>4</v>
      </c>
      <c r="G416" s="2">
        <v>303.20000000010299</v>
      </c>
      <c r="H416" s="2" t="s">
        <v>16</v>
      </c>
      <c r="I416" s="2">
        <v>234249.999999975</v>
      </c>
      <c r="J416" s="2">
        <v>1000</v>
      </c>
      <c r="K416" s="2">
        <v>500</v>
      </c>
      <c r="L416" s="2">
        <v>0</v>
      </c>
      <c r="M416" s="2">
        <v>604028.01</v>
      </c>
      <c r="N416" s="2">
        <f t="shared" si="7"/>
        <v>838581.20999997505</v>
      </c>
      <c r="O416" s="2" t="s">
        <v>4</v>
      </c>
    </row>
    <row r="417" spans="1:15" x14ac:dyDescent="0.2">
      <c r="A417">
        <v>11</v>
      </c>
      <c r="B417">
        <v>4</v>
      </c>
      <c r="C417" s="2">
        <v>4</v>
      </c>
      <c r="D417" s="2">
        <v>3</v>
      </c>
      <c r="E417" s="2">
        <v>2</v>
      </c>
      <c r="F417" s="2" t="s">
        <v>4</v>
      </c>
      <c r="G417" s="2">
        <v>291.60000000025798</v>
      </c>
      <c r="H417" s="2" t="s">
        <v>16</v>
      </c>
      <c r="I417" s="2">
        <v>264225.00000001001</v>
      </c>
      <c r="J417" s="2">
        <v>1000</v>
      </c>
      <c r="K417" s="2">
        <v>500</v>
      </c>
      <c r="L417" s="2">
        <v>0</v>
      </c>
      <c r="M417" s="2">
        <v>610507.61</v>
      </c>
      <c r="N417" s="2">
        <f t="shared" si="7"/>
        <v>875024.21000001021</v>
      </c>
      <c r="O417" s="2" t="s">
        <v>4</v>
      </c>
    </row>
    <row r="418" spans="1:15" x14ac:dyDescent="0.2">
      <c r="A418">
        <v>12</v>
      </c>
      <c r="B418">
        <v>4</v>
      </c>
      <c r="C418" s="2">
        <v>4</v>
      </c>
      <c r="D418" s="2">
        <v>3</v>
      </c>
      <c r="E418" s="2">
        <v>3</v>
      </c>
      <c r="F418" s="2" t="s">
        <v>4</v>
      </c>
      <c r="G418" s="2">
        <v>339.79999999971301</v>
      </c>
      <c r="H418" s="2" t="s">
        <v>16</v>
      </c>
      <c r="I418" s="2">
        <v>238984.00000001601</v>
      </c>
      <c r="J418" s="2">
        <v>1000</v>
      </c>
      <c r="K418" s="2">
        <v>500</v>
      </c>
      <c r="L418" s="2">
        <v>0</v>
      </c>
      <c r="M418" s="2">
        <v>617628.01</v>
      </c>
      <c r="N418" s="2">
        <f t="shared" si="7"/>
        <v>856951.81000001566</v>
      </c>
      <c r="O418" s="2" t="s">
        <v>4</v>
      </c>
    </row>
    <row r="419" spans="1:15" x14ac:dyDescent="0.2">
      <c r="A419">
        <v>13</v>
      </c>
      <c r="B419">
        <v>4</v>
      </c>
      <c r="C419" s="2">
        <v>4</v>
      </c>
      <c r="D419" s="2">
        <v>2</v>
      </c>
      <c r="E419" s="2">
        <v>1</v>
      </c>
      <c r="F419" s="2" t="s">
        <v>4</v>
      </c>
      <c r="G419" s="2">
        <v>225.19999999985899</v>
      </c>
      <c r="H419" s="2" t="s">
        <v>16</v>
      </c>
      <c r="I419" s="2">
        <v>107898.00000003399</v>
      </c>
      <c r="J419" s="2">
        <v>1000</v>
      </c>
      <c r="K419" s="2">
        <v>500</v>
      </c>
      <c r="L419" s="2">
        <v>0</v>
      </c>
      <c r="M419" s="2">
        <v>577308.01</v>
      </c>
      <c r="N419" s="2">
        <f t="shared" si="7"/>
        <v>685431.21000003384</v>
      </c>
      <c r="O419" s="2" t="s">
        <v>5</v>
      </c>
    </row>
    <row r="420" spans="1:15" x14ac:dyDescent="0.2">
      <c r="A420">
        <v>14</v>
      </c>
      <c r="B420">
        <v>4</v>
      </c>
      <c r="C420" s="2">
        <v>4</v>
      </c>
      <c r="D420" s="2">
        <v>2</v>
      </c>
      <c r="E420" s="2">
        <v>2</v>
      </c>
      <c r="F420" s="2" t="s">
        <v>4</v>
      </c>
      <c r="G420" s="2">
        <v>285.80000000033601</v>
      </c>
      <c r="H420" s="2" t="s">
        <v>16</v>
      </c>
      <c r="I420" s="2">
        <v>234233.999999958</v>
      </c>
      <c r="J420" s="2">
        <v>1000</v>
      </c>
      <c r="K420" s="2">
        <v>500</v>
      </c>
      <c r="L420" s="2">
        <v>0</v>
      </c>
      <c r="M420" s="2">
        <v>597228.81000000006</v>
      </c>
      <c r="N420" s="2">
        <f t="shared" si="7"/>
        <v>831748.60999995831</v>
      </c>
      <c r="O420" s="2" t="s">
        <v>4</v>
      </c>
    </row>
    <row r="421" spans="1:15" x14ac:dyDescent="0.2">
      <c r="A421">
        <v>15</v>
      </c>
      <c r="B421">
        <v>4</v>
      </c>
      <c r="C421" s="2">
        <v>4</v>
      </c>
      <c r="D421" s="2">
        <v>2</v>
      </c>
      <c r="E421" s="2">
        <v>3</v>
      </c>
      <c r="F421" s="2" t="s">
        <v>4</v>
      </c>
      <c r="G421" s="2">
        <v>273.80000000007999</v>
      </c>
      <c r="H421" s="2" t="s">
        <v>16</v>
      </c>
      <c r="I421" s="2">
        <v>299454.00000002602</v>
      </c>
      <c r="J421" s="2">
        <v>1000</v>
      </c>
      <c r="K421" s="2">
        <v>500</v>
      </c>
      <c r="L421" s="2">
        <v>0</v>
      </c>
      <c r="M421" s="2">
        <v>611147.61</v>
      </c>
      <c r="N421" s="2">
        <f t="shared" si="7"/>
        <v>910875.41000002599</v>
      </c>
      <c r="O421" s="2" t="s">
        <v>4</v>
      </c>
    </row>
    <row r="422" spans="1:15" x14ac:dyDescent="0.2">
      <c r="A422">
        <v>16</v>
      </c>
      <c r="B422">
        <v>4</v>
      </c>
      <c r="C422" s="2">
        <v>4</v>
      </c>
      <c r="D422" s="2">
        <v>3</v>
      </c>
      <c r="E422" s="2">
        <v>1</v>
      </c>
      <c r="F422" s="2" t="s">
        <v>4</v>
      </c>
      <c r="G422" s="2">
        <v>261.80000000017901</v>
      </c>
      <c r="H422" s="2" t="s">
        <v>16</v>
      </c>
      <c r="I422" s="2">
        <v>168532.00000002701</v>
      </c>
      <c r="J422" s="2">
        <v>1000</v>
      </c>
      <c r="K422" s="2">
        <v>500</v>
      </c>
      <c r="L422" s="2">
        <v>0</v>
      </c>
      <c r="M422" s="2">
        <v>585027.61</v>
      </c>
      <c r="N422" s="2">
        <f t="shared" si="7"/>
        <v>753821.41000002716</v>
      </c>
      <c r="O422" s="2" t="s">
        <v>4</v>
      </c>
    </row>
    <row r="423" spans="1:15" x14ac:dyDescent="0.2">
      <c r="A423">
        <v>17</v>
      </c>
      <c r="B423">
        <v>4</v>
      </c>
      <c r="C423" s="2">
        <v>4</v>
      </c>
      <c r="D423" s="2">
        <v>3</v>
      </c>
      <c r="E423" s="2">
        <v>2</v>
      </c>
      <c r="F423" s="2" t="s">
        <v>4</v>
      </c>
      <c r="G423" s="2">
        <v>255.000000001004</v>
      </c>
      <c r="H423" s="2" t="s">
        <v>16</v>
      </c>
      <c r="I423" s="2">
        <v>125322.00000004</v>
      </c>
      <c r="J423" s="2">
        <v>1000</v>
      </c>
      <c r="K423" s="2">
        <v>500</v>
      </c>
      <c r="L423" s="2">
        <v>0</v>
      </c>
      <c r="M423" s="2">
        <v>584627.61</v>
      </c>
      <c r="N423" s="2">
        <f t="shared" si="7"/>
        <v>710204.61000004108</v>
      </c>
      <c r="O423" s="2" t="s">
        <v>4</v>
      </c>
    </row>
    <row r="424" spans="1:15" x14ac:dyDescent="0.2">
      <c r="A424">
        <v>18</v>
      </c>
      <c r="B424">
        <v>4</v>
      </c>
      <c r="C424" s="2">
        <v>4</v>
      </c>
      <c r="D424" s="2">
        <v>3</v>
      </c>
      <c r="E424" s="2">
        <v>3</v>
      </c>
      <c r="F424" s="2" t="s">
        <v>4</v>
      </c>
      <c r="G424" s="2">
        <v>307.79999999950297</v>
      </c>
      <c r="H424" s="2" t="s">
        <v>16</v>
      </c>
      <c r="I424" s="2">
        <v>445655.99999998498</v>
      </c>
      <c r="J424" s="2">
        <v>1000</v>
      </c>
      <c r="K424" s="2">
        <v>500</v>
      </c>
      <c r="L424" s="2">
        <v>0</v>
      </c>
      <c r="M424" s="2">
        <v>584906.81000000006</v>
      </c>
      <c r="N424" s="2">
        <f t="shared" si="7"/>
        <v>1030870.6099999845</v>
      </c>
      <c r="O424" s="2" t="s">
        <v>4</v>
      </c>
    </row>
    <row r="425" spans="1:15" x14ac:dyDescent="0.2">
      <c r="A425">
        <v>19</v>
      </c>
      <c r="B425">
        <v>4</v>
      </c>
      <c r="C425" s="2">
        <v>5</v>
      </c>
      <c r="D425" s="2">
        <v>2</v>
      </c>
      <c r="E425" s="2">
        <v>1</v>
      </c>
      <c r="F425" s="2" t="s">
        <v>4</v>
      </c>
      <c r="G425" s="2">
        <v>241.399999999459</v>
      </c>
      <c r="H425" s="2" t="s">
        <v>16</v>
      </c>
      <c r="I425" s="2">
        <v>86420.000000032407</v>
      </c>
      <c r="J425" s="2">
        <v>1000</v>
      </c>
      <c r="K425" s="2">
        <v>500</v>
      </c>
      <c r="L425" s="2">
        <v>0</v>
      </c>
      <c r="M425" s="2">
        <v>602387.61</v>
      </c>
      <c r="N425" s="2">
        <f t="shared" si="7"/>
        <v>689049.01000003179</v>
      </c>
      <c r="O425" s="2" t="s">
        <v>5</v>
      </c>
    </row>
    <row r="426" spans="1:15" x14ac:dyDescent="0.2">
      <c r="A426">
        <v>20</v>
      </c>
      <c r="B426">
        <v>4</v>
      </c>
      <c r="C426" s="2">
        <v>5</v>
      </c>
      <c r="D426" s="2">
        <v>2</v>
      </c>
      <c r="E426" s="2">
        <v>2</v>
      </c>
      <c r="F426" s="2" t="s">
        <v>4</v>
      </c>
      <c r="G426" s="2">
        <v>301.59999999952402</v>
      </c>
      <c r="H426" s="2" t="s">
        <v>16</v>
      </c>
      <c r="I426" s="2">
        <v>298383.99999999901</v>
      </c>
      <c r="J426" s="2">
        <v>1000</v>
      </c>
      <c r="K426" s="2">
        <v>500</v>
      </c>
      <c r="L426" s="2">
        <v>0</v>
      </c>
      <c r="M426" s="2">
        <v>596868.01</v>
      </c>
      <c r="N426" s="2">
        <f t="shared" si="7"/>
        <v>895553.60999999847</v>
      </c>
      <c r="O426" s="2" t="s">
        <v>4</v>
      </c>
    </row>
    <row r="427" spans="1:15" x14ac:dyDescent="0.2">
      <c r="A427">
        <v>21</v>
      </c>
      <c r="B427">
        <v>4</v>
      </c>
      <c r="C427" s="2">
        <v>5</v>
      </c>
      <c r="D427" s="2">
        <v>2</v>
      </c>
      <c r="E427" s="2">
        <v>3</v>
      </c>
      <c r="F427" s="2" t="s">
        <v>4</v>
      </c>
      <c r="G427" s="2">
        <v>295.000000000201</v>
      </c>
      <c r="H427" s="2" t="s">
        <v>16</v>
      </c>
      <c r="I427" s="2">
        <v>248884.99999997299</v>
      </c>
      <c r="J427" s="2">
        <v>1000</v>
      </c>
      <c r="K427" s="2">
        <v>500</v>
      </c>
      <c r="L427" s="2">
        <v>0</v>
      </c>
      <c r="M427" s="2">
        <v>583146.81000000006</v>
      </c>
      <c r="N427" s="2">
        <f t="shared" si="7"/>
        <v>832326.80999997328</v>
      </c>
      <c r="O427" s="2" t="s">
        <v>4</v>
      </c>
    </row>
    <row r="428" spans="1:15" x14ac:dyDescent="0.2">
      <c r="A428">
        <v>22</v>
      </c>
      <c r="B428">
        <v>4</v>
      </c>
      <c r="C428" s="2">
        <v>5</v>
      </c>
      <c r="D428" s="2">
        <v>3</v>
      </c>
      <c r="E428" s="2">
        <v>1</v>
      </c>
      <c r="F428" s="2" t="s">
        <v>4</v>
      </c>
      <c r="G428" s="2">
        <v>284.20000000011203</v>
      </c>
      <c r="H428" s="2" t="s">
        <v>16</v>
      </c>
      <c r="I428" s="2">
        <v>193147.00000001001</v>
      </c>
      <c r="J428" s="2">
        <v>1000</v>
      </c>
      <c r="K428" s="2">
        <v>500</v>
      </c>
      <c r="L428" s="2">
        <v>0</v>
      </c>
      <c r="M428" s="2">
        <v>614868.01</v>
      </c>
      <c r="N428" s="2">
        <f t="shared" si="7"/>
        <v>808299.21000001009</v>
      </c>
      <c r="O428" s="2" t="s">
        <v>4</v>
      </c>
    </row>
    <row r="429" spans="1:15" x14ac:dyDescent="0.2">
      <c r="A429">
        <v>23</v>
      </c>
      <c r="B429">
        <v>4</v>
      </c>
      <c r="C429" s="2">
        <v>5</v>
      </c>
      <c r="D429" s="2">
        <v>3</v>
      </c>
      <c r="E429" s="2">
        <v>2</v>
      </c>
      <c r="F429" s="2" t="s">
        <v>4</v>
      </c>
      <c r="G429" s="2">
        <v>292.800000000426</v>
      </c>
      <c r="H429" s="2" t="s">
        <v>16</v>
      </c>
      <c r="I429" s="2">
        <v>373690.000000011</v>
      </c>
      <c r="J429" s="2">
        <v>1000</v>
      </c>
      <c r="K429" s="2">
        <v>500</v>
      </c>
      <c r="L429" s="2">
        <v>0</v>
      </c>
      <c r="M429" s="2">
        <v>585227.21</v>
      </c>
      <c r="N429" s="2">
        <f t="shared" si="7"/>
        <v>959210.01000001142</v>
      </c>
      <c r="O429" s="2" t="s">
        <v>4</v>
      </c>
    </row>
    <row r="430" spans="1:15" x14ac:dyDescent="0.2">
      <c r="A430">
        <v>24</v>
      </c>
      <c r="B430">
        <v>4</v>
      </c>
      <c r="C430" s="2">
        <v>5</v>
      </c>
      <c r="D430" s="2">
        <v>3</v>
      </c>
      <c r="E430" s="2">
        <v>3</v>
      </c>
      <c r="F430" s="2" t="s">
        <v>4</v>
      </c>
      <c r="G430" s="2">
        <v>352.60000000043601</v>
      </c>
      <c r="H430" s="2" t="s">
        <v>16</v>
      </c>
      <c r="I430" s="2">
        <v>513671.00000004499</v>
      </c>
      <c r="J430" s="2">
        <v>1000</v>
      </c>
      <c r="K430" s="2">
        <v>500</v>
      </c>
      <c r="L430" s="2">
        <v>0</v>
      </c>
      <c r="M430" s="2">
        <v>604507.61</v>
      </c>
      <c r="N430" s="2">
        <f t="shared" si="7"/>
        <v>1118531.2100000454</v>
      </c>
      <c r="O430" s="2" t="s">
        <v>4</v>
      </c>
    </row>
    <row r="431" spans="1:15" x14ac:dyDescent="0.2">
      <c r="A431">
        <v>25</v>
      </c>
      <c r="B431">
        <v>4</v>
      </c>
      <c r="C431" s="2">
        <v>6</v>
      </c>
      <c r="D431" s="2">
        <v>3</v>
      </c>
      <c r="E431" s="2">
        <v>1</v>
      </c>
      <c r="F431" s="2" t="s">
        <v>4</v>
      </c>
      <c r="G431" s="2">
        <v>315.00000000015399</v>
      </c>
      <c r="H431" s="2" t="s">
        <v>16</v>
      </c>
      <c r="I431" s="2">
        <v>392347.00000002899</v>
      </c>
      <c r="J431" s="2">
        <v>1000</v>
      </c>
      <c r="K431" s="2">
        <v>500</v>
      </c>
      <c r="L431" s="2">
        <v>0</v>
      </c>
      <c r="M431" s="2">
        <v>611508.01</v>
      </c>
      <c r="N431" s="2">
        <f t="shared" si="7"/>
        <v>1004170.0100000291</v>
      </c>
      <c r="O431" s="2" t="s">
        <v>4</v>
      </c>
    </row>
    <row r="432" spans="1:15" x14ac:dyDescent="0.2">
      <c r="A432">
        <v>26</v>
      </c>
      <c r="B432">
        <v>4</v>
      </c>
      <c r="C432" s="2">
        <v>6</v>
      </c>
      <c r="D432" s="2">
        <v>3</v>
      </c>
      <c r="E432" s="2">
        <v>2</v>
      </c>
      <c r="F432" s="2" t="s">
        <v>4</v>
      </c>
      <c r="G432" s="2">
        <v>324.400000000224</v>
      </c>
      <c r="H432" s="2" t="s">
        <v>16</v>
      </c>
      <c r="I432" s="2">
        <v>725330.999999983</v>
      </c>
      <c r="J432" s="2">
        <v>1000</v>
      </c>
      <c r="K432" s="2">
        <v>500</v>
      </c>
      <c r="L432" s="2">
        <v>0</v>
      </c>
      <c r="M432" s="2">
        <v>584028.01</v>
      </c>
      <c r="N432" s="2">
        <f t="shared" si="7"/>
        <v>1309683.4099999834</v>
      </c>
      <c r="O432" s="2" t="s">
        <v>4</v>
      </c>
    </row>
    <row r="433" spans="1:15" x14ac:dyDescent="0.2">
      <c r="A433">
        <v>27</v>
      </c>
      <c r="B433">
        <v>4</v>
      </c>
      <c r="C433" s="2">
        <v>6</v>
      </c>
      <c r="D433" s="2">
        <v>3</v>
      </c>
      <c r="E433" s="2">
        <v>3</v>
      </c>
      <c r="F433" s="2" t="s">
        <v>4</v>
      </c>
      <c r="G433" s="2">
        <v>408.40000000024202</v>
      </c>
      <c r="H433" s="2" t="s">
        <v>16</v>
      </c>
      <c r="I433" s="2">
        <v>531781.00000002398</v>
      </c>
      <c r="J433" s="2">
        <v>1000</v>
      </c>
      <c r="K433" s="2">
        <v>500</v>
      </c>
      <c r="L433" s="2">
        <v>0</v>
      </c>
      <c r="M433" s="2">
        <v>584827.21</v>
      </c>
      <c r="N433" s="2">
        <f t="shared" si="7"/>
        <v>1117016.6100000241</v>
      </c>
      <c r="O433" s="2" t="s">
        <v>4</v>
      </c>
    </row>
    <row r="434" spans="1:15" x14ac:dyDescent="0.2">
      <c r="A434">
        <v>1</v>
      </c>
      <c r="B434">
        <v>4</v>
      </c>
      <c r="C434" s="2">
        <v>3</v>
      </c>
      <c r="D434" s="2">
        <v>2</v>
      </c>
      <c r="E434" s="2">
        <v>1</v>
      </c>
      <c r="F434" s="2" t="s">
        <v>4</v>
      </c>
      <c r="G434" s="2">
        <v>686.60000000022603</v>
      </c>
      <c r="H434" s="2" t="s">
        <v>16</v>
      </c>
      <c r="I434" s="2">
        <v>41551.999999967396</v>
      </c>
      <c r="J434" s="2">
        <v>2000</v>
      </c>
      <c r="K434" s="2">
        <v>20</v>
      </c>
      <c r="L434" s="2">
        <v>0</v>
      </c>
      <c r="M434" s="2">
        <v>183947.61</v>
      </c>
      <c r="N434" s="2">
        <f t="shared" si="7"/>
        <v>226186.20999996763</v>
      </c>
      <c r="O434" s="9" t="s">
        <v>5</v>
      </c>
    </row>
    <row r="435" spans="1:15" x14ac:dyDescent="0.2">
      <c r="A435">
        <v>2</v>
      </c>
      <c r="B435">
        <v>4</v>
      </c>
      <c r="C435" s="2">
        <v>3</v>
      </c>
      <c r="D435" s="2">
        <v>2</v>
      </c>
      <c r="E435" s="2">
        <v>2</v>
      </c>
      <c r="F435" s="2" t="s">
        <v>4</v>
      </c>
      <c r="G435" s="2">
        <v>595.39999999991301</v>
      </c>
      <c r="H435" s="2" t="s">
        <v>16</v>
      </c>
      <c r="I435" s="2">
        <v>274612.00000004697</v>
      </c>
      <c r="J435" s="2">
        <v>2000</v>
      </c>
      <c r="K435" s="2">
        <v>20</v>
      </c>
      <c r="L435" s="2">
        <v>0</v>
      </c>
      <c r="M435" s="2">
        <v>186187.61</v>
      </c>
      <c r="N435" s="2">
        <f t="shared" si="7"/>
        <v>461395.01000004687</v>
      </c>
      <c r="O435" s="9" t="s">
        <v>4</v>
      </c>
    </row>
    <row r="436" spans="1:15" x14ac:dyDescent="0.2">
      <c r="A436">
        <v>3</v>
      </c>
      <c r="B436">
        <v>4</v>
      </c>
      <c r="C436" s="2">
        <v>3</v>
      </c>
      <c r="D436" s="2">
        <v>2</v>
      </c>
      <c r="E436" s="2">
        <v>3</v>
      </c>
      <c r="F436" s="2" t="s">
        <v>4</v>
      </c>
      <c r="G436" s="2">
        <v>510.39999999993302</v>
      </c>
      <c r="H436" s="2" t="s">
        <v>16</v>
      </c>
      <c r="I436" s="2">
        <v>107829.999999979</v>
      </c>
      <c r="J436" s="2">
        <v>2000</v>
      </c>
      <c r="K436" s="2">
        <v>20</v>
      </c>
      <c r="L436" s="2">
        <v>0</v>
      </c>
      <c r="M436" s="2">
        <v>210587.61</v>
      </c>
      <c r="N436" s="2">
        <f t="shared" si="7"/>
        <v>318928.00999997894</v>
      </c>
      <c r="O436" s="9" t="s">
        <v>5</v>
      </c>
    </row>
    <row r="437" spans="1:15" x14ac:dyDescent="0.2">
      <c r="A437">
        <v>4</v>
      </c>
      <c r="B437">
        <v>4</v>
      </c>
      <c r="C437" s="2">
        <v>3</v>
      </c>
      <c r="D437" s="2">
        <v>3</v>
      </c>
      <c r="E437" s="2">
        <v>1</v>
      </c>
      <c r="F437" s="2" t="s">
        <v>4</v>
      </c>
      <c r="G437" s="2">
        <v>455.79999999958397</v>
      </c>
      <c r="H437" s="2" t="s">
        <v>16</v>
      </c>
      <c r="I437" s="2">
        <v>73137.000000031097</v>
      </c>
      <c r="J437" s="2">
        <v>2000</v>
      </c>
      <c r="K437" s="2">
        <v>20</v>
      </c>
      <c r="L437" s="2">
        <v>0</v>
      </c>
      <c r="M437" s="2">
        <v>186028.01</v>
      </c>
      <c r="N437" s="2">
        <f t="shared" si="7"/>
        <v>259620.81000003067</v>
      </c>
      <c r="O437" s="9" t="s">
        <v>5</v>
      </c>
    </row>
    <row r="438" spans="1:15" x14ac:dyDescent="0.2">
      <c r="A438">
        <v>5</v>
      </c>
      <c r="B438">
        <v>4</v>
      </c>
      <c r="C438" s="2">
        <v>3</v>
      </c>
      <c r="D438" s="2">
        <v>3</v>
      </c>
      <c r="E438" s="2">
        <v>2</v>
      </c>
      <c r="F438" s="2" t="s">
        <v>4</v>
      </c>
      <c r="G438" s="2">
        <v>514.60000000034302</v>
      </c>
      <c r="H438" s="2" t="s">
        <v>16</v>
      </c>
      <c r="I438" s="2">
        <v>86206.000000004206</v>
      </c>
      <c r="J438" s="2">
        <v>2000</v>
      </c>
      <c r="K438" s="2">
        <v>20</v>
      </c>
      <c r="L438" s="2">
        <v>0</v>
      </c>
      <c r="M438" s="2">
        <v>175308.01</v>
      </c>
      <c r="N438" s="2">
        <f t="shared" si="7"/>
        <v>262028.61000000458</v>
      </c>
      <c r="O438" s="9" t="s">
        <v>4</v>
      </c>
    </row>
    <row r="439" spans="1:15" x14ac:dyDescent="0.2">
      <c r="A439">
        <v>6</v>
      </c>
      <c r="B439">
        <v>4</v>
      </c>
      <c r="C439" s="2">
        <v>3</v>
      </c>
      <c r="D439" s="2">
        <v>3</v>
      </c>
      <c r="E439" s="2">
        <v>3</v>
      </c>
      <c r="F439" s="2" t="s">
        <v>4</v>
      </c>
      <c r="G439" s="2">
        <v>535.59999999990305</v>
      </c>
      <c r="H439" s="2" t="s">
        <v>16</v>
      </c>
      <c r="I439" s="2">
        <v>206090.000000017</v>
      </c>
      <c r="J439" s="2">
        <v>2000</v>
      </c>
      <c r="K439" s="2">
        <v>20</v>
      </c>
      <c r="L439" s="2">
        <v>0</v>
      </c>
      <c r="M439" s="2">
        <v>180667.61</v>
      </c>
      <c r="N439" s="2">
        <f t="shared" si="7"/>
        <v>387293.21000001684</v>
      </c>
      <c r="O439" s="9" t="s">
        <v>4</v>
      </c>
    </row>
    <row r="440" spans="1:15" x14ac:dyDescent="0.2">
      <c r="A440">
        <v>7</v>
      </c>
      <c r="B440">
        <v>4</v>
      </c>
      <c r="C440" s="2">
        <v>4</v>
      </c>
      <c r="D440" s="2">
        <v>2</v>
      </c>
      <c r="E440" s="2">
        <v>1</v>
      </c>
      <c r="F440" s="2" t="s">
        <v>4</v>
      </c>
      <c r="G440" s="2">
        <v>354.799999999855</v>
      </c>
      <c r="H440" s="2" t="s">
        <v>16</v>
      </c>
      <c r="I440" s="2">
        <v>56281.000000012697</v>
      </c>
      <c r="J440" s="2">
        <v>2000</v>
      </c>
      <c r="K440" s="2">
        <v>20</v>
      </c>
      <c r="L440" s="2">
        <v>0</v>
      </c>
      <c r="M440" s="2">
        <v>224747.61</v>
      </c>
      <c r="N440" s="2">
        <f t="shared" si="7"/>
        <v>281383.41000001255</v>
      </c>
      <c r="O440" s="9" t="s">
        <v>5</v>
      </c>
    </row>
    <row r="441" spans="1:15" x14ac:dyDescent="0.2">
      <c r="A441">
        <v>8</v>
      </c>
      <c r="B441">
        <v>4</v>
      </c>
      <c r="C441" s="2">
        <v>4</v>
      </c>
      <c r="D441" s="2">
        <v>2</v>
      </c>
      <c r="E441" s="2">
        <v>2</v>
      </c>
      <c r="F441" s="2" t="s">
        <v>4</v>
      </c>
      <c r="G441" s="2">
        <v>408.79999999958699</v>
      </c>
      <c r="H441" s="2" t="s">
        <v>16</v>
      </c>
      <c r="I441" s="2">
        <v>241269.00000004499</v>
      </c>
      <c r="J441" s="2">
        <v>2000</v>
      </c>
      <c r="K441" s="2">
        <v>20</v>
      </c>
      <c r="L441" s="2">
        <v>0</v>
      </c>
      <c r="M441" s="2">
        <v>211708.01</v>
      </c>
      <c r="N441" s="2">
        <f t="shared" si="7"/>
        <v>453385.81000004458</v>
      </c>
      <c r="O441" s="9" t="s">
        <v>4</v>
      </c>
    </row>
    <row r="442" spans="1:15" x14ac:dyDescent="0.2">
      <c r="A442">
        <v>9</v>
      </c>
      <c r="B442">
        <v>4</v>
      </c>
      <c r="C442" s="2">
        <v>4</v>
      </c>
      <c r="D442" s="2">
        <v>2</v>
      </c>
      <c r="E442" s="2">
        <v>3</v>
      </c>
      <c r="F442" s="2" t="s">
        <v>4</v>
      </c>
      <c r="G442" s="2">
        <v>315.400000000565</v>
      </c>
      <c r="H442" s="2" t="s">
        <v>16</v>
      </c>
      <c r="I442" s="2">
        <v>186287.99999998999</v>
      </c>
      <c r="J442" s="2">
        <v>2000</v>
      </c>
      <c r="K442" s="2">
        <v>20</v>
      </c>
      <c r="L442" s="2">
        <v>0</v>
      </c>
      <c r="M442" s="2">
        <v>246347.61</v>
      </c>
      <c r="N442" s="2">
        <f t="shared" si="7"/>
        <v>432951.00999999058</v>
      </c>
      <c r="O442" s="9" t="s">
        <v>4</v>
      </c>
    </row>
    <row r="443" spans="1:15" x14ac:dyDescent="0.2">
      <c r="A443">
        <v>10</v>
      </c>
      <c r="B443">
        <v>4</v>
      </c>
      <c r="C443" s="2">
        <v>4</v>
      </c>
      <c r="D443" s="2">
        <v>3</v>
      </c>
      <c r="E443" s="2">
        <v>1</v>
      </c>
      <c r="F443" s="2" t="s">
        <v>4</v>
      </c>
      <c r="G443" s="2">
        <v>303.20000000010299</v>
      </c>
      <c r="H443" s="2" t="s">
        <v>16</v>
      </c>
      <c r="I443" s="2">
        <v>234249.999999975</v>
      </c>
      <c r="J443" s="2">
        <v>2000</v>
      </c>
      <c r="K443" s="2">
        <v>20</v>
      </c>
      <c r="L443" s="2">
        <v>0</v>
      </c>
      <c r="M443" s="2">
        <v>228828.01</v>
      </c>
      <c r="N443" s="2">
        <f t="shared" si="7"/>
        <v>463381.20999997511</v>
      </c>
      <c r="O443" s="9" t="s">
        <v>4</v>
      </c>
    </row>
    <row r="444" spans="1:15" x14ac:dyDescent="0.2">
      <c r="A444">
        <v>11</v>
      </c>
      <c r="B444">
        <v>4</v>
      </c>
      <c r="C444" s="2">
        <v>4</v>
      </c>
      <c r="D444" s="2">
        <v>3</v>
      </c>
      <c r="E444" s="2">
        <v>2</v>
      </c>
      <c r="F444" s="2" t="s">
        <v>4</v>
      </c>
      <c r="G444" s="2">
        <v>291.60000000025798</v>
      </c>
      <c r="H444" s="2" t="s">
        <v>16</v>
      </c>
      <c r="I444" s="2">
        <v>264225.00000001001</v>
      </c>
      <c r="J444" s="2">
        <v>2000</v>
      </c>
      <c r="K444" s="2">
        <v>20</v>
      </c>
      <c r="L444" s="2">
        <v>0</v>
      </c>
      <c r="M444" s="2">
        <v>241787.61</v>
      </c>
      <c r="N444" s="2">
        <f t="shared" si="7"/>
        <v>506304.21000001027</v>
      </c>
      <c r="O444" s="9" t="s">
        <v>4</v>
      </c>
    </row>
    <row r="445" spans="1:15" x14ac:dyDescent="0.2">
      <c r="A445">
        <v>12</v>
      </c>
      <c r="B445">
        <v>4</v>
      </c>
      <c r="C445" s="2">
        <v>4</v>
      </c>
      <c r="D445" s="2">
        <v>3</v>
      </c>
      <c r="E445" s="2">
        <v>3</v>
      </c>
      <c r="F445" s="2" t="s">
        <v>4</v>
      </c>
      <c r="G445" s="2">
        <v>339.79999999971301</v>
      </c>
      <c r="H445" s="2" t="s">
        <v>16</v>
      </c>
      <c r="I445" s="2">
        <v>238984.00000001601</v>
      </c>
      <c r="J445" s="2">
        <v>2000</v>
      </c>
      <c r="K445" s="2">
        <v>20</v>
      </c>
      <c r="L445" s="2">
        <v>0</v>
      </c>
      <c r="M445" s="2">
        <v>256028.01</v>
      </c>
      <c r="N445" s="2">
        <f t="shared" si="7"/>
        <v>495351.81000001577</v>
      </c>
      <c r="O445" s="9" t="s">
        <v>4</v>
      </c>
    </row>
    <row r="446" spans="1:15" x14ac:dyDescent="0.2">
      <c r="A446">
        <v>13</v>
      </c>
      <c r="B446">
        <v>4</v>
      </c>
      <c r="C446" s="2">
        <v>4</v>
      </c>
      <c r="D446" s="2">
        <v>2</v>
      </c>
      <c r="E446" s="2">
        <v>1</v>
      </c>
      <c r="F446" s="2" t="s">
        <v>4</v>
      </c>
      <c r="G446" s="2">
        <v>225.19999999985899</v>
      </c>
      <c r="H446" s="2" t="s">
        <v>16</v>
      </c>
      <c r="I446" s="2">
        <v>107898.00000003399</v>
      </c>
      <c r="J446" s="2">
        <v>2000</v>
      </c>
      <c r="K446" s="2">
        <v>20</v>
      </c>
      <c r="L446" s="2">
        <v>0</v>
      </c>
      <c r="M446" s="2">
        <v>175388.01</v>
      </c>
      <c r="N446" s="2">
        <f t="shared" si="7"/>
        <v>283511.21000003384</v>
      </c>
      <c r="O446" s="9" t="s">
        <v>5</v>
      </c>
    </row>
    <row r="447" spans="1:15" x14ac:dyDescent="0.2">
      <c r="A447">
        <v>14</v>
      </c>
      <c r="B447">
        <v>4</v>
      </c>
      <c r="C447" s="2">
        <v>4</v>
      </c>
      <c r="D447" s="2">
        <v>2</v>
      </c>
      <c r="E447" s="2">
        <v>2</v>
      </c>
      <c r="F447" s="2" t="s">
        <v>4</v>
      </c>
      <c r="G447" s="2">
        <v>285.80000000033601</v>
      </c>
      <c r="H447" s="2" t="s">
        <v>16</v>
      </c>
      <c r="I447" s="2">
        <v>234233.999999958</v>
      </c>
      <c r="J447" s="2">
        <v>2000</v>
      </c>
      <c r="K447" s="2">
        <v>20</v>
      </c>
      <c r="L447" s="2">
        <v>0</v>
      </c>
      <c r="M447" s="2">
        <v>215228.81</v>
      </c>
      <c r="N447" s="2">
        <f t="shared" si="7"/>
        <v>449748.60999995831</v>
      </c>
      <c r="O447" s="9" t="s">
        <v>4</v>
      </c>
    </row>
    <row r="448" spans="1:15" x14ac:dyDescent="0.2">
      <c r="A448">
        <v>15</v>
      </c>
      <c r="B448">
        <v>4</v>
      </c>
      <c r="C448" s="2">
        <v>4</v>
      </c>
      <c r="D448" s="2">
        <v>2</v>
      </c>
      <c r="E448" s="2">
        <v>3</v>
      </c>
      <c r="F448" s="2" t="s">
        <v>4</v>
      </c>
      <c r="G448" s="2">
        <v>273.80000000007999</v>
      </c>
      <c r="H448" s="2" t="s">
        <v>16</v>
      </c>
      <c r="I448" s="2">
        <v>299454.00000002602</v>
      </c>
      <c r="J448" s="2">
        <v>2000</v>
      </c>
      <c r="K448" s="2">
        <v>20</v>
      </c>
      <c r="L448" s="2">
        <v>0</v>
      </c>
      <c r="M448" s="2">
        <v>243067.61</v>
      </c>
      <c r="N448" s="2">
        <f t="shared" si="7"/>
        <v>542795.41000002611</v>
      </c>
      <c r="O448" s="9" t="s">
        <v>4</v>
      </c>
    </row>
    <row r="449" spans="1:15" x14ac:dyDescent="0.2">
      <c r="A449">
        <v>16</v>
      </c>
      <c r="B449">
        <v>4</v>
      </c>
      <c r="C449" s="2">
        <v>4</v>
      </c>
      <c r="D449" s="2">
        <v>3</v>
      </c>
      <c r="E449" s="2">
        <v>1</v>
      </c>
      <c r="F449" s="2" t="s">
        <v>4</v>
      </c>
      <c r="G449" s="2">
        <v>261.80000000017901</v>
      </c>
      <c r="H449" s="2" t="s">
        <v>16</v>
      </c>
      <c r="I449" s="2">
        <v>168532.00000002701</v>
      </c>
      <c r="J449" s="2">
        <v>2000</v>
      </c>
      <c r="K449" s="2">
        <v>20</v>
      </c>
      <c r="L449" s="2">
        <v>0</v>
      </c>
      <c r="M449" s="2">
        <v>190827.61</v>
      </c>
      <c r="N449" s="2">
        <f t="shared" si="7"/>
        <v>359621.41000002716</v>
      </c>
      <c r="O449" s="9" t="s">
        <v>4</v>
      </c>
    </row>
    <row r="450" spans="1:15" x14ac:dyDescent="0.2">
      <c r="A450">
        <v>17</v>
      </c>
      <c r="B450">
        <v>4</v>
      </c>
      <c r="C450" s="2">
        <v>4</v>
      </c>
      <c r="D450" s="2">
        <v>3</v>
      </c>
      <c r="E450" s="2">
        <v>2</v>
      </c>
      <c r="F450" s="2" t="s">
        <v>4</v>
      </c>
      <c r="G450" s="2">
        <v>255.000000001004</v>
      </c>
      <c r="H450" s="2" t="s">
        <v>16</v>
      </c>
      <c r="I450" s="2">
        <v>125322.00000004</v>
      </c>
      <c r="J450" s="2">
        <v>2000</v>
      </c>
      <c r="K450" s="2">
        <v>20</v>
      </c>
      <c r="L450" s="2">
        <v>0</v>
      </c>
      <c r="M450" s="2">
        <v>190027.61</v>
      </c>
      <c r="N450" s="2">
        <f t="shared" si="7"/>
        <v>315604.61000004096</v>
      </c>
      <c r="O450" s="9" t="s">
        <v>5</v>
      </c>
    </row>
    <row r="451" spans="1:15" x14ac:dyDescent="0.2">
      <c r="A451">
        <v>18</v>
      </c>
      <c r="B451">
        <v>4</v>
      </c>
      <c r="C451" s="2">
        <v>4</v>
      </c>
      <c r="D451" s="2">
        <v>3</v>
      </c>
      <c r="E451" s="2">
        <v>3</v>
      </c>
      <c r="F451" s="2" t="s">
        <v>4</v>
      </c>
      <c r="G451" s="2">
        <v>307.79999999950297</v>
      </c>
      <c r="H451" s="2" t="s">
        <v>16</v>
      </c>
      <c r="I451" s="2">
        <v>445655.99999998498</v>
      </c>
      <c r="J451" s="2">
        <v>2000</v>
      </c>
      <c r="K451" s="2">
        <v>20</v>
      </c>
      <c r="L451" s="2">
        <v>0</v>
      </c>
      <c r="M451" s="2">
        <v>190586.81</v>
      </c>
      <c r="N451" s="2">
        <f t="shared" si="7"/>
        <v>636550.6099999845</v>
      </c>
      <c r="O451" s="9" t="s">
        <v>4</v>
      </c>
    </row>
    <row r="452" spans="1:15" x14ac:dyDescent="0.2">
      <c r="A452">
        <v>19</v>
      </c>
      <c r="B452">
        <v>4</v>
      </c>
      <c r="C452" s="2">
        <v>5</v>
      </c>
      <c r="D452" s="2">
        <v>2</v>
      </c>
      <c r="E452" s="2">
        <v>1</v>
      </c>
      <c r="F452" s="2" t="s">
        <v>4</v>
      </c>
      <c r="G452" s="2">
        <v>241.399999999459</v>
      </c>
      <c r="H452" s="2" t="s">
        <v>16</v>
      </c>
      <c r="I452" s="2">
        <v>86420.000000032407</v>
      </c>
      <c r="J452" s="2">
        <v>2000</v>
      </c>
      <c r="K452" s="2">
        <v>20</v>
      </c>
      <c r="L452" s="2">
        <v>0</v>
      </c>
      <c r="M452" s="2">
        <v>225547.61</v>
      </c>
      <c r="N452" s="2">
        <f t="shared" si="7"/>
        <v>312209.01000003185</v>
      </c>
      <c r="O452" s="9" t="s">
        <v>5</v>
      </c>
    </row>
    <row r="453" spans="1:15" x14ac:dyDescent="0.2">
      <c r="A453">
        <v>20</v>
      </c>
      <c r="B453">
        <v>4</v>
      </c>
      <c r="C453" s="2">
        <v>5</v>
      </c>
      <c r="D453" s="2">
        <v>2</v>
      </c>
      <c r="E453" s="2">
        <v>2</v>
      </c>
      <c r="F453" s="2" t="s">
        <v>4</v>
      </c>
      <c r="G453" s="2">
        <v>301.59999999952402</v>
      </c>
      <c r="H453" s="2" t="s">
        <v>16</v>
      </c>
      <c r="I453" s="2">
        <v>298383.99999999901</v>
      </c>
      <c r="J453" s="2">
        <v>2000</v>
      </c>
      <c r="K453" s="2">
        <v>20</v>
      </c>
      <c r="L453" s="2">
        <v>0</v>
      </c>
      <c r="M453" s="2">
        <v>214508.01</v>
      </c>
      <c r="N453" s="2">
        <f t="shared" si="7"/>
        <v>513193.60999999853</v>
      </c>
      <c r="O453" s="9" t="s">
        <v>4</v>
      </c>
    </row>
    <row r="454" spans="1:15" x14ac:dyDescent="0.2">
      <c r="A454">
        <v>21</v>
      </c>
      <c r="B454">
        <v>4</v>
      </c>
      <c r="C454" s="2">
        <v>5</v>
      </c>
      <c r="D454" s="2">
        <v>2</v>
      </c>
      <c r="E454" s="2">
        <v>3</v>
      </c>
      <c r="F454" s="2" t="s">
        <v>4</v>
      </c>
      <c r="G454" s="2">
        <v>295.000000000201</v>
      </c>
      <c r="H454" s="2" t="s">
        <v>16</v>
      </c>
      <c r="I454" s="2">
        <v>248884.99999997299</v>
      </c>
      <c r="J454" s="2">
        <v>2000</v>
      </c>
      <c r="K454" s="2">
        <v>20</v>
      </c>
      <c r="L454" s="2">
        <v>0</v>
      </c>
      <c r="M454" s="2">
        <v>187066.81</v>
      </c>
      <c r="N454" s="2">
        <f t="shared" si="7"/>
        <v>436246.80999997316</v>
      </c>
      <c r="O454" s="9" t="s">
        <v>4</v>
      </c>
    </row>
    <row r="455" spans="1:15" x14ac:dyDescent="0.2">
      <c r="A455">
        <v>22</v>
      </c>
      <c r="B455">
        <v>4</v>
      </c>
      <c r="C455" s="2">
        <v>5</v>
      </c>
      <c r="D455" s="2">
        <v>3</v>
      </c>
      <c r="E455" s="2">
        <v>1</v>
      </c>
      <c r="F455" s="2" t="s">
        <v>4</v>
      </c>
      <c r="G455" s="2">
        <v>284.20000000011203</v>
      </c>
      <c r="H455" s="2" t="s">
        <v>16</v>
      </c>
      <c r="I455" s="2">
        <v>193147.00000001001</v>
      </c>
      <c r="J455" s="2">
        <v>2000</v>
      </c>
      <c r="K455" s="2">
        <v>20</v>
      </c>
      <c r="L455" s="2">
        <v>0</v>
      </c>
      <c r="M455" s="2">
        <v>250508.01</v>
      </c>
      <c r="N455" s="2">
        <f t="shared" si="7"/>
        <v>443939.21000001009</v>
      </c>
      <c r="O455" s="9" t="s">
        <v>4</v>
      </c>
    </row>
    <row r="456" spans="1:15" x14ac:dyDescent="0.2">
      <c r="A456">
        <v>23</v>
      </c>
      <c r="B456">
        <v>4</v>
      </c>
      <c r="C456" s="2">
        <v>5</v>
      </c>
      <c r="D456" s="2">
        <v>3</v>
      </c>
      <c r="E456" s="2">
        <v>2</v>
      </c>
      <c r="F456" s="2" t="s">
        <v>4</v>
      </c>
      <c r="G456" s="2">
        <v>292.800000000426</v>
      </c>
      <c r="H456" s="2" t="s">
        <v>16</v>
      </c>
      <c r="I456" s="2">
        <v>373690.000000011</v>
      </c>
      <c r="J456" s="2">
        <v>2000</v>
      </c>
      <c r="K456" s="2">
        <v>20</v>
      </c>
      <c r="L456" s="2">
        <v>0</v>
      </c>
      <c r="M456" s="2">
        <v>191227.21</v>
      </c>
      <c r="N456" s="2">
        <f t="shared" si="7"/>
        <v>565210.01000001142</v>
      </c>
      <c r="O456" s="9" t="s">
        <v>4</v>
      </c>
    </row>
    <row r="457" spans="1:15" x14ac:dyDescent="0.2">
      <c r="A457">
        <v>24</v>
      </c>
      <c r="B457">
        <v>4</v>
      </c>
      <c r="C457" s="2">
        <v>5</v>
      </c>
      <c r="D457" s="2">
        <v>3</v>
      </c>
      <c r="E457" s="2">
        <v>3</v>
      </c>
      <c r="F457" s="2" t="s">
        <v>4</v>
      </c>
      <c r="G457" s="2">
        <v>352.60000000043601</v>
      </c>
      <c r="H457" s="2" t="s">
        <v>16</v>
      </c>
      <c r="I457" s="2">
        <v>513671.00000004499</v>
      </c>
      <c r="J457" s="2">
        <v>2000</v>
      </c>
      <c r="K457" s="2">
        <v>20</v>
      </c>
      <c r="L457" s="2">
        <v>0</v>
      </c>
      <c r="M457" s="2">
        <v>229787.61</v>
      </c>
      <c r="N457" s="2">
        <f t="shared" ref="N457:N520" si="9">G457+M457+I457</f>
        <v>743811.21000004536</v>
      </c>
      <c r="O457" s="9" t="s">
        <v>4</v>
      </c>
    </row>
    <row r="458" spans="1:15" x14ac:dyDescent="0.2">
      <c r="A458">
        <v>25</v>
      </c>
      <c r="B458">
        <v>4</v>
      </c>
      <c r="C458" s="2">
        <v>6</v>
      </c>
      <c r="D458" s="2">
        <v>3</v>
      </c>
      <c r="E458" s="2">
        <v>1</v>
      </c>
      <c r="F458" s="2" t="s">
        <v>4</v>
      </c>
      <c r="G458" s="2">
        <v>315.00000000015399</v>
      </c>
      <c r="H458" s="2" t="s">
        <v>16</v>
      </c>
      <c r="I458" s="2">
        <v>392347.00000002899</v>
      </c>
      <c r="J458" s="2">
        <v>2000</v>
      </c>
      <c r="K458" s="2">
        <v>20</v>
      </c>
      <c r="L458" s="2">
        <v>0</v>
      </c>
      <c r="M458" s="2">
        <v>243788.01</v>
      </c>
      <c r="N458" s="2">
        <f t="shared" si="9"/>
        <v>636450.01000002911</v>
      </c>
      <c r="O458" s="9" t="s">
        <v>4</v>
      </c>
    </row>
    <row r="459" spans="1:15" x14ac:dyDescent="0.2">
      <c r="A459">
        <v>26</v>
      </c>
      <c r="B459">
        <v>4</v>
      </c>
      <c r="C459" s="2">
        <v>6</v>
      </c>
      <c r="D459" s="2">
        <v>3</v>
      </c>
      <c r="E459" s="2">
        <v>2</v>
      </c>
      <c r="F459" s="2" t="s">
        <v>4</v>
      </c>
      <c r="G459" s="2">
        <v>324.400000000224</v>
      </c>
      <c r="H459" s="2" t="s">
        <v>16</v>
      </c>
      <c r="I459" s="2">
        <v>725330.999999983</v>
      </c>
      <c r="J459" s="2">
        <v>2000</v>
      </c>
      <c r="K459" s="2">
        <v>20</v>
      </c>
      <c r="L459" s="2">
        <v>0</v>
      </c>
      <c r="M459" s="2">
        <v>188828.01</v>
      </c>
      <c r="N459" s="2">
        <f t="shared" si="9"/>
        <v>914483.40999998327</v>
      </c>
      <c r="O459" s="9" t="s">
        <v>4</v>
      </c>
    </row>
    <row r="460" spans="1:15" x14ac:dyDescent="0.2">
      <c r="A460">
        <v>27</v>
      </c>
      <c r="B460">
        <v>4</v>
      </c>
      <c r="C460" s="2">
        <v>6</v>
      </c>
      <c r="D460" s="2">
        <v>3</v>
      </c>
      <c r="E460" s="2">
        <v>3</v>
      </c>
      <c r="F460" s="2" t="s">
        <v>4</v>
      </c>
      <c r="G460" s="2">
        <v>408.40000000024202</v>
      </c>
      <c r="H460" s="2" t="s">
        <v>16</v>
      </c>
      <c r="I460" s="2">
        <v>531781.00000002398</v>
      </c>
      <c r="J460" s="2">
        <v>2000</v>
      </c>
      <c r="K460" s="2">
        <v>20</v>
      </c>
      <c r="L460" s="2">
        <v>0</v>
      </c>
      <c r="M460" s="2">
        <v>190427.21</v>
      </c>
      <c r="N460" s="2">
        <f t="shared" si="9"/>
        <v>722616.6100000242</v>
      </c>
      <c r="O460" s="9" t="s">
        <v>4</v>
      </c>
    </row>
    <row r="461" spans="1:15" x14ac:dyDescent="0.2">
      <c r="A461">
        <v>1</v>
      </c>
      <c r="B461">
        <v>4</v>
      </c>
      <c r="C461" s="2">
        <v>3</v>
      </c>
      <c r="D461" s="2">
        <v>2</v>
      </c>
      <c r="E461" s="2">
        <v>1</v>
      </c>
      <c r="F461" s="2" t="s">
        <v>4</v>
      </c>
      <c r="G461" s="2">
        <v>686.60000000022603</v>
      </c>
      <c r="H461" s="2" t="s">
        <v>16</v>
      </c>
      <c r="I461" s="2">
        <v>41551.999999967396</v>
      </c>
      <c r="J461" s="2">
        <v>2000</v>
      </c>
      <c r="K461" s="2">
        <v>100</v>
      </c>
      <c r="L461" s="2">
        <v>0</v>
      </c>
      <c r="M461" s="2">
        <v>343947.61</v>
      </c>
      <c r="N461" s="2">
        <f t="shared" si="9"/>
        <v>386186.2099999676</v>
      </c>
      <c r="O461" s="2" t="s">
        <v>5</v>
      </c>
    </row>
    <row r="462" spans="1:15" x14ac:dyDescent="0.2">
      <c r="A462">
        <v>2</v>
      </c>
      <c r="B462">
        <v>4</v>
      </c>
      <c r="C462" s="2">
        <v>3</v>
      </c>
      <c r="D462" s="2">
        <v>2</v>
      </c>
      <c r="E462" s="2">
        <v>2</v>
      </c>
      <c r="F462" s="2" t="s">
        <v>4</v>
      </c>
      <c r="G462" s="2">
        <v>595.39999999991301</v>
      </c>
      <c r="H462" s="2" t="s">
        <v>16</v>
      </c>
      <c r="I462" s="2">
        <v>274612.00000004697</v>
      </c>
      <c r="J462" s="2">
        <v>2000</v>
      </c>
      <c r="K462" s="2">
        <v>100</v>
      </c>
      <c r="L462" s="2">
        <v>0</v>
      </c>
      <c r="M462" s="2">
        <v>346187.61</v>
      </c>
      <c r="N462" s="2">
        <f t="shared" si="9"/>
        <v>621395.01000004681</v>
      </c>
      <c r="O462" s="2" t="s">
        <v>5</v>
      </c>
    </row>
    <row r="463" spans="1:15" x14ac:dyDescent="0.2">
      <c r="A463">
        <v>3</v>
      </c>
      <c r="B463">
        <v>4</v>
      </c>
      <c r="C463" s="2">
        <v>3</v>
      </c>
      <c r="D463" s="2">
        <v>2</v>
      </c>
      <c r="E463" s="2">
        <v>3</v>
      </c>
      <c r="F463" s="2" t="s">
        <v>4</v>
      </c>
      <c r="G463" s="2">
        <v>510.39999999993302</v>
      </c>
      <c r="H463" s="2" t="s">
        <v>16</v>
      </c>
      <c r="I463" s="2">
        <v>107829.999999979</v>
      </c>
      <c r="J463" s="2">
        <v>2000</v>
      </c>
      <c r="K463" s="2">
        <v>100</v>
      </c>
      <c r="L463" s="2">
        <v>0</v>
      </c>
      <c r="M463" s="2">
        <v>370587.61</v>
      </c>
      <c r="N463" s="2">
        <f t="shared" si="9"/>
        <v>478928.00999997888</v>
      </c>
      <c r="O463" s="2" t="s">
        <v>4</v>
      </c>
    </row>
    <row r="464" spans="1:15" x14ac:dyDescent="0.2">
      <c r="A464">
        <v>4</v>
      </c>
      <c r="B464">
        <v>4</v>
      </c>
      <c r="C464" s="2">
        <v>3</v>
      </c>
      <c r="D464" s="2">
        <v>3</v>
      </c>
      <c r="E464" s="2">
        <v>1</v>
      </c>
      <c r="F464" s="2" t="s">
        <v>4</v>
      </c>
      <c r="G464" s="2">
        <v>455.79999999958397</v>
      </c>
      <c r="H464" s="2" t="s">
        <v>16</v>
      </c>
      <c r="I464" s="2">
        <v>73137.000000031097</v>
      </c>
      <c r="J464" s="2">
        <v>2000</v>
      </c>
      <c r="K464" s="2">
        <v>100</v>
      </c>
      <c r="L464" s="2">
        <v>0</v>
      </c>
      <c r="M464" s="2">
        <v>346028.01</v>
      </c>
      <c r="N464" s="2">
        <f t="shared" si="9"/>
        <v>419620.81000003067</v>
      </c>
      <c r="O464" s="2" t="s">
        <v>5</v>
      </c>
    </row>
    <row r="465" spans="1:15" x14ac:dyDescent="0.2">
      <c r="A465">
        <v>5</v>
      </c>
      <c r="B465">
        <v>4</v>
      </c>
      <c r="C465" s="2">
        <v>3</v>
      </c>
      <c r="D465" s="2">
        <v>3</v>
      </c>
      <c r="E465" s="2">
        <v>2</v>
      </c>
      <c r="F465" s="2" t="s">
        <v>4</v>
      </c>
      <c r="G465" s="2">
        <v>514.60000000034302</v>
      </c>
      <c r="H465" s="2" t="s">
        <v>16</v>
      </c>
      <c r="I465" s="2">
        <v>86206.000000004206</v>
      </c>
      <c r="J465" s="2">
        <v>2000</v>
      </c>
      <c r="K465" s="2">
        <v>100</v>
      </c>
      <c r="L465" s="2">
        <v>0</v>
      </c>
      <c r="M465" s="2">
        <v>335307.61</v>
      </c>
      <c r="N465" s="2">
        <f t="shared" si="9"/>
        <v>422028.2100000045</v>
      </c>
      <c r="O465" s="2" t="s">
        <v>5</v>
      </c>
    </row>
    <row r="466" spans="1:15" x14ac:dyDescent="0.2">
      <c r="A466">
        <v>6</v>
      </c>
      <c r="B466">
        <v>4</v>
      </c>
      <c r="C466" s="2">
        <v>3</v>
      </c>
      <c r="D466" s="2">
        <v>3</v>
      </c>
      <c r="E466" s="2">
        <v>3</v>
      </c>
      <c r="F466" s="2" t="s">
        <v>4</v>
      </c>
      <c r="G466" s="2">
        <v>535.59999999990305</v>
      </c>
      <c r="H466" s="2" t="s">
        <v>16</v>
      </c>
      <c r="I466" s="2">
        <v>206090.000000017</v>
      </c>
      <c r="J466" s="2">
        <v>2000</v>
      </c>
      <c r="K466" s="2">
        <v>100</v>
      </c>
      <c r="L466" s="2">
        <v>0</v>
      </c>
      <c r="M466" s="2">
        <v>340667.61</v>
      </c>
      <c r="N466" s="2">
        <f t="shared" si="9"/>
        <v>547293.21000001696</v>
      </c>
      <c r="O466" s="2" t="s">
        <v>4</v>
      </c>
    </row>
    <row r="467" spans="1:15" x14ac:dyDescent="0.2">
      <c r="A467">
        <v>7</v>
      </c>
      <c r="B467">
        <v>4</v>
      </c>
      <c r="C467" s="2">
        <v>4</v>
      </c>
      <c r="D467" s="2">
        <v>2</v>
      </c>
      <c r="E467" s="2">
        <v>1</v>
      </c>
      <c r="F467" s="2" t="s">
        <v>4</v>
      </c>
      <c r="G467" s="2">
        <v>354.799999999855</v>
      </c>
      <c r="H467" s="2" t="s">
        <v>16</v>
      </c>
      <c r="I467" s="2">
        <v>56281.000000012697</v>
      </c>
      <c r="J467" s="2">
        <v>2000</v>
      </c>
      <c r="K467" s="2">
        <v>100</v>
      </c>
      <c r="L467" s="2">
        <v>0</v>
      </c>
      <c r="M467" s="2">
        <v>384747.61</v>
      </c>
      <c r="N467" s="2">
        <f t="shared" si="9"/>
        <v>441383.41000001255</v>
      </c>
      <c r="O467" s="2" t="s">
        <v>5</v>
      </c>
    </row>
    <row r="468" spans="1:15" x14ac:dyDescent="0.2">
      <c r="A468">
        <v>8</v>
      </c>
      <c r="B468">
        <v>4</v>
      </c>
      <c r="C468" s="2">
        <v>4</v>
      </c>
      <c r="D468" s="2">
        <v>2</v>
      </c>
      <c r="E468" s="2">
        <v>2</v>
      </c>
      <c r="F468" s="2" t="s">
        <v>4</v>
      </c>
      <c r="G468" s="2">
        <v>408.79999999958699</v>
      </c>
      <c r="H468" s="2" t="s">
        <v>16</v>
      </c>
      <c r="I468" s="2">
        <v>241269.00000004499</v>
      </c>
      <c r="J468" s="2">
        <v>2000</v>
      </c>
      <c r="K468" s="2">
        <v>100</v>
      </c>
      <c r="L468" s="2">
        <v>0</v>
      </c>
      <c r="M468" s="2">
        <v>371708.01</v>
      </c>
      <c r="N468" s="2">
        <f t="shared" si="9"/>
        <v>613385.81000004453</v>
      </c>
      <c r="O468" s="2" t="s">
        <v>4</v>
      </c>
    </row>
    <row r="469" spans="1:15" x14ac:dyDescent="0.2">
      <c r="A469">
        <v>9</v>
      </c>
      <c r="B469">
        <v>4</v>
      </c>
      <c r="C469" s="2">
        <v>4</v>
      </c>
      <c r="D469" s="2">
        <v>2</v>
      </c>
      <c r="E469" s="2">
        <v>3</v>
      </c>
      <c r="F469" s="2" t="s">
        <v>4</v>
      </c>
      <c r="G469" s="2">
        <v>315.400000000565</v>
      </c>
      <c r="H469" s="2" t="s">
        <v>16</v>
      </c>
      <c r="I469" s="2">
        <v>186287.99999998999</v>
      </c>
      <c r="J469" s="2">
        <v>2000</v>
      </c>
      <c r="K469" s="2">
        <v>100</v>
      </c>
      <c r="L469" s="2">
        <v>0</v>
      </c>
      <c r="M469" s="2">
        <v>406347.61</v>
      </c>
      <c r="N469" s="2">
        <f t="shared" si="9"/>
        <v>592951.00999999046</v>
      </c>
      <c r="O469" s="2" t="s">
        <v>4</v>
      </c>
    </row>
    <row r="470" spans="1:15" x14ac:dyDescent="0.2">
      <c r="A470">
        <v>10</v>
      </c>
      <c r="B470">
        <v>4</v>
      </c>
      <c r="C470" s="2">
        <v>4</v>
      </c>
      <c r="D470" s="2">
        <v>3</v>
      </c>
      <c r="E470" s="2">
        <v>1</v>
      </c>
      <c r="F470" s="2" t="s">
        <v>4</v>
      </c>
      <c r="G470" s="2">
        <v>303.20000000010299</v>
      </c>
      <c r="H470" s="2" t="s">
        <v>16</v>
      </c>
      <c r="I470" s="2">
        <v>234249.999999975</v>
      </c>
      <c r="J470" s="2">
        <v>2000</v>
      </c>
      <c r="K470" s="2">
        <v>100</v>
      </c>
      <c r="L470" s="2">
        <v>0</v>
      </c>
      <c r="M470" s="2">
        <v>388828.01</v>
      </c>
      <c r="N470" s="2">
        <f t="shared" si="9"/>
        <v>623381.20999997517</v>
      </c>
      <c r="O470" s="2" t="s">
        <v>4</v>
      </c>
    </row>
    <row r="471" spans="1:15" x14ac:dyDescent="0.2">
      <c r="A471">
        <v>11</v>
      </c>
      <c r="B471">
        <v>4</v>
      </c>
      <c r="C471" s="2">
        <v>4</v>
      </c>
      <c r="D471" s="2">
        <v>3</v>
      </c>
      <c r="E471" s="2">
        <v>2</v>
      </c>
      <c r="F471" s="2" t="s">
        <v>4</v>
      </c>
      <c r="G471" s="2">
        <v>291.60000000025798</v>
      </c>
      <c r="H471" s="2" t="s">
        <v>16</v>
      </c>
      <c r="I471" s="2">
        <v>264225.00000001001</v>
      </c>
      <c r="J471" s="2">
        <v>2000</v>
      </c>
      <c r="K471" s="2">
        <v>100</v>
      </c>
      <c r="L471" s="2">
        <v>0</v>
      </c>
      <c r="M471" s="2">
        <v>401787.61</v>
      </c>
      <c r="N471" s="2">
        <f t="shared" si="9"/>
        <v>666304.21000001021</v>
      </c>
      <c r="O471" s="2" t="s">
        <v>4</v>
      </c>
    </row>
    <row r="472" spans="1:15" x14ac:dyDescent="0.2">
      <c r="A472">
        <v>12</v>
      </c>
      <c r="B472">
        <v>4</v>
      </c>
      <c r="C472" s="2">
        <v>4</v>
      </c>
      <c r="D472" s="2">
        <v>3</v>
      </c>
      <c r="E472" s="2">
        <v>3</v>
      </c>
      <c r="F472" s="2" t="s">
        <v>4</v>
      </c>
      <c r="G472" s="2">
        <v>339.79999999971301</v>
      </c>
      <c r="H472" s="2" t="s">
        <v>16</v>
      </c>
      <c r="I472" s="2">
        <v>238984.00000001601</v>
      </c>
      <c r="J472" s="2">
        <v>2000</v>
      </c>
      <c r="K472" s="2">
        <v>100</v>
      </c>
      <c r="L472" s="2">
        <v>0</v>
      </c>
      <c r="M472" s="2">
        <v>416028.01</v>
      </c>
      <c r="N472" s="2">
        <f t="shared" si="9"/>
        <v>655351.81000001566</v>
      </c>
      <c r="O472" s="2" t="s">
        <v>4</v>
      </c>
    </row>
    <row r="473" spans="1:15" x14ac:dyDescent="0.2">
      <c r="A473">
        <v>13</v>
      </c>
      <c r="B473">
        <v>4</v>
      </c>
      <c r="C473" s="2">
        <v>4</v>
      </c>
      <c r="D473" s="2">
        <v>2</v>
      </c>
      <c r="E473" s="2">
        <v>1</v>
      </c>
      <c r="F473" s="2" t="s">
        <v>4</v>
      </c>
      <c r="G473" s="2">
        <v>225.19999999985899</v>
      </c>
      <c r="H473" s="2" t="s">
        <v>16</v>
      </c>
      <c r="I473" s="2">
        <v>107898.00000003399</v>
      </c>
      <c r="J473" s="2">
        <v>2000</v>
      </c>
      <c r="K473" s="2">
        <v>100</v>
      </c>
      <c r="L473" s="2">
        <v>0</v>
      </c>
      <c r="M473" s="2">
        <v>335388.01</v>
      </c>
      <c r="N473" s="2">
        <f t="shared" si="9"/>
        <v>443511.21000003384</v>
      </c>
      <c r="O473" s="2" t="s">
        <v>5</v>
      </c>
    </row>
    <row r="474" spans="1:15" x14ac:dyDescent="0.2">
      <c r="A474">
        <v>14</v>
      </c>
      <c r="B474">
        <v>4</v>
      </c>
      <c r="C474" s="2">
        <v>4</v>
      </c>
      <c r="D474" s="2">
        <v>2</v>
      </c>
      <c r="E474" s="2">
        <v>2</v>
      </c>
      <c r="F474" s="2" t="s">
        <v>4</v>
      </c>
      <c r="G474" s="2">
        <v>285.80000000033601</v>
      </c>
      <c r="H474" s="2" t="s">
        <v>16</v>
      </c>
      <c r="I474" s="2">
        <v>234233.999999958</v>
      </c>
      <c r="J474" s="2">
        <v>2000</v>
      </c>
      <c r="K474" s="2">
        <v>100</v>
      </c>
      <c r="L474" s="2">
        <v>0</v>
      </c>
      <c r="M474" s="2">
        <v>375228.81</v>
      </c>
      <c r="N474" s="2">
        <f t="shared" si="9"/>
        <v>609748.60999995831</v>
      </c>
      <c r="O474" s="2" t="s">
        <v>4</v>
      </c>
    </row>
    <row r="475" spans="1:15" x14ac:dyDescent="0.2">
      <c r="A475">
        <v>15</v>
      </c>
      <c r="B475">
        <v>4</v>
      </c>
      <c r="C475" s="2">
        <v>4</v>
      </c>
      <c r="D475" s="2">
        <v>2</v>
      </c>
      <c r="E475" s="2">
        <v>3</v>
      </c>
      <c r="F475" s="2" t="s">
        <v>4</v>
      </c>
      <c r="G475" s="2">
        <v>273.80000000007999</v>
      </c>
      <c r="H475" s="2" t="s">
        <v>16</v>
      </c>
      <c r="I475" s="2">
        <v>299454.00000002602</v>
      </c>
      <c r="J475" s="2">
        <v>2000</v>
      </c>
      <c r="K475" s="2">
        <v>100</v>
      </c>
      <c r="L475" s="2">
        <v>0</v>
      </c>
      <c r="M475" s="2">
        <v>403067.61</v>
      </c>
      <c r="N475" s="2">
        <f t="shared" si="9"/>
        <v>702795.41000002611</v>
      </c>
      <c r="O475" s="2" t="s">
        <v>4</v>
      </c>
    </row>
    <row r="476" spans="1:15" x14ac:dyDescent="0.2">
      <c r="A476">
        <v>16</v>
      </c>
      <c r="B476">
        <v>4</v>
      </c>
      <c r="C476" s="2">
        <v>4</v>
      </c>
      <c r="D476" s="2">
        <v>3</v>
      </c>
      <c r="E476" s="2">
        <v>1</v>
      </c>
      <c r="F476" s="2" t="s">
        <v>4</v>
      </c>
      <c r="G476" s="2">
        <v>261.80000000017901</v>
      </c>
      <c r="H476" s="2" t="s">
        <v>16</v>
      </c>
      <c r="I476" s="2">
        <v>168532.00000002701</v>
      </c>
      <c r="J476" s="2">
        <v>2000</v>
      </c>
      <c r="K476" s="2">
        <v>100</v>
      </c>
      <c r="L476" s="2">
        <v>0</v>
      </c>
      <c r="M476" s="2">
        <v>350827.61</v>
      </c>
      <c r="N476" s="2">
        <f t="shared" si="9"/>
        <v>519621.41000002716</v>
      </c>
      <c r="O476" s="2" t="s">
        <v>4</v>
      </c>
    </row>
    <row r="477" spans="1:15" x14ac:dyDescent="0.2">
      <c r="A477">
        <v>17</v>
      </c>
      <c r="B477">
        <v>4</v>
      </c>
      <c r="C477" s="2">
        <v>4</v>
      </c>
      <c r="D477" s="2">
        <v>3</v>
      </c>
      <c r="E477" s="2">
        <v>2</v>
      </c>
      <c r="F477" s="2" t="s">
        <v>4</v>
      </c>
      <c r="G477" s="2">
        <v>255.000000001004</v>
      </c>
      <c r="H477" s="2" t="s">
        <v>16</v>
      </c>
      <c r="I477" s="2">
        <v>125322.00000004</v>
      </c>
      <c r="J477" s="2">
        <v>2000</v>
      </c>
      <c r="K477" s="2">
        <v>100</v>
      </c>
      <c r="L477" s="2">
        <v>0</v>
      </c>
      <c r="M477" s="2">
        <v>350027.61</v>
      </c>
      <c r="N477" s="2">
        <f t="shared" si="9"/>
        <v>475604.61000004096</v>
      </c>
      <c r="O477" s="2" t="s">
        <v>5</v>
      </c>
    </row>
    <row r="478" spans="1:15" x14ac:dyDescent="0.2">
      <c r="A478">
        <v>18</v>
      </c>
      <c r="B478">
        <v>4</v>
      </c>
      <c r="C478" s="2">
        <v>4</v>
      </c>
      <c r="D478" s="2">
        <v>3</v>
      </c>
      <c r="E478" s="2">
        <v>3</v>
      </c>
      <c r="F478" s="2" t="s">
        <v>4</v>
      </c>
      <c r="G478" s="2">
        <v>307.79999999950297</v>
      </c>
      <c r="H478" s="2" t="s">
        <v>16</v>
      </c>
      <c r="I478" s="2">
        <v>445655.99999998498</v>
      </c>
      <c r="J478" s="2">
        <v>2000</v>
      </c>
      <c r="K478" s="2">
        <v>100</v>
      </c>
      <c r="L478" s="2">
        <v>0</v>
      </c>
      <c r="M478" s="2">
        <v>350586.81</v>
      </c>
      <c r="N478" s="2">
        <f t="shared" si="9"/>
        <v>796550.6099999845</v>
      </c>
      <c r="O478" s="2" t="s">
        <v>4</v>
      </c>
    </row>
    <row r="479" spans="1:15" x14ac:dyDescent="0.2">
      <c r="A479">
        <v>19</v>
      </c>
      <c r="B479">
        <v>4</v>
      </c>
      <c r="C479" s="2">
        <v>5</v>
      </c>
      <c r="D479" s="2">
        <v>2</v>
      </c>
      <c r="E479" s="2">
        <v>1</v>
      </c>
      <c r="F479" s="2" t="s">
        <v>4</v>
      </c>
      <c r="G479" s="2">
        <v>241.399999999459</v>
      </c>
      <c r="H479" s="2" t="s">
        <v>16</v>
      </c>
      <c r="I479" s="2">
        <v>86420.000000032407</v>
      </c>
      <c r="J479" s="2">
        <v>2000</v>
      </c>
      <c r="K479" s="2">
        <v>100</v>
      </c>
      <c r="L479" s="2">
        <v>0</v>
      </c>
      <c r="M479" s="2">
        <v>385547.61</v>
      </c>
      <c r="N479" s="2">
        <f t="shared" si="9"/>
        <v>472209.01000003185</v>
      </c>
      <c r="O479" s="2" t="s">
        <v>5</v>
      </c>
    </row>
    <row r="480" spans="1:15" x14ac:dyDescent="0.2">
      <c r="A480">
        <v>20</v>
      </c>
      <c r="B480">
        <v>4</v>
      </c>
      <c r="C480" s="2">
        <v>5</v>
      </c>
      <c r="D480" s="2">
        <v>2</v>
      </c>
      <c r="E480" s="2">
        <v>2</v>
      </c>
      <c r="F480" s="2" t="s">
        <v>4</v>
      </c>
      <c r="G480" s="2">
        <v>301.59999999952402</v>
      </c>
      <c r="H480" s="2" t="s">
        <v>16</v>
      </c>
      <c r="I480" s="2">
        <v>298383.99999999901</v>
      </c>
      <c r="J480" s="2">
        <v>2000</v>
      </c>
      <c r="K480" s="2">
        <v>100</v>
      </c>
      <c r="L480" s="2">
        <v>0</v>
      </c>
      <c r="M480" s="2">
        <v>374508.01</v>
      </c>
      <c r="N480" s="2">
        <f t="shared" si="9"/>
        <v>673193.60999999847</v>
      </c>
      <c r="O480" s="2" t="s">
        <v>4</v>
      </c>
    </row>
    <row r="481" spans="1:15" x14ac:dyDescent="0.2">
      <c r="A481">
        <v>21</v>
      </c>
      <c r="B481">
        <v>4</v>
      </c>
      <c r="C481" s="2">
        <v>5</v>
      </c>
      <c r="D481" s="2">
        <v>2</v>
      </c>
      <c r="E481" s="2">
        <v>3</v>
      </c>
      <c r="F481" s="2" t="s">
        <v>4</v>
      </c>
      <c r="G481" s="2">
        <v>295.000000000201</v>
      </c>
      <c r="H481" s="2" t="s">
        <v>16</v>
      </c>
      <c r="I481" s="2">
        <v>248884.99999997299</v>
      </c>
      <c r="J481" s="2">
        <v>2000</v>
      </c>
      <c r="K481" s="2">
        <v>100</v>
      </c>
      <c r="L481" s="2">
        <v>0</v>
      </c>
      <c r="M481" s="2">
        <v>347066.81</v>
      </c>
      <c r="N481" s="2">
        <f t="shared" si="9"/>
        <v>596246.80999997316</v>
      </c>
      <c r="O481" s="2" t="s">
        <v>4</v>
      </c>
    </row>
    <row r="482" spans="1:15" x14ac:dyDescent="0.2">
      <c r="A482">
        <v>22</v>
      </c>
      <c r="B482">
        <v>4</v>
      </c>
      <c r="C482" s="2">
        <v>5</v>
      </c>
      <c r="D482" s="2">
        <v>3</v>
      </c>
      <c r="E482" s="2">
        <v>1</v>
      </c>
      <c r="F482" s="2" t="s">
        <v>4</v>
      </c>
      <c r="G482" s="2">
        <v>284.20000000011203</v>
      </c>
      <c r="H482" s="2" t="s">
        <v>16</v>
      </c>
      <c r="I482" s="2">
        <v>193147.00000001001</v>
      </c>
      <c r="J482" s="2">
        <v>2000</v>
      </c>
      <c r="K482" s="2">
        <v>100</v>
      </c>
      <c r="L482" s="2">
        <v>0</v>
      </c>
      <c r="M482" s="2">
        <v>410508.01</v>
      </c>
      <c r="N482" s="2">
        <f t="shared" si="9"/>
        <v>603939.21000001021</v>
      </c>
      <c r="O482" s="2" t="s">
        <v>5</v>
      </c>
    </row>
    <row r="483" spans="1:15" x14ac:dyDescent="0.2">
      <c r="A483">
        <v>23</v>
      </c>
      <c r="B483">
        <v>4</v>
      </c>
      <c r="C483" s="2">
        <v>5</v>
      </c>
      <c r="D483" s="2">
        <v>3</v>
      </c>
      <c r="E483" s="2">
        <v>2</v>
      </c>
      <c r="F483" s="2" t="s">
        <v>4</v>
      </c>
      <c r="G483" s="2">
        <v>292.800000000426</v>
      </c>
      <c r="H483" s="2" t="s">
        <v>16</v>
      </c>
      <c r="I483" s="2">
        <v>373690.000000011</v>
      </c>
      <c r="J483" s="2">
        <v>2000</v>
      </c>
      <c r="K483" s="2">
        <v>100</v>
      </c>
      <c r="L483" s="2">
        <v>0</v>
      </c>
      <c r="M483" s="2">
        <v>351227.21</v>
      </c>
      <c r="N483" s="2">
        <f t="shared" si="9"/>
        <v>725210.01000001142</v>
      </c>
      <c r="O483" s="2" t="s">
        <v>4</v>
      </c>
    </row>
    <row r="484" spans="1:15" x14ac:dyDescent="0.2">
      <c r="A484">
        <v>24</v>
      </c>
      <c r="B484">
        <v>4</v>
      </c>
      <c r="C484" s="2">
        <v>5</v>
      </c>
      <c r="D484" s="2">
        <v>3</v>
      </c>
      <c r="E484" s="2">
        <v>3</v>
      </c>
      <c r="F484" s="2" t="s">
        <v>4</v>
      </c>
      <c r="G484" s="2">
        <v>352.60000000043601</v>
      </c>
      <c r="H484" s="2" t="s">
        <v>16</v>
      </c>
      <c r="I484" s="2">
        <v>513671.00000004499</v>
      </c>
      <c r="J484" s="2">
        <v>2000</v>
      </c>
      <c r="K484" s="2">
        <v>100</v>
      </c>
      <c r="L484" s="2">
        <v>0</v>
      </c>
      <c r="M484" s="2">
        <v>389787.61</v>
      </c>
      <c r="N484" s="2">
        <f t="shared" si="9"/>
        <v>903811.21000004536</v>
      </c>
      <c r="O484" s="2" t="s">
        <v>4</v>
      </c>
    </row>
    <row r="485" spans="1:15" x14ac:dyDescent="0.2">
      <c r="A485">
        <v>25</v>
      </c>
      <c r="B485">
        <v>4</v>
      </c>
      <c r="C485" s="2">
        <v>6</v>
      </c>
      <c r="D485" s="2">
        <v>3</v>
      </c>
      <c r="E485" s="2">
        <v>1</v>
      </c>
      <c r="F485" s="2" t="s">
        <v>4</v>
      </c>
      <c r="G485" s="2">
        <v>315.00000000015399</v>
      </c>
      <c r="H485" s="2" t="s">
        <v>16</v>
      </c>
      <c r="I485" s="2">
        <v>392347.00000002899</v>
      </c>
      <c r="J485" s="2">
        <v>2000</v>
      </c>
      <c r="K485" s="2">
        <v>100</v>
      </c>
      <c r="L485" s="2">
        <v>0</v>
      </c>
      <c r="M485" s="2">
        <v>403788.01</v>
      </c>
      <c r="N485" s="2">
        <f t="shared" si="9"/>
        <v>796450.01000002911</v>
      </c>
      <c r="O485" s="2" t="s">
        <v>4</v>
      </c>
    </row>
    <row r="486" spans="1:15" x14ac:dyDescent="0.2">
      <c r="A486">
        <v>26</v>
      </c>
      <c r="B486">
        <v>4</v>
      </c>
      <c r="C486" s="2">
        <v>6</v>
      </c>
      <c r="D486" s="2">
        <v>3</v>
      </c>
      <c r="E486" s="2">
        <v>2</v>
      </c>
      <c r="F486" s="2" t="s">
        <v>4</v>
      </c>
      <c r="G486" s="2">
        <v>324.400000000224</v>
      </c>
      <c r="H486" s="2" t="s">
        <v>16</v>
      </c>
      <c r="I486" s="2">
        <v>725330.999999983</v>
      </c>
      <c r="J486" s="2">
        <v>2000</v>
      </c>
      <c r="K486" s="2">
        <v>100</v>
      </c>
      <c r="L486" s="2">
        <v>0</v>
      </c>
      <c r="M486" s="2">
        <v>348828.01</v>
      </c>
      <c r="N486" s="2">
        <f t="shared" si="9"/>
        <v>1074483.4099999832</v>
      </c>
      <c r="O486" s="2" t="s">
        <v>4</v>
      </c>
    </row>
    <row r="487" spans="1:15" x14ac:dyDescent="0.2">
      <c r="A487">
        <v>27</v>
      </c>
      <c r="B487">
        <v>4</v>
      </c>
      <c r="C487" s="2">
        <v>6</v>
      </c>
      <c r="D487" s="2">
        <v>3</v>
      </c>
      <c r="E487" s="2">
        <v>3</v>
      </c>
      <c r="F487" s="2" t="s">
        <v>4</v>
      </c>
      <c r="G487" s="2">
        <v>408.40000000024202</v>
      </c>
      <c r="H487" s="2" t="s">
        <v>16</v>
      </c>
      <c r="I487" s="2">
        <v>531781.00000002398</v>
      </c>
      <c r="J487" s="2">
        <v>2000</v>
      </c>
      <c r="K487" s="2">
        <v>100</v>
      </c>
      <c r="L487" s="2">
        <v>0</v>
      </c>
      <c r="M487" s="2">
        <v>350427.21</v>
      </c>
      <c r="N487" s="2">
        <f t="shared" si="9"/>
        <v>882616.61000002432</v>
      </c>
      <c r="O487" s="2" t="s">
        <v>4</v>
      </c>
    </row>
    <row r="488" spans="1:15" x14ac:dyDescent="0.2">
      <c r="A488">
        <v>1</v>
      </c>
      <c r="B488">
        <v>4</v>
      </c>
      <c r="C488" s="2">
        <v>3</v>
      </c>
      <c r="D488" s="2">
        <v>2</v>
      </c>
      <c r="E488" s="2">
        <v>1</v>
      </c>
      <c r="F488" s="2" t="s">
        <v>4</v>
      </c>
      <c r="G488" s="2">
        <v>686.60000000022603</v>
      </c>
      <c r="H488" s="2" t="s">
        <v>16</v>
      </c>
      <c r="I488" s="2">
        <v>41551.999999967396</v>
      </c>
      <c r="J488" s="2">
        <v>3000</v>
      </c>
      <c r="K488" s="2">
        <v>20</v>
      </c>
      <c r="L488" s="2">
        <v>0</v>
      </c>
      <c r="M488" s="2">
        <v>266307.61</v>
      </c>
      <c r="N488" s="2">
        <f t="shared" si="9"/>
        <v>308546.2099999676</v>
      </c>
      <c r="O488" s="9" t="s">
        <v>5</v>
      </c>
    </row>
    <row r="489" spans="1:15" x14ac:dyDescent="0.2">
      <c r="A489">
        <v>2</v>
      </c>
      <c r="B489">
        <v>4</v>
      </c>
      <c r="C489" s="2">
        <v>3</v>
      </c>
      <c r="D489" s="2">
        <v>2</v>
      </c>
      <c r="E489" s="2">
        <v>2</v>
      </c>
      <c r="F489" s="2" t="s">
        <v>4</v>
      </c>
      <c r="G489" s="2">
        <v>595.39999999991301</v>
      </c>
      <c r="H489" s="2" t="s">
        <v>16</v>
      </c>
      <c r="I489" s="2">
        <v>274612.00000004697</v>
      </c>
      <c r="J489" s="2">
        <v>3000</v>
      </c>
      <c r="K489" s="2">
        <v>20</v>
      </c>
      <c r="L489" s="2">
        <v>0</v>
      </c>
      <c r="M489" s="2">
        <v>269667.61</v>
      </c>
      <c r="N489" s="2">
        <f t="shared" si="9"/>
        <v>544875.01000004681</v>
      </c>
      <c r="O489" s="9" t="s">
        <v>5</v>
      </c>
    </row>
    <row r="490" spans="1:15" x14ac:dyDescent="0.2">
      <c r="A490">
        <v>3</v>
      </c>
      <c r="B490">
        <v>4</v>
      </c>
      <c r="C490" s="2">
        <v>3</v>
      </c>
      <c r="D490" s="2">
        <v>2</v>
      </c>
      <c r="E490" s="2">
        <v>3</v>
      </c>
      <c r="F490" s="2" t="s">
        <v>4</v>
      </c>
      <c r="G490" s="2">
        <v>510.39999999993302</v>
      </c>
      <c r="H490" s="2" t="s">
        <v>16</v>
      </c>
      <c r="I490" s="2">
        <v>107829.999999979</v>
      </c>
      <c r="J490" s="2">
        <v>3000</v>
      </c>
      <c r="K490" s="2">
        <v>20</v>
      </c>
      <c r="L490" s="2">
        <v>0</v>
      </c>
      <c r="M490" s="2">
        <v>306267.61</v>
      </c>
      <c r="N490" s="2">
        <f t="shared" si="9"/>
        <v>414608.00999997888</v>
      </c>
      <c r="O490" s="9" t="s">
        <v>5</v>
      </c>
    </row>
    <row r="491" spans="1:15" x14ac:dyDescent="0.2">
      <c r="A491">
        <v>4</v>
      </c>
      <c r="B491">
        <v>4</v>
      </c>
      <c r="C491" s="2">
        <v>3</v>
      </c>
      <c r="D491" s="2">
        <v>3</v>
      </c>
      <c r="E491" s="2">
        <v>1</v>
      </c>
      <c r="F491" s="2" t="s">
        <v>4</v>
      </c>
      <c r="G491" s="2">
        <v>455.79999999958397</v>
      </c>
      <c r="H491" s="2" t="s">
        <v>16</v>
      </c>
      <c r="I491" s="2">
        <v>73137.000000031097</v>
      </c>
      <c r="J491" s="2">
        <v>3000</v>
      </c>
      <c r="K491" s="2">
        <v>20</v>
      </c>
      <c r="L491" s="2">
        <v>0</v>
      </c>
      <c r="M491" s="2">
        <v>269428.01</v>
      </c>
      <c r="N491" s="2">
        <f t="shared" si="9"/>
        <v>343020.81000003067</v>
      </c>
      <c r="O491" s="9" t="s">
        <v>4</v>
      </c>
    </row>
    <row r="492" spans="1:15" x14ac:dyDescent="0.2">
      <c r="A492">
        <v>5</v>
      </c>
      <c r="B492">
        <v>4</v>
      </c>
      <c r="C492" s="2">
        <v>3</v>
      </c>
      <c r="D492" s="2">
        <v>3</v>
      </c>
      <c r="E492" s="2">
        <v>2</v>
      </c>
      <c r="F492" s="2" t="s">
        <v>4</v>
      </c>
      <c r="G492" s="2">
        <v>514.60000000034302</v>
      </c>
      <c r="H492" s="2" t="s">
        <v>16</v>
      </c>
      <c r="I492" s="2">
        <v>86206.000000004206</v>
      </c>
      <c r="J492" s="2">
        <v>3000</v>
      </c>
      <c r="K492" s="2">
        <v>20</v>
      </c>
      <c r="L492" s="2">
        <v>0</v>
      </c>
      <c r="M492" s="2">
        <v>253348.01</v>
      </c>
      <c r="N492" s="2">
        <f t="shared" si="9"/>
        <v>340068.61000000458</v>
      </c>
      <c r="O492" s="9" t="s">
        <v>4</v>
      </c>
    </row>
    <row r="493" spans="1:15" x14ac:dyDescent="0.2">
      <c r="A493">
        <v>6</v>
      </c>
      <c r="B493">
        <v>4</v>
      </c>
      <c r="C493" s="2">
        <v>3</v>
      </c>
      <c r="D493" s="2">
        <v>3</v>
      </c>
      <c r="E493" s="2">
        <v>3</v>
      </c>
      <c r="F493" s="2" t="s">
        <v>4</v>
      </c>
      <c r="G493" s="2">
        <v>535.59999999990305</v>
      </c>
      <c r="H493" s="2" t="s">
        <v>16</v>
      </c>
      <c r="I493" s="2">
        <v>206090.000000017</v>
      </c>
      <c r="J493" s="2">
        <v>3000</v>
      </c>
      <c r="K493" s="2">
        <v>20</v>
      </c>
      <c r="L493" s="2">
        <v>0</v>
      </c>
      <c r="M493" s="2">
        <v>261387.61</v>
      </c>
      <c r="N493" s="2">
        <f t="shared" si="9"/>
        <v>468013.21000001684</v>
      </c>
      <c r="O493" s="9" t="s">
        <v>4</v>
      </c>
    </row>
    <row r="494" spans="1:15" x14ac:dyDescent="0.2">
      <c r="A494">
        <v>7</v>
      </c>
      <c r="B494">
        <v>4</v>
      </c>
      <c r="C494" s="2">
        <v>4</v>
      </c>
      <c r="D494" s="2">
        <v>2</v>
      </c>
      <c r="E494" s="2">
        <v>1</v>
      </c>
      <c r="F494" s="2" t="s">
        <v>4</v>
      </c>
      <c r="G494" s="2">
        <v>354.799999999855</v>
      </c>
      <c r="H494" s="2" t="s">
        <v>16</v>
      </c>
      <c r="I494" s="2">
        <v>56281.000000012697</v>
      </c>
      <c r="J494" s="2">
        <v>3000</v>
      </c>
      <c r="K494" s="2">
        <v>20</v>
      </c>
      <c r="L494" s="2">
        <v>0</v>
      </c>
      <c r="M494" s="2">
        <v>327507.61</v>
      </c>
      <c r="N494" s="2">
        <f t="shared" si="9"/>
        <v>384143.41000001255</v>
      </c>
      <c r="O494" s="9" t="s">
        <v>5</v>
      </c>
    </row>
    <row r="495" spans="1:15" x14ac:dyDescent="0.2">
      <c r="A495">
        <v>8</v>
      </c>
      <c r="B495">
        <v>4</v>
      </c>
      <c r="C495" s="2">
        <v>4</v>
      </c>
      <c r="D495" s="2">
        <v>2</v>
      </c>
      <c r="E495" s="2">
        <v>2</v>
      </c>
      <c r="F495" s="2" t="s">
        <v>4</v>
      </c>
      <c r="G495" s="2">
        <v>408.79999999958699</v>
      </c>
      <c r="H495" s="2" t="s">
        <v>16</v>
      </c>
      <c r="I495" s="2">
        <v>241269.00000004499</v>
      </c>
      <c r="J495" s="2">
        <v>3000</v>
      </c>
      <c r="K495" s="2">
        <v>20</v>
      </c>
      <c r="L495" s="2">
        <v>0</v>
      </c>
      <c r="M495" s="2">
        <v>307948.01</v>
      </c>
      <c r="N495" s="2">
        <f t="shared" si="9"/>
        <v>549625.81000004453</v>
      </c>
      <c r="O495" s="9" t="s">
        <v>4</v>
      </c>
    </row>
    <row r="496" spans="1:15" x14ac:dyDescent="0.2">
      <c r="A496">
        <v>9</v>
      </c>
      <c r="B496">
        <v>4</v>
      </c>
      <c r="C496" s="2">
        <v>4</v>
      </c>
      <c r="D496" s="2">
        <v>2</v>
      </c>
      <c r="E496" s="2">
        <v>3</v>
      </c>
      <c r="F496" s="2" t="s">
        <v>4</v>
      </c>
      <c r="G496" s="2">
        <v>315.400000000565</v>
      </c>
      <c r="H496" s="2" t="s">
        <v>16</v>
      </c>
      <c r="I496" s="2">
        <v>186287.99999998999</v>
      </c>
      <c r="J496" s="2">
        <v>3000</v>
      </c>
      <c r="K496" s="2">
        <v>20</v>
      </c>
      <c r="L496" s="2">
        <v>0</v>
      </c>
      <c r="M496" s="2">
        <v>359907.61</v>
      </c>
      <c r="N496" s="2">
        <f t="shared" si="9"/>
        <v>546511.00999999046</v>
      </c>
      <c r="O496" s="9" t="s">
        <v>4</v>
      </c>
    </row>
    <row r="497" spans="1:15" x14ac:dyDescent="0.2">
      <c r="A497">
        <v>10</v>
      </c>
      <c r="B497">
        <v>4</v>
      </c>
      <c r="C497" s="2">
        <v>4</v>
      </c>
      <c r="D497" s="2">
        <v>3</v>
      </c>
      <c r="E497" s="2">
        <v>1</v>
      </c>
      <c r="F497" s="2" t="s">
        <v>4</v>
      </c>
      <c r="G497" s="2">
        <v>303.20000000010299</v>
      </c>
      <c r="H497" s="2" t="s">
        <v>16</v>
      </c>
      <c r="I497" s="2">
        <v>234249.999999975</v>
      </c>
      <c r="J497" s="2">
        <v>3000</v>
      </c>
      <c r="K497" s="2">
        <v>20</v>
      </c>
      <c r="L497" s="2">
        <v>0</v>
      </c>
      <c r="M497" s="2">
        <v>333628.01</v>
      </c>
      <c r="N497" s="2">
        <f t="shared" si="9"/>
        <v>568181.20999997517</v>
      </c>
      <c r="O497" s="9" t="s">
        <v>4</v>
      </c>
    </row>
    <row r="498" spans="1:15" x14ac:dyDescent="0.2">
      <c r="A498">
        <v>11</v>
      </c>
      <c r="B498">
        <v>4</v>
      </c>
      <c r="C498" s="2">
        <v>4</v>
      </c>
      <c r="D498" s="2">
        <v>3</v>
      </c>
      <c r="E498" s="2">
        <v>2</v>
      </c>
      <c r="F498" s="2" t="s">
        <v>4</v>
      </c>
      <c r="G498" s="2">
        <v>291.60000000025798</v>
      </c>
      <c r="H498" s="2" t="s">
        <v>16</v>
      </c>
      <c r="I498" s="2">
        <v>264225.00000001001</v>
      </c>
      <c r="J498" s="2">
        <v>3000</v>
      </c>
      <c r="K498" s="2">
        <v>20</v>
      </c>
      <c r="L498" s="2">
        <v>0</v>
      </c>
      <c r="M498" s="2">
        <v>353067.61</v>
      </c>
      <c r="N498" s="2">
        <f t="shared" si="9"/>
        <v>617584.21000001021</v>
      </c>
      <c r="O498" s="9" t="s">
        <v>4</v>
      </c>
    </row>
    <row r="499" spans="1:15" x14ac:dyDescent="0.2">
      <c r="A499">
        <v>12</v>
      </c>
      <c r="B499">
        <v>4</v>
      </c>
      <c r="C499" s="2">
        <v>4</v>
      </c>
      <c r="D499" s="2">
        <v>3</v>
      </c>
      <c r="E499" s="2">
        <v>3</v>
      </c>
      <c r="F499" s="2" t="s">
        <v>4</v>
      </c>
      <c r="G499" s="2">
        <v>339.79999999971301</v>
      </c>
      <c r="H499" s="2" t="s">
        <v>16</v>
      </c>
      <c r="I499" s="2">
        <v>238984.00000001601</v>
      </c>
      <c r="J499" s="2">
        <v>3000</v>
      </c>
      <c r="K499" s="2">
        <v>20</v>
      </c>
      <c r="L499" s="2">
        <v>0</v>
      </c>
      <c r="M499" s="2">
        <v>374428.01</v>
      </c>
      <c r="N499" s="2">
        <f t="shared" si="9"/>
        <v>613751.81000001566</v>
      </c>
      <c r="O499" s="9" t="s">
        <v>4</v>
      </c>
    </row>
    <row r="500" spans="1:15" x14ac:dyDescent="0.2">
      <c r="A500">
        <v>13</v>
      </c>
      <c r="B500">
        <v>4</v>
      </c>
      <c r="C500" s="2">
        <v>4</v>
      </c>
      <c r="D500" s="2">
        <v>2</v>
      </c>
      <c r="E500" s="2">
        <v>1</v>
      </c>
      <c r="F500" s="2" t="s">
        <v>4</v>
      </c>
      <c r="G500" s="2">
        <v>225.19999999985899</v>
      </c>
      <c r="H500" s="2" t="s">
        <v>16</v>
      </c>
      <c r="I500" s="2">
        <v>107898.00000003399</v>
      </c>
      <c r="J500" s="2">
        <v>3000</v>
      </c>
      <c r="K500" s="2">
        <v>20</v>
      </c>
      <c r="L500" s="2">
        <v>0</v>
      </c>
      <c r="M500" s="2">
        <v>253468.01</v>
      </c>
      <c r="N500" s="2">
        <f t="shared" si="9"/>
        <v>361591.21000003384</v>
      </c>
      <c r="O500" s="9" t="s">
        <v>5</v>
      </c>
    </row>
    <row r="501" spans="1:15" x14ac:dyDescent="0.2">
      <c r="A501">
        <v>14</v>
      </c>
      <c r="B501">
        <v>4</v>
      </c>
      <c r="C501" s="2">
        <v>4</v>
      </c>
      <c r="D501" s="2">
        <v>2</v>
      </c>
      <c r="E501" s="2">
        <v>2</v>
      </c>
      <c r="F501" s="2" t="s">
        <v>4</v>
      </c>
      <c r="G501" s="2">
        <v>285.80000000033601</v>
      </c>
      <c r="H501" s="2" t="s">
        <v>16</v>
      </c>
      <c r="I501" s="2">
        <v>234233.999999958</v>
      </c>
      <c r="J501" s="2">
        <v>3000</v>
      </c>
      <c r="K501" s="2">
        <v>20</v>
      </c>
      <c r="L501" s="2">
        <v>0</v>
      </c>
      <c r="M501" s="2">
        <v>313228.81</v>
      </c>
      <c r="N501" s="2">
        <f t="shared" si="9"/>
        <v>547748.60999995831</v>
      </c>
      <c r="O501" s="9" t="s">
        <v>4</v>
      </c>
    </row>
    <row r="502" spans="1:15" x14ac:dyDescent="0.2">
      <c r="A502">
        <v>15</v>
      </c>
      <c r="B502">
        <v>4</v>
      </c>
      <c r="C502" s="2">
        <v>4</v>
      </c>
      <c r="D502" s="2">
        <v>2</v>
      </c>
      <c r="E502" s="2">
        <v>3</v>
      </c>
      <c r="F502" s="2" t="s">
        <v>4</v>
      </c>
      <c r="G502" s="2">
        <v>273.80000000007999</v>
      </c>
      <c r="H502" s="2" t="s">
        <v>16</v>
      </c>
      <c r="I502" s="2">
        <v>299454.00000002602</v>
      </c>
      <c r="J502" s="2">
        <v>3000</v>
      </c>
      <c r="K502" s="2">
        <v>20</v>
      </c>
      <c r="L502" s="2">
        <v>0</v>
      </c>
      <c r="M502" s="2">
        <v>354987.61</v>
      </c>
      <c r="N502" s="2">
        <f t="shared" si="9"/>
        <v>654715.41000002611</v>
      </c>
      <c r="O502" s="9" t="s">
        <v>4</v>
      </c>
    </row>
    <row r="503" spans="1:15" x14ac:dyDescent="0.2">
      <c r="A503">
        <v>16</v>
      </c>
      <c r="B503">
        <v>4</v>
      </c>
      <c r="C503" s="2">
        <v>4</v>
      </c>
      <c r="D503" s="2">
        <v>3</v>
      </c>
      <c r="E503" s="2">
        <v>1</v>
      </c>
      <c r="F503" s="2" t="s">
        <v>4</v>
      </c>
      <c r="G503" s="2">
        <v>261.80000000017901</v>
      </c>
      <c r="H503" s="2" t="s">
        <v>16</v>
      </c>
      <c r="I503" s="2">
        <v>168532.00000002701</v>
      </c>
      <c r="J503" s="2">
        <v>3000</v>
      </c>
      <c r="K503" s="2">
        <v>20</v>
      </c>
      <c r="L503" s="2">
        <v>0</v>
      </c>
      <c r="M503" s="2">
        <v>276627.61</v>
      </c>
      <c r="N503" s="2">
        <f t="shared" si="9"/>
        <v>445421.41000002716</v>
      </c>
      <c r="O503" s="9" t="s">
        <v>4</v>
      </c>
    </row>
    <row r="504" spans="1:15" x14ac:dyDescent="0.2">
      <c r="A504">
        <v>17</v>
      </c>
      <c r="B504">
        <v>4</v>
      </c>
      <c r="C504" s="2">
        <v>4</v>
      </c>
      <c r="D504" s="2">
        <v>3</v>
      </c>
      <c r="E504" s="2">
        <v>2</v>
      </c>
      <c r="F504" s="2" t="s">
        <v>4</v>
      </c>
      <c r="G504" s="2">
        <v>255.000000001004</v>
      </c>
      <c r="H504" s="2" t="s">
        <v>16</v>
      </c>
      <c r="I504" s="2">
        <v>125322.00000004</v>
      </c>
      <c r="J504" s="2">
        <v>3000</v>
      </c>
      <c r="K504" s="2">
        <v>20</v>
      </c>
      <c r="L504" s="2">
        <v>0</v>
      </c>
      <c r="M504" s="2">
        <v>275427.61</v>
      </c>
      <c r="N504" s="2">
        <f t="shared" si="9"/>
        <v>401004.61000004096</v>
      </c>
      <c r="O504" s="9" t="s">
        <v>5</v>
      </c>
    </row>
    <row r="505" spans="1:15" x14ac:dyDescent="0.2">
      <c r="A505">
        <v>18</v>
      </c>
      <c r="B505">
        <v>4</v>
      </c>
      <c r="C505" s="2">
        <v>4</v>
      </c>
      <c r="D505" s="2">
        <v>3</v>
      </c>
      <c r="E505" s="2">
        <v>3</v>
      </c>
      <c r="F505" s="2" t="s">
        <v>4</v>
      </c>
      <c r="G505" s="2">
        <v>307.79999999950297</v>
      </c>
      <c r="H505" s="2" t="s">
        <v>16</v>
      </c>
      <c r="I505" s="2">
        <v>445655.99999998498</v>
      </c>
      <c r="J505" s="2">
        <v>3000</v>
      </c>
      <c r="K505" s="2">
        <v>20</v>
      </c>
      <c r="L505" s="2">
        <v>0</v>
      </c>
      <c r="M505" s="2">
        <v>276266.81</v>
      </c>
      <c r="N505" s="2">
        <f t="shared" si="9"/>
        <v>722230.6099999845</v>
      </c>
      <c r="O505" s="9" t="s">
        <v>4</v>
      </c>
    </row>
    <row r="506" spans="1:15" x14ac:dyDescent="0.2">
      <c r="A506">
        <v>19</v>
      </c>
      <c r="B506">
        <v>4</v>
      </c>
      <c r="C506" s="2">
        <v>5</v>
      </c>
      <c r="D506" s="2">
        <v>2</v>
      </c>
      <c r="E506" s="2">
        <v>1</v>
      </c>
      <c r="F506" s="2" t="s">
        <v>4</v>
      </c>
      <c r="G506" s="2">
        <v>241.399999999459</v>
      </c>
      <c r="H506" s="2" t="s">
        <v>16</v>
      </c>
      <c r="I506" s="2">
        <v>86420.000000032407</v>
      </c>
      <c r="J506" s="2">
        <v>3000</v>
      </c>
      <c r="K506" s="2">
        <v>20</v>
      </c>
      <c r="L506" s="2">
        <v>0</v>
      </c>
      <c r="M506" s="2">
        <v>328707.61</v>
      </c>
      <c r="N506" s="2">
        <f t="shared" si="9"/>
        <v>415369.01000003185</v>
      </c>
      <c r="O506" s="9" t="s">
        <v>5</v>
      </c>
    </row>
    <row r="507" spans="1:15" x14ac:dyDescent="0.2">
      <c r="A507">
        <v>20</v>
      </c>
      <c r="B507">
        <v>4</v>
      </c>
      <c r="C507" s="2">
        <v>5</v>
      </c>
      <c r="D507" s="2">
        <v>2</v>
      </c>
      <c r="E507" s="2">
        <v>2</v>
      </c>
      <c r="F507" s="2" t="s">
        <v>4</v>
      </c>
      <c r="G507" s="2">
        <v>301.59999999952402</v>
      </c>
      <c r="H507" s="2" t="s">
        <v>16</v>
      </c>
      <c r="I507" s="2">
        <v>298383.99999999901</v>
      </c>
      <c r="J507" s="2">
        <v>3000</v>
      </c>
      <c r="K507" s="2">
        <v>20</v>
      </c>
      <c r="L507" s="2">
        <v>0</v>
      </c>
      <c r="M507" s="2">
        <v>312148.01</v>
      </c>
      <c r="N507" s="2">
        <f t="shared" si="9"/>
        <v>610833.60999999847</v>
      </c>
      <c r="O507" s="9" t="s">
        <v>4</v>
      </c>
    </row>
    <row r="508" spans="1:15" x14ac:dyDescent="0.2">
      <c r="A508">
        <v>21</v>
      </c>
      <c r="B508">
        <v>4</v>
      </c>
      <c r="C508" s="2">
        <v>5</v>
      </c>
      <c r="D508" s="2">
        <v>2</v>
      </c>
      <c r="E508" s="2">
        <v>3</v>
      </c>
      <c r="F508" s="2" t="s">
        <v>4</v>
      </c>
      <c r="G508" s="2">
        <v>295.000000000201</v>
      </c>
      <c r="H508" s="2" t="s">
        <v>16</v>
      </c>
      <c r="I508" s="2">
        <v>248884.99999997299</v>
      </c>
      <c r="J508" s="2">
        <v>3000</v>
      </c>
      <c r="K508" s="2">
        <v>20</v>
      </c>
      <c r="L508" s="2">
        <v>0</v>
      </c>
      <c r="M508" s="2">
        <v>270986.81</v>
      </c>
      <c r="N508" s="2">
        <f t="shared" si="9"/>
        <v>520166.80999997316</v>
      </c>
      <c r="O508" s="9" t="s">
        <v>4</v>
      </c>
    </row>
    <row r="509" spans="1:15" x14ac:dyDescent="0.2">
      <c r="A509">
        <v>22</v>
      </c>
      <c r="B509">
        <v>4</v>
      </c>
      <c r="C509" s="2">
        <v>5</v>
      </c>
      <c r="D509" s="2">
        <v>3</v>
      </c>
      <c r="E509" s="2">
        <v>1</v>
      </c>
      <c r="F509" s="2" t="s">
        <v>4</v>
      </c>
      <c r="G509" s="2">
        <v>284.20000000011203</v>
      </c>
      <c r="H509" s="2" t="s">
        <v>16</v>
      </c>
      <c r="I509" s="2">
        <v>193147.00000001001</v>
      </c>
      <c r="J509" s="2">
        <v>3000</v>
      </c>
      <c r="K509" s="2">
        <v>20</v>
      </c>
      <c r="L509" s="2">
        <v>0</v>
      </c>
      <c r="M509" s="2">
        <v>366148.01</v>
      </c>
      <c r="N509" s="2">
        <f t="shared" si="9"/>
        <v>559579.21000001021</v>
      </c>
      <c r="O509" s="9" t="s">
        <v>4</v>
      </c>
    </row>
    <row r="510" spans="1:15" x14ac:dyDescent="0.2">
      <c r="A510">
        <v>23</v>
      </c>
      <c r="B510">
        <v>4</v>
      </c>
      <c r="C510" s="2">
        <v>5</v>
      </c>
      <c r="D510" s="2">
        <v>3</v>
      </c>
      <c r="E510" s="2">
        <v>2</v>
      </c>
      <c r="F510" s="2" t="s">
        <v>4</v>
      </c>
      <c r="G510" s="2">
        <v>292.800000000426</v>
      </c>
      <c r="H510" s="2" t="s">
        <v>16</v>
      </c>
      <c r="I510" s="2">
        <v>373690.000000011</v>
      </c>
      <c r="J510" s="2">
        <v>3000</v>
      </c>
      <c r="K510" s="2">
        <v>20</v>
      </c>
      <c r="L510" s="2">
        <v>0</v>
      </c>
      <c r="M510" s="2">
        <v>277227.21000000002</v>
      </c>
      <c r="N510" s="2">
        <f t="shared" si="9"/>
        <v>651210.01000001142</v>
      </c>
      <c r="O510" s="9" t="s">
        <v>4</v>
      </c>
    </row>
    <row r="511" spans="1:15" x14ac:dyDescent="0.2">
      <c r="A511">
        <v>24</v>
      </c>
      <c r="B511">
        <v>4</v>
      </c>
      <c r="C511" s="2">
        <v>5</v>
      </c>
      <c r="D511" s="2">
        <v>3</v>
      </c>
      <c r="E511" s="2">
        <v>3</v>
      </c>
      <c r="F511" s="2" t="s">
        <v>4</v>
      </c>
      <c r="G511" s="2">
        <v>352.60000000043601</v>
      </c>
      <c r="H511" s="2" t="s">
        <v>16</v>
      </c>
      <c r="I511" s="2">
        <v>513671.00000004499</v>
      </c>
      <c r="J511" s="2">
        <v>3000</v>
      </c>
      <c r="K511" s="2">
        <v>20</v>
      </c>
      <c r="L511" s="2">
        <v>0</v>
      </c>
      <c r="M511" s="2">
        <v>335067.61</v>
      </c>
      <c r="N511" s="2">
        <f t="shared" si="9"/>
        <v>849091.21000004536</v>
      </c>
      <c r="O511" s="9" t="s">
        <v>4</v>
      </c>
    </row>
    <row r="512" spans="1:15" x14ac:dyDescent="0.2">
      <c r="A512">
        <v>25</v>
      </c>
      <c r="B512">
        <v>4</v>
      </c>
      <c r="C512" s="2">
        <v>6</v>
      </c>
      <c r="D512" s="2">
        <v>3</v>
      </c>
      <c r="E512" s="2">
        <v>1</v>
      </c>
      <c r="F512" s="2" t="s">
        <v>4</v>
      </c>
      <c r="G512" s="2">
        <v>315.00000000015399</v>
      </c>
      <c r="H512" s="2" t="s">
        <v>16</v>
      </c>
      <c r="I512" s="2">
        <v>392347.00000002899</v>
      </c>
      <c r="J512" s="2">
        <v>3000</v>
      </c>
      <c r="K512" s="2">
        <v>20</v>
      </c>
      <c r="L512" s="2">
        <v>0</v>
      </c>
      <c r="M512" s="2">
        <v>356068.01</v>
      </c>
      <c r="N512" s="2">
        <f t="shared" si="9"/>
        <v>748730.01000002911</v>
      </c>
      <c r="O512" s="9" t="s">
        <v>4</v>
      </c>
    </row>
    <row r="513" spans="1:15" x14ac:dyDescent="0.2">
      <c r="A513">
        <v>26</v>
      </c>
      <c r="B513">
        <v>4</v>
      </c>
      <c r="C513" s="2">
        <v>6</v>
      </c>
      <c r="D513" s="2">
        <v>3</v>
      </c>
      <c r="E513" s="2">
        <v>2</v>
      </c>
      <c r="F513" s="2" t="s">
        <v>4</v>
      </c>
      <c r="G513" s="2">
        <v>324.400000000224</v>
      </c>
      <c r="H513" s="2" t="s">
        <v>16</v>
      </c>
      <c r="I513" s="2">
        <v>725330.999999983</v>
      </c>
      <c r="J513" s="2">
        <v>3000</v>
      </c>
      <c r="K513" s="2">
        <v>20</v>
      </c>
      <c r="L513" s="2">
        <v>0</v>
      </c>
      <c r="M513" s="2">
        <v>273628.01</v>
      </c>
      <c r="N513" s="2">
        <f t="shared" si="9"/>
        <v>999283.40999998315</v>
      </c>
      <c r="O513" s="9" t="s">
        <v>4</v>
      </c>
    </row>
    <row r="514" spans="1:15" x14ac:dyDescent="0.2">
      <c r="A514">
        <v>27</v>
      </c>
      <c r="B514">
        <v>4</v>
      </c>
      <c r="C514" s="2">
        <v>6</v>
      </c>
      <c r="D514" s="2">
        <v>3</v>
      </c>
      <c r="E514" s="2">
        <v>3</v>
      </c>
      <c r="F514" s="2" t="s">
        <v>4</v>
      </c>
      <c r="G514" s="2">
        <v>408.40000000024202</v>
      </c>
      <c r="H514" s="2" t="s">
        <v>16</v>
      </c>
      <c r="I514" s="2">
        <v>531781.00000002398</v>
      </c>
      <c r="J514" s="2">
        <v>3000</v>
      </c>
      <c r="K514" s="2">
        <v>20</v>
      </c>
      <c r="L514" s="2">
        <v>0</v>
      </c>
      <c r="M514" s="2">
        <v>276027.21000000002</v>
      </c>
      <c r="N514" s="2">
        <f t="shared" si="9"/>
        <v>808216.61000002432</v>
      </c>
      <c r="O514" s="9" t="s">
        <v>4</v>
      </c>
    </row>
    <row r="515" spans="1:15" x14ac:dyDescent="0.2">
      <c r="A515">
        <v>1</v>
      </c>
      <c r="B515">
        <v>4</v>
      </c>
      <c r="C515" s="2">
        <v>3</v>
      </c>
      <c r="D515" s="2">
        <v>2</v>
      </c>
      <c r="E515" s="2">
        <v>1</v>
      </c>
      <c r="F515" s="2" t="s">
        <v>4</v>
      </c>
      <c r="G515" s="2">
        <v>686.60000000022603</v>
      </c>
      <c r="H515" s="2" t="s">
        <v>16</v>
      </c>
      <c r="I515" s="2">
        <v>41551.999999967396</v>
      </c>
      <c r="J515" s="2">
        <v>3000</v>
      </c>
      <c r="K515" s="2">
        <v>100</v>
      </c>
      <c r="L515" s="2">
        <v>0</v>
      </c>
      <c r="M515" s="2">
        <v>506307.21</v>
      </c>
      <c r="N515" s="2">
        <f t="shared" si="9"/>
        <v>548545.80999996758</v>
      </c>
      <c r="O515" s="2" t="s">
        <v>5</v>
      </c>
    </row>
    <row r="516" spans="1:15" x14ac:dyDescent="0.2">
      <c r="A516">
        <v>2</v>
      </c>
      <c r="B516">
        <v>4</v>
      </c>
      <c r="C516" s="2">
        <v>3</v>
      </c>
      <c r="D516" s="2">
        <v>2</v>
      </c>
      <c r="E516" s="2">
        <v>2</v>
      </c>
      <c r="F516" s="2" t="s">
        <v>4</v>
      </c>
      <c r="G516" s="2">
        <v>595.39999999991301</v>
      </c>
      <c r="H516" s="2" t="s">
        <v>16</v>
      </c>
      <c r="I516" s="2">
        <v>274612.00000004697</v>
      </c>
      <c r="J516" s="2">
        <v>3000</v>
      </c>
      <c r="K516" s="2">
        <v>100</v>
      </c>
      <c r="L516" s="2">
        <v>0</v>
      </c>
      <c r="M516" s="2">
        <v>509667.21</v>
      </c>
      <c r="N516" s="2">
        <f t="shared" si="9"/>
        <v>784874.6100000469</v>
      </c>
      <c r="O516" s="2" t="s">
        <v>5</v>
      </c>
    </row>
    <row r="517" spans="1:15" x14ac:dyDescent="0.2">
      <c r="A517">
        <v>3</v>
      </c>
      <c r="B517">
        <v>4</v>
      </c>
      <c r="C517" s="2">
        <v>3</v>
      </c>
      <c r="D517" s="2">
        <v>2</v>
      </c>
      <c r="E517" s="2">
        <v>3</v>
      </c>
      <c r="F517" s="2" t="s">
        <v>4</v>
      </c>
      <c r="G517" s="2">
        <v>510.39999999993302</v>
      </c>
      <c r="H517" s="2" t="s">
        <v>16</v>
      </c>
      <c r="I517" s="2">
        <v>107829.999999979</v>
      </c>
      <c r="J517" s="2">
        <v>3000</v>
      </c>
      <c r="K517" s="2">
        <v>100</v>
      </c>
      <c r="L517" s="2">
        <v>0</v>
      </c>
      <c r="M517" s="2">
        <v>546267.21</v>
      </c>
      <c r="N517" s="2">
        <f t="shared" si="9"/>
        <v>654607.60999997891</v>
      </c>
      <c r="O517" s="2" t="s">
        <v>5</v>
      </c>
    </row>
    <row r="518" spans="1:15" x14ac:dyDescent="0.2">
      <c r="A518">
        <v>4</v>
      </c>
      <c r="B518">
        <v>4</v>
      </c>
      <c r="C518" s="2">
        <v>3</v>
      </c>
      <c r="D518" s="2">
        <v>3</v>
      </c>
      <c r="E518" s="2">
        <v>1</v>
      </c>
      <c r="F518" s="2" t="s">
        <v>4</v>
      </c>
      <c r="G518" s="2">
        <v>455.79999999958397</v>
      </c>
      <c r="H518" s="2" t="s">
        <v>16</v>
      </c>
      <c r="I518" s="2">
        <v>73137.000000031097</v>
      </c>
      <c r="J518" s="2">
        <v>3000</v>
      </c>
      <c r="K518" s="2">
        <v>100</v>
      </c>
      <c r="L518" s="2">
        <v>0</v>
      </c>
      <c r="M518" s="2">
        <v>509427.61</v>
      </c>
      <c r="N518" s="2">
        <f t="shared" si="9"/>
        <v>583020.41000003065</v>
      </c>
      <c r="O518" s="2" t="s">
        <v>5</v>
      </c>
    </row>
    <row r="519" spans="1:15" x14ac:dyDescent="0.2">
      <c r="A519">
        <v>5</v>
      </c>
      <c r="B519">
        <v>4</v>
      </c>
      <c r="C519" s="2">
        <v>3</v>
      </c>
      <c r="D519" s="2">
        <v>3</v>
      </c>
      <c r="E519" s="2">
        <v>2</v>
      </c>
      <c r="F519" s="2" t="s">
        <v>4</v>
      </c>
      <c r="G519" s="2">
        <v>514.60000000034302</v>
      </c>
      <c r="H519" s="2" t="s">
        <v>16</v>
      </c>
      <c r="I519" s="2">
        <v>86206.000000004206</v>
      </c>
      <c r="J519" s="2">
        <v>3000</v>
      </c>
      <c r="K519" s="2">
        <v>100</v>
      </c>
      <c r="L519" s="2">
        <v>0</v>
      </c>
      <c r="M519" s="2">
        <v>493347.21</v>
      </c>
      <c r="N519" s="2">
        <f t="shared" si="9"/>
        <v>580067.8100000046</v>
      </c>
      <c r="O519" s="2" t="s">
        <v>5</v>
      </c>
    </row>
    <row r="520" spans="1:15" x14ac:dyDescent="0.2">
      <c r="A520">
        <v>6</v>
      </c>
      <c r="B520">
        <v>4</v>
      </c>
      <c r="C520" s="2">
        <v>3</v>
      </c>
      <c r="D520" s="2">
        <v>3</v>
      </c>
      <c r="E520" s="2">
        <v>3</v>
      </c>
      <c r="F520" s="2" t="s">
        <v>4</v>
      </c>
      <c r="G520" s="2">
        <v>535.59999999990305</v>
      </c>
      <c r="H520" s="2" t="s">
        <v>16</v>
      </c>
      <c r="I520" s="2">
        <v>206090.000000017</v>
      </c>
      <c r="J520" s="2">
        <v>3000</v>
      </c>
      <c r="K520" s="2">
        <v>100</v>
      </c>
      <c r="L520" s="2">
        <v>0</v>
      </c>
      <c r="M520" s="2">
        <v>501387.21</v>
      </c>
      <c r="N520" s="2">
        <f t="shared" si="9"/>
        <v>708012.81000001694</v>
      </c>
      <c r="O520" s="2" t="s">
        <v>4</v>
      </c>
    </row>
    <row r="521" spans="1:15" x14ac:dyDescent="0.2">
      <c r="A521">
        <v>7</v>
      </c>
      <c r="B521">
        <v>4</v>
      </c>
      <c r="C521" s="2">
        <v>4</v>
      </c>
      <c r="D521" s="2">
        <v>2</v>
      </c>
      <c r="E521" s="2">
        <v>1</v>
      </c>
      <c r="F521" s="2" t="s">
        <v>4</v>
      </c>
      <c r="G521" s="2">
        <v>354.799999999855</v>
      </c>
      <c r="H521" s="2" t="s">
        <v>16</v>
      </c>
      <c r="I521" s="2">
        <v>56281.000000012697</v>
      </c>
      <c r="J521" s="2">
        <v>3000</v>
      </c>
      <c r="K521" s="2">
        <v>100</v>
      </c>
      <c r="L521" s="2">
        <v>0</v>
      </c>
      <c r="M521" s="2">
        <v>567507.21</v>
      </c>
      <c r="N521" s="2">
        <f t="shared" ref="N521:N584" si="10">G521+M521+I521</f>
        <v>624143.01000001247</v>
      </c>
      <c r="O521" s="2" t="s">
        <v>5</v>
      </c>
    </row>
    <row r="522" spans="1:15" x14ac:dyDescent="0.2">
      <c r="A522">
        <v>8</v>
      </c>
      <c r="B522">
        <v>4</v>
      </c>
      <c r="C522" s="2">
        <v>4</v>
      </c>
      <c r="D522" s="2">
        <v>2</v>
      </c>
      <c r="E522" s="2">
        <v>2</v>
      </c>
      <c r="F522" s="2" t="s">
        <v>4</v>
      </c>
      <c r="G522" s="2">
        <v>408.79999999958699</v>
      </c>
      <c r="H522" s="2" t="s">
        <v>16</v>
      </c>
      <c r="I522" s="2">
        <v>241269.00000004499</v>
      </c>
      <c r="J522" s="2">
        <v>3000</v>
      </c>
      <c r="K522" s="2">
        <v>100</v>
      </c>
      <c r="L522" s="2">
        <v>0</v>
      </c>
      <c r="M522" s="2">
        <v>547947.61</v>
      </c>
      <c r="N522" s="2">
        <f t="shared" si="10"/>
        <v>789625.41000004462</v>
      </c>
      <c r="O522" s="2" t="s">
        <v>4</v>
      </c>
    </row>
    <row r="523" spans="1:15" x14ac:dyDescent="0.2">
      <c r="A523">
        <v>9</v>
      </c>
      <c r="B523">
        <v>4</v>
      </c>
      <c r="C523" s="2">
        <v>4</v>
      </c>
      <c r="D523" s="2">
        <v>2</v>
      </c>
      <c r="E523" s="2">
        <v>3</v>
      </c>
      <c r="F523" s="2" t="s">
        <v>4</v>
      </c>
      <c r="G523" s="2">
        <v>315.400000000565</v>
      </c>
      <c r="H523" s="2" t="s">
        <v>16</v>
      </c>
      <c r="I523" s="2">
        <v>186287.99999998999</v>
      </c>
      <c r="J523" s="2">
        <v>3000</v>
      </c>
      <c r="K523" s="2">
        <v>100</v>
      </c>
      <c r="L523" s="2">
        <v>0</v>
      </c>
      <c r="M523" s="2">
        <v>599907.21</v>
      </c>
      <c r="N523" s="2">
        <f t="shared" si="10"/>
        <v>786510.60999999056</v>
      </c>
      <c r="O523" s="2" t="s">
        <v>4</v>
      </c>
    </row>
    <row r="524" spans="1:15" x14ac:dyDescent="0.2">
      <c r="A524">
        <v>10</v>
      </c>
      <c r="B524">
        <v>4</v>
      </c>
      <c r="C524" s="2">
        <v>4</v>
      </c>
      <c r="D524" s="2">
        <v>3</v>
      </c>
      <c r="E524" s="2">
        <v>1</v>
      </c>
      <c r="F524" s="2" t="s">
        <v>4</v>
      </c>
      <c r="G524" s="2">
        <v>303.20000000010299</v>
      </c>
      <c r="H524" s="2" t="s">
        <v>16</v>
      </c>
      <c r="I524" s="2">
        <v>234249.999999975</v>
      </c>
      <c r="J524" s="2">
        <v>3000</v>
      </c>
      <c r="K524" s="2">
        <v>100</v>
      </c>
      <c r="L524" s="2">
        <v>0</v>
      </c>
      <c r="M524" s="2">
        <v>573627.61</v>
      </c>
      <c r="N524" s="2">
        <f t="shared" si="10"/>
        <v>808180.80999997503</v>
      </c>
      <c r="O524" s="2" t="s">
        <v>4</v>
      </c>
    </row>
    <row r="525" spans="1:15" x14ac:dyDescent="0.2">
      <c r="A525">
        <v>11</v>
      </c>
      <c r="B525">
        <v>4</v>
      </c>
      <c r="C525" s="2">
        <v>4</v>
      </c>
      <c r="D525" s="2">
        <v>3</v>
      </c>
      <c r="E525" s="2">
        <v>2</v>
      </c>
      <c r="F525" s="2" t="s">
        <v>4</v>
      </c>
      <c r="G525" s="2">
        <v>291.60000000025798</v>
      </c>
      <c r="H525" s="2" t="s">
        <v>16</v>
      </c>
      <c r="I525" s="2">
        <v>264225.00000001001</v>
      </c>
      <c r="J525" s="2">
        <v>3000</v>
      </c>
      <c r="K525" s="2">
        <v>100</v>
      </c>
      <c r="L525" s="2">
        <v>0</v>
      </c>
      <c r="M525" s="2">
        <v>593067.21</v>
      </c>
      <c r="N525" s="2">
        <f t="shared" si="10"/>
        <v>857583.81000001018</v>
      </c>
      <c r="O525" s="2" t="s">
        <v>4</v>
      </c>
    </row>
    <row r="526" spans="1:15" x14ac:dyDescent="0.2">
      <c r="A526">
        <v>12</v>
      </c>
      <c r="B526">
        <v>4</v>
      </c>
      <c r="C526" s="2">
        <v>4</v>
      </c>
      <c r="D526" s="2">
        <v>3</v>
      </c>
      <c r="E526" s="2">
        <v>3</v>
      </c>
      <c r="F526" s="2" t="s">
        <v>4</v>
      </c>
      <c r="G526" s="2">
        <v>339.79999999971301</v>
      </c>
      <c r="H526" s="2" t="s">
        <v>16</v>
      </c>
      <c r="I526" s="2">
        <v>238984.00000001601</v>
      </c>
      <c r="J526" s="2">
        <v>3000</v>
      </c>
      <c r="K526" s="2">
        <v>100</v>
      </c>
      <c r="L526" s="2">
        <v>0</v>
      </c>
      <c r="M526" s="2">
        <v>614427.61</v>
      </c>
      <c r="N526" s="2">
        <f t="shared" si="10"/>
        <v>853751.41000001575</v>
      </c>
      <c r="O526" s="2" t="s">
        <v>4</v>
      </c>
    </row>
    <row r="527" spans="1:15" x14ac:dyDescent="0.2">
      <c r="A527">
        <v>13</v>
      </c>
      <c r="B527">
        <v>4</v>
      </c>
      <c r="C527" s="2">
        <v>4</v>
      </c>
      <c r="D527" s="2">
        <v>2</v>
      </c>
      <c r="E527" s="2">
        <v>1</v>
      </c>
      <c r="F527" s="2" t="s">
        <v>4</v>
      </c>
      <c r="G527" s="2">
        <v>225.19999999985899</v>
      </c>
      <c r="H527" s="2" t="s">
        <v>16</v>
      </c>
      <c r="I527" s="2">
        <v>107898.00000003399</v>
      </c>
      <c r="J527" s="2">
        <v>3000</v>
      </c>
      <c r="K527" s="2">
        <v>100</v>
      </c>
      <c r="L527" s="2">
        <v>0</v>
      </c>
      <c r="M527" s="2">
        <v>493467.61</v>
      </c>
      <c r="N527" s="2">
        <f t="shared" si="10"/>
        <v>601590.81000003382</v>
      </c>
      <c r="O527" s="2" t="s">
        <v>5</v>
      </c>
    </row>
    <row r="528" spans="1:15" x14ac:dyDescent="0.2">
      <c r="A528">
        <v>14</v>
      </c>
      <c r="B528">
        <v>4</v>
      </c>
      <c r="C528" s="2">
        <v>4</v>
      </c>
      <c r="D528" s="2">
        <v>2</v>
      </c>
      <c r="E528" s="2">
        <v>2</v>
      </c>
      <c r="F528" s="2" t="s">
        <v>4</v>
      </c>
      <c r="G528" s="2">
        <v>285.80000000033601</v>
      </c>
      <c r="H528" s="2" t="s">
        <v>16</v>
      </c>
      <c r="I528" s="2">
        <v>234233.999999958</v>
      </c>
      <c r="J528" s="2">
        <v>3000</v>
      </c>
      <c r="K528" s="2">
        <v>100</v>
      </c>
      <c r="L528" s="2">
        <v>0</v>
      </c>
      <c r="M528" s="2">
        <v>553228.41</v>
      </c>
      <c r="N528" s="2">
        <f t="shared" si="10"/>
        <v>787748.20999995829</v>
      </c>
      <c r="O528" s="2" t="s">
        <v>4</v>
      </c>
    </row>
    <row r="529" spans="1:15" x14ac:dyDescent="0.2">
      <c r="A529">
        <v>15</v>
      </c>
      <c r="B529">
        <v>4</v>
      </c>
      <c r="C529" s="2">
        <v>4</v>
      </c>
      <c r="D529" s="2">
        <v>2</v>
      </c>
      <c r="E529" s="2">
        <v>3</v>
      </c>
      <c r="F529" s="2" t="s">
        <v>4</v>
      </c>
      <c r="G529" s="2">
        <v>273.80000000007999</v>
      </c>
      <c r="H529" s="2" t="s">
        <v>16</v>
      </c>
      <c r="I529" s="2">
        <v>299454.00000002602</v>
      </c>
      <c r="J529" s="2">
        <v>3000</v>
      </c>
      <c r="K529" s="2">
        <v>100</v>
      </c>
      <c r="L529" s="2">
        <v>0</v>
      </c>
      <c r="M529" s="2">
        <v>594987.21</v>
      </c>
      <c r="N529" s="2">
        <f t="shared" si="10"/>
        <v>894715.01000002609</v>
      </c>
      <c r="O529" s="2" t="s">
        <v>4</v>
      </c>
    </row>
    <row r="530" spans="1:15" x14ac:dyDescent="0.2">
      <c r="A530">
        <v>16</v>
      </c>
      <c r="B530">
        <v>4</v>
      </c>
      <c r="C530" s="2">
        <v>4</v>
      </c>
      <c r="D530" s="2">
        <v>3</v>
      </c>
      <c r="E530" s="2">
        <v>1</v>
      </c>
      <c r="F530" s="2" t="s">
        <v>4</v>
      </c>
      <c r="G530" s="2">
        <v>261.80000000017901</v>
      </c>
      <c r="H530" s="2" t="s">
        <v>16</v>
      </c>
      <c r="I530" s="2">
        <v>168532.00000002701</v>
      </c>
      <c r="J530" s="2">
        <v>3000</v>
      </c>
      <c r="K530" s="2">
        <v>100</v>
      </c>
      <c r="L530" s="2">
        <v>0</v>
      </c>
      <c r="M530" s="2">
        <v>516627.21</v>
      </c>
      <c r="N530" s="2">
        <f t="shared" si="10"/>
        <v>685421.01000002725</v>
      </c>
      <c r="O530" s="2" t="s">
        <v>4</v>
      </c>
    </row>
    <row r="531" spans="1:15" x14ac:dyDescent="0.2">
      <c r="A531">
        <v>17</v>
      </c>
      <c r="B531">
        <v>4</v>
      </c>
      <c r="C531" s="2">
        <v>4</v>
      </c>
      <c r="D531" s="2">
        <v>3</v>
      </c>
      <c r="E531" s="2">
        <v>2</v>
      </c>
      <c r="F531" s="2" t="s">
        <v>4</v>
      </c>
      <c r="G531" s="2">
        <v>255.000000001004</v>
      </c>
      <c r="H531" s="2" t="s">
        <v>16</v>
      </c>
      <c r="I531" s="2">
        <v>125322.00000004</v>
      </c>
      <c r="J531" s="2">
        <v>3000</v>
      </c>
      <c r="K531" s="2">
        <v>100</v>
      </c>
      <c r="L531" s="2">
        <v>0</v>
      </c>
      <c r="M531" s="2">
        <v>515427.21</v>
      </c>
      <c r="N531" s="2">
        <f t="shared" si="10"/>
        <v>641004.21000004106</v>
      </c>
      <c r="O531" s="2" t="s">
        <v>5</v>
      </c>
    </row>
    <row r="532" spans="1:15" x14ac:dyDescent="0.2">
      <c r="A532">
        <v>18</v>
      </c>
      <c r="B532">
        <v>4</v>
      </c>
      <c r="C532" s="2">
        <v>4</v>
      </c>
      <c r="D532" s="2">
        <v>3</v>
      </c>
      <c r="E532" s="2">
        <v>3</v>
      </c>
      <c r="F532" s="2" t="s">
        <v>4</v>
      </c>
      <c r="G532" s="2">
        <v>307.79999999950297</v>
      </c>
      <c r="H532" s="2" t="s">
        <v>16</v>
      </c>
      <c r="I532" s="2">
        <v>445655.99999998498</v>
      </c>
      <c r="J532" s="2">
        <v>3000</v>
      </c>
      <c r="K532" s="2">
        <v>100</v>
      </c>
      <c r="L532" s="2">
        <v>0</v>
      </c>
      <c r="M532" s="2">
        <v>516266.41</v>
      </c>
      <c r="N532" s="2">
        <f t="shared" si="10"/>
        <v>962230.20999998448</v>
      </c>
      <c r="O532" s="2" t="s">
        <v>4</v>
      </c>
    </row>
    <row r="533" spans="1:15" x14ac:dyDescent="0.2">
      <c r="A533">
        <v>19</v>
      </c>
      <c r="B533">
        <v>4</v>
      </c>
      <c r="C533" s="2">
        <v>5</v>
      </c>
      <c r="D533" s="2">
        <v>2</v>
      </c>
      <c r="E533" s="2">
        <v>1</v>
      </c>
      <c r="F533" s="2" t="s">
        <v>4</v>
      </c>
      <c r="G533" s="2">
        <v>241.399999999459</v>
      </c>
      <c r="H533" s="2" t="s">
        <v>16</v>
      </c>
      <c r="I533" s="2">
        <v>86420.000000032407</v>
      </c>
      <c r="J533" s="2">
        <v>3000</v>
      </c>
      <c r="K533" s="2">
        <v>100</v>
      </c>
      <c r="L533" s="2">
        <v>0</v>
      </c>
      <c r="M533" s="2">
        <v>568707.21</v>
      </c>
      <c r="N533" s="2">
        <f t="shared" si="10"/>
        <v>655368.61000003177</v>
      </c>
      <c r="O533" s="2" t="s">
        <v>5</v>
      </c>
    </row>
    <row r="534" spans="1:15" x14ac:dyDescent="0.2">
      <c r="A534">
        <v>20</v>
      </c>
      <c r="B534">
        <v>4</v>
      </c>
      <c r="C534" s="2">
        <v>5</v>
      </c>
      <c r="D534" s="2">
        <v>2</v>
      </c>
      <c r="E534" s="2">
        <v>2</v>
      </c>
      <c r="F534" s="2" t="s">
        <v>4</v>
      </c>
      <c r="G534" s="2">
        <v>301.59999999952402</v>
      </c>
      <c r="H534" s="2" t="s">
        <v>16</v>
      </c>
      <c r="I534" s="2">
        <v>298383.99999999901</v>
      </c>
      <c r="J534" s="2">
        <v>3000</v>
      </c>
      <c r="K534" s="2">
        <v>100</v>
      </c>
      <c r="L534" s="2">
        <v>0</v>
      </c>
      <c r="M534" s="2">
        <v>552147.61</v>
      </c>
      <c r="N534" s="2">
        <f t="shared" si="10"/>
        <v>850833.20999999857</v>
      </c>
      <c r="O534" s="2" t="s">
        <v>5</v>
      </c>
    </row>
    <row r="535" spans="1:15" x14ac:dyDescent="0.2">
      <c r="A535">
        <v>21</v>
      </c>
      <c r="B535">
        <v>4</v>
      </c>
      <c r="C535" s="2">
        <v>5</v>
      </c>
      <c r="D535" s="2">
        <v>2</v>
      </c>
      <c r="E535" s="2">
        <v>3</v>
      </c>
      <c r="F535" s="2" t="s">
        <v>4</v>
      </c>
      <c r="G535" s="2">
        <v>295.000000000201</v>
      </c>
      <c r="H535" s="2" t="s">
        <v>16</v>
      </c>
      <c r="I535" s="2">
        <v>248884.99999997299</v>
      </c>
      <c r="J535" s="2">
        <v>3000</v>
      </c>
      <c r="K535" s="2">
        <v>100</v>
      </c>
      <c r="L535" s="2">
        <v>0</v>
      </c>
      <c r="M535" s="2">
        <v>510986.41</v>
      </c>
      <c r="N535" s="2">
        <f t="shared" si="10"/>
        <v>760166.40999997314</v>
      </c>
      <c r="O535" s="2" t="s">
        <v>4</v>
      </c>
    </row>
    <row r="536" spans="1:15" x14ac:dyDescent="0.2">
      <c r="A536">
        <v>22</v>
      </c>
      <c r="B536">
        <v>4</v>
      </c>
      <c r="C536" s="2">
        <v>5</v>
      </c>
      <c r="D536" s="2">
        <v>3</v>
      </c>
      <c r="E536" s="2">
        <v>1</v>
      </c>
      <c r="F536" s="2" t="s">
        <v>4</v>
      </c>
      <c r="G536" s="2">
        <v>284.20000000011203</v>
      </c>
      <c r="H536" s="2" t="s">
        <v>16</v>
      </c>
      <c r="I536" s="2">
        <v>193147.00000001001</v>
      </c>
      <c r="J536" s="2">
        <v>3000</v>
      </c>
      <c r="K536" s="2">
        <v>100</v>
      </c>
      <c r="L536" s="2">
        <v>0</v>
      </c>
      <c r="M536" s="2">
        <v>606147.61</v>
      </c>
      <c r="N536" s="2">
        <f t="shared" si="10"/>
        <v>799578.81000001007</v>
      </c>
      <c r="O536" s="2" t="s">
        <v>4</v>
      </c>
    </row>
    <row r="537" spans="1:15" x14ac:dyDescent="0.2">
      <c r="A537">
        <v>23</v>
      </c>
      <c r="B537">
        <v>4</v>
      </c>
      <c r="C537" s="2">
        <v>5</v>
      </c>
      <c r="D537" s="2">
        <v>3</v>
      </c>
      <c r="E537" s="2">
        <v>2</v>
      </c>
      <c r="F537" s="2" t="s">
        <v>4</v>
      </c>
      <c r="G537" s="2">
        <v>292.800000000426</v>
      </c>
      <c r="H537" s="2" t="s">
        <v>16</v>
      </c>
      <c r="I537" s="2">
        <v>373690.000000011</v>
      </c>
      <c r="J537" s="2">
        <v>3000</v>
      </c>
      <c r="K537" s="2">
        <v>100</v>
      </c>
      <c r="L537" s="2">
        <v>0</v>
      </c>
      <c r="M537" s="2">
        <v>517226.81</v>
      </c>
      <c r="N537" s="2">
        <f t="shared" si="10"/>
        <v>891209.61000001151</v>
      </c>
      <c r="O537" s="2" t="s">
        <v>4</v>
      </c>
    </row>
    <row r="538" spans="1:15" x14ac:dyDescent="0.2">
      <c r="A538">
        <v>24</v>
      </c>
      <c r="B538">
        <v>4</v>
      </c>
      <c r="C538" s="2">
        <v>5</v>
      </c>
      <c r="D538" s="2">
        <v>3</v>
      </c>
      <c r="E538" s="2">
        <v>3</v>
      </c>
      <c r="F538" s="2" t="s">
        <v>4</v>
      </c>
      <c r="G538" s="2">
        <v>352.60000000043601</v>
      </c>
      <c r="H538" s="2" t="s">
        <v>16</v>
      </c>
      <c r="I538" s="2">
        <v>513671.00000004499</v>
      </c>
      <c r="J538" s="2">
        <v>3000</v>
      </c>
      <c r="K538" s="2">
        <v>100</v>
      </c>
      <c r="L538" s="2">
        <v>0</v>
      </c>
      <c r="M538" s="2">
        <v>575067.21</v>
      </c>
      <c r="N538" s="2">
        <f t="shared" si="10"/>
        <v>1089090.8100000455</v>
      </c>
      <c r="O538" s="2" t="s">
        <v>4</v>
      </c>
    </row>
    <row r="539" spans="1:15" x14ac:dyDescent="0.2">
      <c r="A539">
        <v>25</v>
      </c>
      <c r="B539">
        <v>4</v>
      </c>
      <c r="C539" s="2">
        <v>6</v>
      </c>
      <c r="D539" s="2">
        <v>3</v>
      </c>
      <c r="E539" s="2">
        <v>1</v>
      </c>
      <c r="F539" s="2" t="s">
        <v>4</v>
      </c>
      <c r="G539" s="2">
        <v>315.00000000015399</v>
      </c>
      <c r="H539" s="2" t="s">
        <v>16</v>
      </c>
      <c r="I539" s="2">
        <v>392347.00000002899</v>
      </c>
      <c r="J539" s="2">
        <v>3000</v>
      </c>
      <c r="K539" s="2">
        <v>100</v>
      </c>
      <c r="L539" s="2">
        <v>0</v>
      </c>
      <c r="M539" s="2">
        <v>596067.61</v>
      </c>
      <c r="N539" s="2">
        <f t="shared" si="10"/>
        <v>988729.61000002909</v>
      </c>
      <c r="O539" s="2" t="s">
        <v>4</v>
      </c>
    </row>
    <row r="540" spans="1:15" x14ac:dyDescent="0.2">
      <c r="A540">
        <v>26</v>
      </c>
      <c r="B540">
        <v>4</v>
      </c>
      <c r="C540" s="2">
        <v>6</v>
      </c>
      <c r="D540" s="2">
        <v>3</v>
      </c>
      <c r="E540" s="2">
        <v>2</v>
      </c>
      <c r="F540" s="2" t="s">
        <v>4</v>
      </c>
      <c r="G540" s="2">
        <v>324.400000000224</v>
      </c>
      <c r="H540" s="2" t="s">
        <v>16</v>
      </c>
      <c r="I540" s="2">
        <v>725330.999999983</v>
      </c>
      <c r="J540" s="2">
        <v>3000</v>
      </c>
      <c r="K540" s="2">
        <v>100</v>
      </c>
      <c r="L540" s="2">
        <v>0</v>
      </c>
      <c r="M540" s="2">
        <v>513627.61</v>
      </c>
      <c r="N540" s="2">
        <f t="shared" si="10"/>
        <v>1239283.0099999832</v>
      </c>
      <c r="O540" s="2" t="s">
        <v>4</v>
      </c>
    </row>
    <row r="541" spans="1:15" x14ac:dyDescent="0.2">
      <c r="A541">
        <v>27</v>
      </c>
      <c r="B541">
        <v>4</v>
      </c>
      <c r="C541" s="2">
        <v>6</v>
      </c>
      <c r="D541" s="2">
        <v>3</v>
      </c>
      <c r="E541" s="2">
        <v>3</v>
      </c>
      <c r="F541" s="2" t="s">
        <v>4</v>
      </c>
      <c r="G541" s="2">
        <v>408.40000000024202</v>
      </c>
      <c r="H541" s="2" t="s">
        <v>16</v>
      </c>
      <c r="I541" s="2">
        <v>531781.00000002398</v>
      </c>
      <c r="J541" s="2">
        <v>3000</v>
      </c>
      <c r="K541" s="2">
        <v>100</v>
      </c>
      <c r="L541" s="2">
        <v>0</v>
      </c>
      <c r="M541" s="2">
        <v>516026.81</v>
      </c>
      <c r="N541" s="2">
        <f t="shared" si="10"/>
        <v>1048216.2100000242</v>
      </c>
      <c r="O541" s="2" t="s">
        <v>4</v>
      </c>
    </row>
    <row r="542" spans="1:15" x14ac:dyDescent="0.2">
      <c r="A542">
        <v>1</v>
      </c>
      <c r="B542">
        <v>4</v>
      </c>
      <c r="C542" s="2">
        <v>3</v>
      </c>
      <c r="D542" s="2">
        <v>2</v>
      </c>
      <c r="E542" s="2">
        <v>1</v>
      </c>
      <c r="F542" s="2" t="s">
        <v>4</v>
      </c>
      <c r="G542" s="2">
        <v>686.60000000022603</v>
      </c>
      <c r="H542" s="2" t="s">
        <v>16</v>
      </c>
      <c r="I542" s="2">
        <v>41551.999999967396</v>
      </c>
      <c r="J542" s="2">
        <v>5000</v>
      </c>
      <c r="K542" s="2">
        <v>20</v>
      </c>
      <c r="L542" s="2">
        <v>0</v>
      </c>
      <c r="M542" s="2">
        <v>431027.61</v>
      </c>
      <c r="N542" s="2">
        <f t="shared" si="10"/>
        <v>473266.2099999676</v>
      </c>
      <c r="O542" s="9" t="s">
        <v>5</v>
      </c>
    </row>
    <row r="543" spans="1:15" x14ac:dyDescent="0.2">
      <c r="A543">
        <v>2</v>
      </c>
      <c r="B543">
        <v>4</v>
      </c>
      <c r="C543" s="2">
        <v>3</v>
      </c>
      <c r="D543" s="2">
        <v>2</v>
      </c>
      <c r="E543" s="2">
        <v>2</v>
      </c>
      <c r="F543" s="2" t="s">
        <v>4</v>
      </c>
      <c r="G543" s="2">
        <v>595.39999999991301</v>
      </c>
      <c r="H543" s="2" t="s">
        <v>16</v>
      </c>
      <c r="I543" s="2">
        <v>274612.00000004697</v>
      </c>
      <c r="J543" s="2">
        <v>5000</v>
      </c>
      <c r="K543" s="2">
        <v>20</v>
      </c>
      <c r="L543" s="2">
        <v>0</v>
      </c>
      <c r="M543" s="2">
        <v>436627.61</v>
      </c>
      <c r="N543" s="2">
        <f t="shared" si="10"/>
        <v>711835.01000004681</v>
      </c>
      <c r="O543" s="9" t="s">
        <v>5</v>
      </c>
    </row>
    <row r="544" spans="1:15" x14ac:dyDescent="0.2">
      <c r="A544">
        <v>3</v>
      </c>
      <c r="B544">
        <v>4</v>
      </c>
      <c r="C544" s="2">
        <v>3</v>
      </c>
      <c r="D544" s="2">
        <v>2</v>
      </c>
      <c r="E544" s="2">
        <v>3</v>
      </c>
      <c r="F544" s="2" t="s">
        <v>4</v>
      </c>
      <c r="G544" s="2">
        <v>510.39999999993302</v>
      </c>
      <c r="H544" s="2" t="s">
        <v>16</v>
      </c>
      <c r="I544" s="2">
        <v>107829.999999979</v>
      </c>
      <c r="J544" s="2">
        <v>5000</v>
      </c>
      <c r="K544" s="2">
        <v>20</v>
      </c>
      <c r="L544" s="2">
        <v>0</v>
      </c>
      <c r="M544" s="2">
        <v>497627.61</v>
      </c>
      <c r="N544" s="2">
        <f t="shared" si="10"/>
        <v>605968.00999997894</v>
      </c>
      <c r="O544" s="9" t="s">
        <v>5</v>
      </c>
    </row>
    <row r="545" spans="1:15" x14ac:dyDescent="0.2">
      <c r="A545">
        <v>4</v>
      </c>
      <c r="B545">
        <v>4</v>
      </c>
      <c r="C545" s="2">
        <v>3</v>
      </c>
      <c r="D545" s="2">
        <v>3</v>
      </c>
      <c r="E545" s="2">
        <v>1</v>
      </c>
      <c r="F545" s="2" t="s">
        <v>4</v>
      </c>
      <c r="G545" s="2">
        <v>455.79999999958397</v>
      </c>
      <c r="H545" s="2" t="s">
        <v>16</v>
      </c>
      <c r="I545" s="2">
        <v>73137.000000031097</v>
      </c>
      <c r="J545" s="2">
        <v>5000</v>
      </c>
      <c r="K545" s="2">
        <v>20</v>
      </c>
      <c r="L545" s="2">
        <v>0</v>
      </c>
      <c r="M545" s="2">
        <v>436228.01</v>
      </c>
      <c r="N545" s="2">
        <f t="shared" si="10"/>
        <v>509820.81000003067</v>
      </c>
      <c r="O545" s="9" t="s">
        <v>5</v>
      </c>
    </row>
    <row r="546" spans="1:15" x14ac:dyDescent="0.2">
      <c r="A546">
        <v>5</v>
      </c>
      <c r="B546">
        <v>4</v>
      </c>
      <c r="C546" s="2">
        <v>3</v>
      </c>
      <c r="D546" s="2">
        <v>3</v>
      </c>
      <c r="E546" s="2">
        <v>2</v>
      </c>
      <c r="F546" s="2" t="s">
        <v>4</v>
      </c>
      <c r="G546" s="2">
        <v>514.60000000034302</v>
      </c>
      <c r="H546" s="2" t="s">
        <v>16</v>
      </c>
      <c r="I546" s="2">
        <v>86206.000000004206</v>
      </c>
      <c r="J546" s="2">
        <v>5000</v>
      </c>
      <c r="K546" s="2">
        <v>20</v>
      </c>
      <c r="L546" s="2">
        <v>0</v>
      </c>
      <c r="M546" s="2">
        <v>409428.01</v>
      </c>
      <c r="N546" s="2">
        <f t="shared" si="10"/>
        <v>496148.61000000453</v>
      </c>
      <c r="O546" s="9" t="s">
        <v>4</v>
      </c>
    </row>
    <row r="547" spans="1:15" x14ac:dyDescent="0.2">
      <c r="A547">
        <v>6</v>
      </c>
      <c r="B547">
        <v>4</v>
      </c>
      <c r="C547" s="2">
        <v>3</v>
      </c>
      <c r="D547" s="2">
        <v>3</v>
      </c>
      <c r="E547" s="2">
        <v>3</v>
      </c>
      <c r="F547" s="2" t="s">
        <v>4</v>
      </c>
      <c r="G547" s="2">
        <v>535.59999999990305</v>
      </c>
      <c r="H547" s="2" t="s">
        <v>16</v>
      </c>
      <c r="I547" s="2">
        <v>206090.000000017</v>
      </c>
      <c r="J547" s="2">
        <v>5000</v>
      </c>
      <c r="K547" s="2">
        <v>20</v>
      </c>
      <c r="L547" s="2">
        <v>0</v>
      </c>
      <c r="M547" s="2">
        <v>422827.61</v>
      </c>
      <c r="N547" s="2">
        <f t="shared" si="10"/>
        <v>629453.21000001696</v>
      </c>
      <c r="O547" s="9" t="s">
        <v>4</v>
      </c>
    </row>
    <row r="548" spans="1:15" x14ac:dyDescent="0.2">
      <c r="A548">
        <v>7</v>
      </c>
      <c r="B548">
        <v>4</v>
      </c>
      <c r="C548" s="2">
        <v>4</v>
      </c>
      <c r="D548" s="2">
        <v>2</v>
      </c>
      <c r="E548" s="2">
        <v>1</v>
      </c>
      <c r="F548" s="2" t="s">
        <v>4</v>
      </c>
      <c r="G548" s="2">
        <v>354.799999999855</v>
      </c>
      <c r="H548" s="2" t="s">
        <v>16</v>
      </c>
      <c r="I548" s="2">
        <v>56281.000000012697</v>
      </c>
      <c r="J548" s="2">
        <v>5000</v>
      </c>
      <c r="K548" s="2">
        <v>20</v>
      </c>
      <c r="L548" s="2">
        <v>0</v>
      </c>
      <c r="M548" s="2">
        <v>533027.61</v>
      </c>
      <c r="N548" s="2">
        <f t="shared" si="10"/>
        <v>589663.41000001249</v>
      </c>
      <c r="O548" s="9" t="s">
        <v>5</v>
      </c>
    </row>
    <row r="549" spans="1:15" x14ac:dyDescent="0.2">
      <c r="A549">
        <v>8</v>
      </c>
      <c r="B549">
        <v>4</v>
      </c>
      <c r="C549" s="2">
        <v>4</v>
      </c>
      <c r="D549" s="2">
        <v>2</v>
      </c>
      <c r="E549" s="2">
        <v>2</v>
      </c>
      <c r="F549" s="2" t="s">
        <v>4</v>
      </c>
      <c r="G549" s="2">
        <v>408.79999999958699</v>
      </c>
      <c r="H549" s="2" t="s">
        <v>16</v>
      </c>
      <c r="I549" s="2">
        <v>241269.00000004499</v>
      </c>
      <c r="J549" s="2">
        <v>5000</v>
      </c>
      <c r="K549" s="2">
        <v>20</v>
      </c>
      <c r="L549" s="2">
        <v>0</v>
      </c>
      <c r="M549" s="2">
        <v>500428.01</v>
      </c>
      <c r="N549" s="2">
        <f t="shared" si="10"/>
        <v>742105.81000004453</v>
      </c>
      <c r="O549" s="9" t="s">
        <v>4</v>
      </c>
    </row>
    <row r="550" spans="1:15" x14ac:dyDescent="0.2">
      <c r="A550">
        <v>9</v>
      </c>
      <c r="B550">
        <v>4</v>
      </c>
      <c r="C550" s="2">
        <v>4</v>
      </c>
      <c r="D550" s="2">
        <v>2</v>
      </c>
      <c r="E550" s="2">
        <v>3</v>
      </c>
      <c r="F550" s="2" t="s">
        <v>4</v>
      </c>
      <c r="G550" s="2">
        <v>315.400000000565</v>
      </c>
      <c r="H550" s="2" t="s">
        <v>16</v>
      </c>
      <c r="I550" s="2">
        <v>186287.99999998999</v>
      </c>
      <c r="J550" s="2">
        <v>5000</v>
      </c>
      <c r="K550" s="2">
        <v>20</v>
      </c>
      <c r="L550" s="2">
        <v>0</v>
      </c>
      <c r="M550" s="2">
        <v>587027.61</v>
      </c>
      <c r="N550" s="2">
        <f t="shared" si="10"/>
        <v>773631.00999999058</v>
      </c>
      <c r="O550" s="9" t="s">
        <v>4</v>
      </c>
    </row>
    <row r="551" spans="1:15" x14ac:dyDescent="0.2">
      <c r="A551">
        <v>10</v>
      </c>
      <c r="B551">
        <v>4</v>
      </c>
      <c r="C551" s="2">
        <v>4</v>
      </c>
      <c r="D551" s="2">
        <v>3</v>
      </c>
      <c r="E551" s="2">
        <v>1</v>
      </c>
      <c r="F551" s="2" t="s">
        <v>4</v>
      </c>
      <c r="G551" s="2">
        <v>303.20000000010299</v>
      </c>
      <c r="H551" s="2" t="s">
        <v>16</v>
      </c>
      <c r="I551" s="2">
        <v>234249.999999975</v>
      </c>
      <c r="J551" s="2">
        <v>5000</v>
      </c>
      <c r="K551" s="2">
        <v>20</v>
      </c>
      <c r="L551" s="2">
        <v>0</v>
      </c>
      <c r="M551" s="2">
        <v>543228.01</v>
      </c>
      <c r="N551" s="2">
        <f t="shared" si="10"/>
        <v>777781.20999997505</v>
      </c>
      <c r="O551" s="9" t="s">
        <v>4</v>
      </c>
    </row>
    <row r="552" spans="1:15" x14ac:dyDescent="0.2">
      <c r="A552">
        <v>11</v>
      </c>
      <c r="B552">
        <v>4</v>
      </c>
      <c r="C552" s="2">
        <v>4</v>
      </c>
      <c r="D552" s="2">
        <v>3</v>
      </c>
      <c r="E552" s="2">
        <v>2</v>
      </c>
      <c r="F552" s="2" t="s">
        <v>4</v>
      </c>
      <c r="G552" s="2">
        <v>291.60000000025798</v>
      </c>
      <c r="H552" s="2" t="s">
        <v>16</v>
      </c>
      <c r="I552" s="2">
        <v>264225.00000001001</v>
      </c>
      <c r="J552" s="2">
        <v>5000</v>
      </c>
      <c r="K552" s="2">
        <v>20</v>
      </c>
      <c r="L552" s="2">
        <v>0</v>
      </c>
      <c r="M552" s="2">
        <v>575627.61</v>
      </c>
      <c r="N552" s="2">
        <f t="shared" si="10"/>
        <v>840144.21000001021</v>
      </c>
      <c r="O552" s="9" t="s">
        <v>4</v>
      </c>
    </row>
    <row r="553" spans="1:15" x14ac:dyDescent="0.2">
      <c r="A553">
        <v>12</v>
      </c>
      <c r="B553">
        <v>4</v>
      </c>
      <c r="C553" s="2">
        <v>4</v>
      </c>
      <c r="D553" s="2">
        <v>3</v>
      </c>
      <c r="E553" s="2">
        <v>3</v>
      </c>
      <c r="F553" s="2" t="s">
        <v>4</v>
      </c>
      <c r="G553" s="2">
        <v>339.79999999971301</v>
      </c>
      <c r="H553" s="2" t="s">
        <v>16</v>
      </c>
      <c r="I553" s="2">
        <v>238984.00000001601</v>
      </c>
      <c r="J553" s="2">
        <v>5000</v>
      </c>
      <c r="K553" s="2">
        <v>20</v>
      </c>
      <c r="L553" s="2">
        <v>0</v>
      </c>
      <c r="M553" s="2">
        <v>611228.01</v>
      </c>
      <c r="N553" s="2">
        <f t="shared" si="10"/>
        <v>850551.81000001566</v>
      </c>
      <c r="O553" s="9" t="s">
        <v>4</v>
      </c>
    </row>
    <row r="554" spans="1:15" x14ac:dyDescent="0.2">
      <c r="A554">
        <v>13</v>
      </c>
      <c r="B554">
        <v>4</v>
      </c>
      <c r="C554" s="2">
        <v>4</v>
      </c>
      <c r="D554" s="2">
        <v>2</v>
      </c>
      <c r="E554" s="2">
        <v>1</v>
      </c>
      <c r="F554" s="2" t="s">
        <v>4</v>
      </c>
      <c r="G554" s="2">
        <v>225.19999999985899</v>
      </c>
      <c r="H554" s="2" t="s">
        <v>16</v>
      </c>
      <c r="I554" s="2">
        <v>107898.00000003399</v>
      </c>
      <c r="J554" s="2">
        <v>5000</v>
      </c>
      <c r="K554" s="2">
        <v>20</v>
      </c>
      <c r="L554" s="2">
        <v>0</v>
      </c>
      <c r="M554" s="2">
        <v>409628.01</v>
      </c>
      <c r="N554" s="2">
        <f t="shared" si="10"/>
        <v>517751.21000003384</v>
      </c>
      <c r="O554" s="9" t="s">
        <v>5</v>
      </c>
    </row>
    <row r="555" spans="1:15" x14ac:dyDescent="0.2">
      <c r="A555">
        <v>14</v>
      </c>
      <c r="B555">
        <v>4</v>
      </c>
      <c r="C555" s="2">
        <v>4</v>
      </c>
      <c r="D555" s="2">
        <v>2</v>
      </c>
      <c r="E555" s="2">
        <v>2</v>
      </c>
      <c r="F555" s="2" t="s">
        <v>4</v>
      </c>
      <c r="G555" s="2">
        <v>285.80000000033601</v>
      </c>
      <c r="H555" s="2" t="s">
        <v>16</v>
      </c>
      <c r="I555" s="2">
        <v>234233.999999958</v>
      </c>
      <c r="J555" s="2">
        <v>5000</v>
      </c>
      <c r="K555" s="2">
        <v>20</v>
      </c>
      <c r="L555" s="2">
        <v>0</v>
      </c>
      <c r="M555" s="2">
        <v>509228.81</v>
      </c>
      <c r="N555" s="2">
        <f t="shared" si="10"/>
        <v>743748.60999995831</v>
      </c>
      <c r="O555" s="9" t="s">
        <v>4</v>
      </c>
    </row>
    <row r="556" spans="1:15" x14ac:dyDescent="0.2">
      <c r="A556">
        <v>15</v>
      </c>
      <c r="B556">
        <v>4</v>
      </c>
      <c r="C556" s="2">
        <v>4</v>
      </c>
      <c r="D556" s="2">
        <v>2</v>
      </c>
      <c r="E556" s="2">
        <v>3</v>
      </c>
      <c r="F556" s="2" t="s">
        <v>4</v>
      </c>
      <c r="G556" s="2">
        <v>273.80000000007999</v>
      </c>
      <c r="H556" s="2" t="s">
        <v>16</v>
      </c>
      <c r="I556" s="2">
        <v>299454.00000002602</v>
      </c>
      <c r="J556" s="2">
        <v>5000</v>
      </c>
      <c r="K556" s="2">
        <v>20</v>
      </c>
      <c r="L556" s="2">
        <v>0</v>
      </c>
      <c r="M556" s="2">
        <v>578827.61</v>
      </c>
      <c r="N556" s="2">
        <f t="shared" si="10"/>
        <v>878555.41000002599</v>
      </c>
      <c r="O556" s="9" t="s">
        <v>4</v>
      </c>
    </row>
    <row r="557" spans="1:15" x14ac:dyDescent="0.2">
      <c r="A557">
        <v>16</v>
      </c>
      <c r="B557">
        <v>4</v>
      </c>
      <c r="C557" s="2">
        <v>4</v>
      </c>
      <c r="D557" s="2">
        <v>3</v>
      </c>
      <c r="E557" s="2">
        <v>1</v>
      </c>
      <c r="F557" s="2" t="s">
        <v>4</v>
      </c>
      <c r="G557" s="2">
        <v>261.80000000017901</v>
      </c>
      <c r="H557" s="2" t="s">
        <v>16</v>
      </c>
      <c r="I557" s="2">
        <v>168532.00000002701</v>
      </c>
      <c r="J557" s="2">
        <v>5000</v>
      </c>
      <c r="K557" s="2">
        <v>20</v>
      </c>
      <c r="L557" s="2">
        <v>0</v>
      </c>
      <c r="M557" s="2">
        <v>448227.61</v>
      </c>
      <c r="N557" s="2">
        <f t="shared" si="10"/>
        <v>617021.41000002716</v>
      </c>
      <c r="O557" s="9" t="s">
        <v>4</v>
      </c>
    </row>
    <row r="558" spans="1:15" x14ac:dyDescent="0.2">
      <c r="A558">
        <v>17</v>
      </c>
      <c r="B558">
        <v>4</v>
      </c>
      <c r="C558" s="2">
        <v>4</v>
      </c>
      <c r="D558" s="2">
        <v>3</v>
      </c>
      <c r="E558" s="2">
        <v>2</v>
      </c>
      <c r="F558" s="2" t="s">
        <v>4</v>
      </c>
      <c r="G558" s="2">
        <v>255.000000001004</v>
      </c>
      <c r="H558" s="2" t="s">
        <v>16</v>
      </c>
      <c r="I558" s="2">
        <v>125322.00000004</v>
      </c>
      <c r="J558" s="2">
        <v>5000</v>
      </c>
      <c r="K558" s="2">
        <v>20</v>
      </c>
      <c r="L558" s="2">
        <v>0</v>
      </c>
      <c r="M558" s="2">
        <v>446227.61</v>
      </c>
      <c r="N558" s="2">
        <f t="shared" si="10"/>
        <v>571804.61000004096</v>
      </c>
      <c r="O558" s="9" t="s">
        <v>5</v>
      </c>
    </row>
    <row r="559" spans="1:15" x14ac:dyDescent="0.2">
      <c r="A559">
        <v>18</v>
      </c>
      <c r="B559">
        <v>4</v>
      </c>
      <c r="C559" s="2">
        <v>4</v>
      </c>
      <c r="D559" s="2">
        <v>3</v>
      </c>
      <c r="E559" s="2">
        <v>3</v>
      </c>
      <c r="F559" s="2" t="s">
        <v>4</v>
      </c>
      <c r="G559" s="2">
        <v>307.79999999950297</v>
      </c>
      <c r="H559" s="2" t="s">
        <v>16</v>
      </c>
      <c r="I559" s="2">
        <v>445655.99999998498</v>
      </c>
      <c r="J559" s="2">
        <v>5000</v>
      </c>
      <c r="K559" s="2">
        <v>20</v>
      </c>
      <c r="L559" s="2">
        <v>0</v>
      </c>
      <c r="M559" s="2">
        <v>447626.81</v>
      </c>
      <c r="N559" s="2">
        <f t="shared" si="10"/>
        <v>893590.6099999845</v>
      </c>
      <c r="O559" s="9" t="s">
        <v>4</v>
      </c>
    </row>
    <row r="560" spans="1:15" x14ac:dyDescent="0.2">
      <c r="A560">
        <v>19</v>
      </c>
      <c r="B560">
        <v>4</v>
      </c>
      <c r="C560" s="2">
        <v>5</v>
      </c>
      <c r="D560" s="2">
        <v>2</v>
      </c>
      <c r="E560" s="2">
        <v>1</v>
      </c>
      <c r="F560" s="2" t="s">
        <v>4</v>
      </c>
      <c r="G560" s="2">
        <v>241.399999999459</v>
      </c>
      <c r="H560" s="2" t="s">
        <v>16</v>
      </c>
      <c r="I560" s="2">
        <v>86420.000000032407</v>
      </c>
      <c r="J560" s="2">
        <v>5000</v>
      </c>
      <c r="K560" s="2">
        <v>20</v>
      </c>
      <c r="L560" s="2">
        <v>0</v>
      </c>
      <c r="M560" s="2">
        <v>535027.61</v>
      </c>
      <c r="N560" s="2">
        <f t="shared" si="10"/>
        <v>621689.01000003179</v>
      </c>
      <c r="O560" s="9" t="s">
        <v>5</v>
      </c>
    </row>
    <row r="561" spans="1:15" x14ac:dyDescent="0.2">
      <c r="A561">
        <v>20</v>
      </c>
      <c r="B561">
        <v>4</v>
      </c>
      <c r="C561" s="2">
        <v>5</v>
      </c>
      <c r="D561" s="2">
        <v>2</v>
      </c>
      <c r="E561" s="2">
        <v>2</v>
      </c>
      <c r="F561" s="2" t="s">
        <v>4</v>
      </c>
      <c r="G561" s="2">
        <v>301.59999999952402</v>
      </c>
      <c r="H561" s="2" t="s">
        <v>16</v>
      </c>
      <c r="I561" s="2">
        <v>298383.99999999901</v>
      </c>
      <c r="J561" s="2">
        <v>5000</v>
      </c>
      <c r="K561" s="2">
        <v>20</v>
      </c>
      <c r="L561" s="2">
        <v>0</v>
      </c>
      <c r="M561" s="2">
        <v>507428.01</v>
      </c>
      <c r="N561" s="2">
        <f t="shared" si="10"/>
        <v>806113.60999999847</v>
      </c>
      <c r="O561" s="9" t="s">
        <v>4</v>
      </c>
    </row>
    <row r="562" spans="1:15" x14ac:dyDescent="0.2">
      <c r="A562">
        <v>21</v>
      </c>
      <c r="B562">
        <v>4</v>
      </c>
      <c r="C562" s="2">
        <v>5</v>
      </c>
      <c r="D562" s="2">
        <v>2</v>
      </c>
      <c r="E562" s="2">
        <v>3</v>
      </c>
      <c r="F562" s="2" t="s">
        <v>4</v>
      </c>
      <c r="G562" s="2">
        <v>295.000000000201</v>
      </c>
      <c r="H562" s="2" t="s">
        <v>16</v>
      </c>
      <c r="I562" s="2">
        <v>248884.99999997299</v>
      </c>
      <c r="J562" s="2">
        <v>5000</v>
      </c>
      <c r="K562" s="2">
        <v>20</v>
      </c>
      <c r="L562" s="2">
        <v>0</v>
      </c>
      <c r="M562" s="2">
        <v>438826.81</v>
      </c>
      <c r="N562" s="2">
        <f t="shared" si="10"/>
        <v>688006.80999997316</v>
      </c>
      <c r="O562" s="9" t="s">
        <v>4</v>
      </c>
    </row>
    <row r="563" spans="1:15" x14ac:dyDescent="0.2">
      <c r="A563">
        <v>22</v>
      </c>
      <c r="B563">
        <v>4</v>
      </c>
      <c r="C563" s="2">
        <v>5</v>
      </c>
      <c r="D563" s="2">
        <v>3</v>
      </c>
      <c r="E563" s="2">
        <v>1</v>
      </c>
      <c r="F563" s="2" t="s">
        <v>4</v>
      </c>
      <c r="G563" s="2">
        <v>284.20000000011203</v>
      </c>
      <c r="H563" s="2" t="s">
        <v>16</v>
      </c>
      <c r="I563" s="2">
        <v>193147.00000001001</v>
      </c>
      <c r="J563" s="2">
        <v>5000</v>
      </c>
      <c r="K563" s="2">
        <v>20</v>
      </c>
      <c r="L563" s="2">
        <v>0</v>
      </c>
      <c r="M563" s="2">
        <v>597428.01</v>
      </c>
      <c r="N563" s="2">
        <f t="shared" si="10"/>
        <v>790859.21000001009</v>
      </c>
      <c r="O563" s="9" t="s">
        <v>4</v>
      </c>
    </row>
    <row r="564" spans="1:15" x14ac:dyDescent="0.2">
      <c r="A564">
        <v>23</v>
      </c>
      <c r="B564">
        <v>4</v>
      </c>
      <c r="C564" s="2">
        <v>5</v>
      </c>
      <c r="D564" s="2">
        <v>3</v>
      </c>
      <c r="E564" s="2">
        <v>2</v>
      </c>
      <c r="F564" s="2" t="s">
        <v>4</v>
      </c>
      <c r="G564" s="2">
        <v>292.800000000426</v>
      </c>
      <c r="H564" s="2" t="s">
        <v>16</v>
      </c>
      <c r="I564" s="2">
        <v>373690.000000011</v>
      </c>
      <c r="J564" s="2">
        <v>5000</v>
      </c>
      <c r="K564" s="2">
        <v>20</v>
      </c>
      <c r="L564" s="2">
        <v>0</v>
      </c>
      <c r="M564" s="2">
        <v>449227.21</v>
      </c>
      <c r="N564" s="2">
        <f t="shared" si="10"/>
        <v>823210.01000001142</v>
      </c>
      <c r="O564" s="9" t="s">
        <v>4</v>
      </c>
    </row>
    <row r="565" spans="1:15" x14ac:dyDescent="0.2">
      <c r="A565">
        <v>24</v>
      </c>
      <c r="B565">
        <v>4</v>
      </c>
      <c r="C565" s="2">
        <v>5</v>
      </c>
      <c r="D565" s="2">
        <v>3</v>
      </c>
      <c r="E565" s="2">
        <v>3</v>
      </c>
      <c r="F565" s="2" t="s">
        <v>4</v>
      </c>
      <c r="G565" s="2">
        <v>352.60000000043601</v>
      </c>
      <c r="H565" s="2" t="s">
        <v>16</v>
      </c>
      <c r="I565" s="2">
        <v>513671.00000004499</v>
      </c>
      <c r="J565" s="2">
        <v>5000</v>
      </c>
      <c r="K565" s="2">
        <v>20</v>
      </c>
      <c r="L565" s="2">
        <v>0</v>
      </c>
      <c r="M565" s="2">
        <v>545627.61</v>
      </c>
      <c r="N565" s="2">
        <f t="shared" si="10"/>
        <v>1059651.2100000454</v>
      </c>
      <c r="O565" s="9" t="s">
        <v>4</v>
      </c>
    </row>
    <row r="566" spans="1:15" x14ac:dyDescent="0.2">
      <c r="A566">
        <v>25</v>
      </c>
      <c r="B566">
        <v>4</v>
      </c>
      <c r="C566" s="2">
        <v>6</v>
      </c>
      <c r="D566" s="2">
        <v>3</v>
      </c>
      <c r="E566" s="2">
        <v>1</v>
      </c>
      <c r="F566" s="2" t="s">
        <v>4</v>
      </c>
      <c r="G566" s="2">
        <v>315.00000000015399</v>
      </c>
      <c r="H566" s="2" t="s">
        <v>16</v>
      </c>
      <c r="I566" s="2">
        <v>392347.00000002899</v>
      </c>
      <c r="J566" s="2">
        <v>5000</v>
      </c>
      <c r="K566" s="2">
        <v>20</v>
      </c>
      <c r="L566" s="2">
        <v>0</v>
      </c>
      <c r="M566" s="2">
        <v>580628.01</v>
      </c>
      <c r="N566" s="2">
        <f t="shared" si="10"/>
        <v>973290.01000002911</v>
      </c>
      <c r="O566" s="9" t="s">
        <v>4</v>
      </c>
    </row>
    <row r="567" spans="1:15" x14ac:dyDescent="0.2">
      <c r="A567">
        <v>26</v>
      </c>
      <c r="B567">
        <v>4</v>
      </c>
      <c r="C567" s="2">
        <v>6</v>
      </c>
      <c r="D567" s="2">
        <v>3</v>
      </c>
      <c r="E567" s="2">
        <v>2</v>
      </c>
      <c r="F567" s="2" t="s">
        <v>4</v>
      </c>
      <c r="G567" s="2">
        <v>324.400000000224</v>
      </c>
      <c r="H567" s="2" t="s">
        <v>16</v>
      </c>
      <c r="I567" s="2">
        <v>725330.999999983</v>
      </c>
      <c r="J567" s="2">
        <v>5000</v>
      </c>
      <c r="K567" s="2">
        <v>20</v>
      </c>
      <c r="L567" s="2">
        <v>0</v>
      </c>
      <c r="M567" s="2">
        <v>443228.01</v>
      </c>
      <c r="N567" s="2">
        <f t="shared" si="10"/>
        <v>1168883.4099999832</v>
      </c>
      <c r="O567" s="9" t="s">
        <v>4</v>
      </c>
    </row>
    <row r="568" spans="1:15" x14ac:dyDescent="0.2">
      <c r="A568">
        <v>27</v>
      </c>
      <c r="B568">
        <v>4</v>
      </c>
      <c r="C568" s="2">
        <v>6</v>
      </c>
      <c r="D568" s="2">
        <v>3</v>
      </c>
      <c r="E568" s="2">
        <v>3</v>
      </c>
      <c r="F568" s="2" t="s">
        <v>4</v>
      </c>
      <c r="G568" s="2">
        <v>408.40000000024202</v>
      </c>
      <c r="H568" s="2" t="s">
        <v>16</v>
      </c>
      <c r="I568" s="2">
        <v>531781.00000002398</v>
      </c>
      <c r="J568" s="2">
        <v>5000</v>
      </c>
      <c r="K568" s="2">
        <v>20</v>
      </c>
      <c r="L568" s="2">
        <v>0</v>
      </c>
      <c r="M568" s="2">
        <v>447227.21</v>
      </c>
      <c r="N568" s="2">
        <f t="shared" si="10"/>
        <v>979416.61000002432</v>
      </c>
      <c r="O568" s="9" t="s">
        <v>4</v>
      </c>
    </row>
    <row r="569" spans="1:15" x14ac:dyDescent="0.2">
      <c r="A569">
        <v>1</v>
      </c>
      <c r="B569">
        <v>4</v>
      </c>
      <c r="C569" s="2">
        <v>3</v>
      </c>
      <c r="D569" s="2">
        <v>2</v>
      </c>
      <c r="E569" s="2">
        <v>1</v>
      </c>
      <c r="F569" s="2" t="s">
        <v>4</v>
      </c>
      <c r="G569" s="2">
        <v>686.60000000022603</v>
      </c>
      <c r="H569" s="2" t="s">
        <v>16</v>
      </c>
      <c r="I569" s="2">
        <v>41551.999999967396</v>
      </c>
      <c r="J569" s="2">
        <v>4000</v>
      </c>
      <c r="K569" s="2">
        <v>60</v>
      </c>
      <c r="L569" s="2">
        <v>0</v>
      </c>
      <c r="M569" s="2">
        <v>508667.61</v>
      </c>
      <c r="N569" s="2">
        <f t="shared" si="10"/>
        <v>550906.2099999676</v>
      </c>
      <c r="O569" s="9" t="s">
        <v>5</v>
      </c>
    </row>
    <row r="570" spans="1:15" x14ac:dyDescent="0.2">
      <c r="A570">
        <v>2</v>
      </c>
      <c r="B570">
        <v>4</v>
      </c>
      <c r="C570" s="2">
        <v>3</v>
      </c>
      <c r="D570" s="2">
        <v>2</v>
      </c>
      <c r="E570" s="2">
        <v>2</v>
      </c>
      <c r="F570" s="2" t="s">
        <v>4</v>
      </c>
      <c r="G570" s="2">
        <v>595.39999999991301</v>
      </c>
      <c r="H570" s="2" t="s">
        <v>16</v>
      </c>
      <c r="I570" s="2">
        <v>274612.00000004697</v>
      </c>
      <c r="J570" s="2">
        <v>4000</v>
      </c>
      <c r="K570" s="2">
        <v>60</v>
      </c>
      <c r="L570" s="2">
        <v>0</v>
      </c>
      <c r="M570" s="2">
        <v>513147.61</v>
      </c>
      <c r="N570" s="2">
        <f t="shared" si="10"/>
        <v>788355.01000004681</v>
      </c>
      <c r="O570" s="9" t="s">
        <v>5</v>
      </c>
    </row>
    <row r="571" spans="1:15" x14ac:dyDescent="0.2">
      <c r="A571">
        <v>3</v>
      </c>
      <c r="B571">
        <v>4</v>
      </c>
      <c r="C571" s="2">
        <v>3</v>
      </c>
      <c r="D571" s="2">
        <v>2</v>
      </c>
      <c r="E571" s="2">
        <v>3</v>
      </c>
      <c r="F571" s="2" t="s">
        <v>4</v>
      </c>
      <c r="G571" s="2">
        <v>510.39999999993302</v>
      </c>
      <c r="H571" s="2" t="s">
        <v>16</v>
      </c>
      <c r="I571" s="2">
        <v>107829.999999979</v>
      </c>
      <c r="J571" s="2">
        <v>4000</v>
      </c>
      <c r="K571" s="2">
        <v>60</v>
      </c>
      <c r="L571" s="2">
        <v>0</v>
      </c>
      <c r="M571" s="2">
        <v>561947.61</v>
      </c>
      <c r="N571" s="2">
        <f t="shared" si="10"/>
        <v>670288.00999997894</v>
      </c>
      <c r="O571" s="9" t="s">
        <v>5</v>
      </c>
    </row>
    <row r="572" spans="1:15" x14ac:dyDescent="0.2">
      <c r="A572">
        <v>4</v>
      </c>
      <c r="B572">
        <v>4</v>
      </c>
      <c r="C572" s="2">
        <v>3</v>
      </c>
      <c r="D572" s="2">
        <v>3</v>
      </c>
      <c r="E572" s="2">
        <v>1</v>
      </c>
      <c r="F572" s="2" t="s">
        <v>4</v>
      </c>
      <c r="G572" s="2">
        <v>455.79999999958397</v>
      </c>
      <c r="H572" s="2" t="s">
        <v>16</v>
      </c>
      <c r="I572" s="2">
        <v>73137.000000031097</v>
      </c>
      <c r="J572" s="2">
        <v>4000</v>
      </c>
      <c r="K572" s="2">
        <v>60</v>
      </c>
      <c r="L572" s="2">
        <v>0</v>
      </c>
      <c r="M572" s="2">
        <v>512828.01</v>
      </c>
      <c r="N572" s="2">
        <f t="shared" si="10"/>
        <v>586420.81000003067</v>
      </c>
      <c r="O572" s="9" t="s">
        <v>5</v>
      </c>
    </row>
    <row r="573" spans="1:15" x14ac:dyDescent="0.2">
      <c r="A573">
        <v>5</v>
      </c>
      <c r="B573">
        <v>4</v>
      </c>
      <c r="C573" s="2">
        <v>3</v>
      </c>
      <c r="D573" s="2">
        <v>3</v>
      </c>
      <c r="E573" s="2">
        <v>2</v>
      </c>
      <c r="F573" s="2" t="s">
        <v>4</v>
      </c>
      <c r="G573" s="2">
        <v>514.60000000034302</v>
      </c>
      <c r="H573" s="2" t="s">
        <v>16</v>
      </c>
      <c r="I573" s="2">
        <v>86206.000000004206</v>
      </c>
      <c r="J573" s="2">
        <v>4000</v>
      </c>
      <c r="K573" s="2">
        <v>60</v>
      </c>
      <c r="L573" s="2">
        <v>0</v>
      </c>
      <c r="M573" s="2">
        <v>491388.01</v>
      </c>
      <c r="N573" s="2">
        <f t="shared" si="10"/>
        <v>578108.61000000453</v>
      </c>
      <c r="O573" s="9" t="s">
        <v>5</v>
      </c>
    </row>
    <row r="574" spans="1:15" x14ac:dyDescent="0.2">
      <c r="A574">
        <v>6</v>
      </c>
      <c r="B574">
        <v>4</v>
      </c>
      <c r="C574" s="2">
        <v>3</v>
      </c>
      <c r="D574" s="2">
        <v>3</v>
      </c>
      <c r="E574" s="2">
        <v>3</v>
      </c>
      <c r="F574" s="2" t="s">
        <v>4</v>
      </c>
      <c r="G574" s="2">
        <v>535.59999999990305</v>
      </c>
      <c r="H574" s="2" t="s">
        <v>16</v>
      </c>
      <c r="I574" s="2">
        <v>206090.000000017</v>
      </c>
      <c r="J574" s="2">
        <v>4000</v>
      </c>
      <c r="K574" s="2">
        <v>60</v>
      </c>
      <c r="L574" s="2">
        <v>0</v>
      </c>
      <c r="M574" s="2">
        <v>502107.61</v>
      </c>
      <c r="N574" s="2">
        <f t="shared" si="10"/>
        <v>708733.21000001696</v>
      </c>
      <c r="O574" s="9" t="s">
        <v>4</v>
      </c>
    </row>
    <row r="575" spans="1:15" x14ac:dyDescent="0.2">
      <c r="A575">
        <v>7</v>
      </c>
      <c r="B575">
        <v>4</v>
      </c>
      <c r="C575" s="2">
        <v>4</v>
      </c>
      <c r="D575" s="2">
        <v>2</v>
      </c>
      <c r="E575" s="2">
        <v>1</v>
      </c>
      <c r="F575" s="2" t="s">
        <v>4</v>
      </c>
      <c r="G575" s="2">
        <v>354.799999999855</v>
      </c>
      <c r="H575" s="2" t="s">
        <v>16</v>
      </c>
      <c r="I575" s="2">
        <v>56281.000000012697</v>
      </c>
      <c r="J575" s="2">
        <v>4000</v>
      </c>
      <c r="K575" s="2">
        <v>60</v>
      </c>
      <c r="L575" s="2">
        <v>0</v>
      </c>
      <c r="M575" s="2">
        <v>590267.61</v>
      </c>
      <c r="N575" s="2">
        <f t="shared" si="10"/>
        <v>646903.41000001249</v>
      </c>
      <c r="O575" s="9" t="s">
        <v>5</v>
      </c>
    </row>
    <row r="576" spans="1:15" x14ac:dyDescent="0.2">
      <c r="A576">
        <v>8</v>
      </c>
      <c r="B576">
        <v>4</v>
      </c>
      <c r="C576" s="2">
        <v>4</v>
      </c>
      <c r="D576" s="2">
        <v>2</v>
      </c>
      <c r="E576" s="2">
        <v>2</v>
      </c>
      <c r="F576" s="2" t="s">
        <v>4</v>
      </c>
      <c r="G576" s="2">
        <v>408.79999999958699</v>
      </c>
      <c r="H576" s="2" t="s">
        <v>16</v>
      </c>
      <c r="I576" s="2">
        <v>241269.00000004499</v>
      </c>
      <c r="J576" s="2">
        <v>4000</v>
      </c>
      <c r="K576" s="2">
        <v>60</v>
      </c>
      <c r="L576" s="2">
        <v>0</v>
      </c>
      <c r="M576" s="2">
        <v>564188.01</v>
      </c>
      <c r="N576" s="2">
        <f t="shared" si="10"/>
        <v>805865.81000004453</v>
      </c>
      <c r="O576" s="9" t="s">
        <v>4</v>
      </c>
    </row>
    <row r="577" spans="1:15" x14ac:dyDescent="0.2">
      <c r="A577">
        <v>9</v>
      </c>
      <c r="B577">
        <v>4</v>
      </c>
      <c r="C577" s="2">
        <v>4</v>
      </c>
      <c r="D577" s="2">
        <v>2</v>
      </c>
      <c r="E577" s="2">
        <v>3</v>
      </c>
      <c r="F577" s="2" t="s">
        <v>4</v>
      </c>
      <c r="G577" s="2">
        <v>315.400000000565</v>
      </c>
      <c r="H577" s="2" t="s">
        <v>16</v>
      </c>
      <c r="I577" s="2">
        <v>186287.99999998999</v>
      </c>
      <c r="J577" s="2">
        <v>4000</v>
      </c>
      <c r="K577" s="2">
        <v>60</v>
      </c>
      <c r="L577" s="2">
        <v>0</v>
      </c>
      <c r="M577" s="2">
        <v>633467.61</v>
      </c>
      <c r="N577" s="2">
        <f t="shared" si="10"/>
        <v>820071.00999999058</v>
      </c>
      <c r="O577" s="9" t="s">
        <v>4</v>
      </c>
    </row>
    <row r="578" spans="1:15" x14ac:dyDescent="0.2">
      <c r="A578">
        <v>10</v>
      </c>
      <c r="B578">
        <v>4</v>
      </c>
      <c r="C578" s="2">
        <v>4</v>
      </c>
      <c r="D578" s="2">
        <v>3</v>
      </c>
      <c r="E578" s="2">
        <v>1</v>
      </c>
      <c r="F578" s="2" t="s">
        <v>4</v>
      </c>
      <c r="G578" s="2">
        <v>303.20000000010299</v>
      </c>
      <c r="H578" s="2" t="s">
        <v>16</v>
      </c>
      <c r="I578" s="2">
        <v>234249.999999975</v>
      </c>
      <c r="J578" s="2">
        <v>4000</v>
      </c>
      <c r="K578" s="2">
        <v>60</v>
      </c>
      <c r="L578" s="2">
        <v>0</v>
      </c>
      <c r="M578" s="2">
        <v>598428.01</v>
      </c>
      <c r="N578" s="2">
        <f t="shared" si="10"/>
        <v>832981.20999997505</v>
      </c>
      <c r="O578" s="9" t="s">
        <v>4</v>
      </c>
    </row>
    <row r="579" spans="1:15" x14ac:dyDescent="0.2">
      <c r="A579">
        <v>11</v>
      </c>
      <c r="B579">
        <v>4</v>
      </c>
      <c r="C579" s="2">
        <v>4</v>
      </c>
      <c r="D579" s="2">
        <v>3</v>
      </c>
      <c r="E579" s="2">
        <v>2</v>
      </c>
      <c r="F579" s="2" t="s">
        <v>4</v>
      </c>
      <c r="G579" s="2">
        <v>291.60000000025798</v>
      </c>
      <c r="H579" s="2" t="s">
        <v>16</v>
      </c>
      <c r="I579" s="2">
        <v>264225.00000001001</v>
      </c>
      <c r="J579" s="2">
        <v>4000</v>
      </c>
      <c r="K579" s="2">
        <v>60</v>
      </c>
      <c r="L579" s="2">
        <v>0</v>
      </c>
      <c r="M579" s="2">
        <v>624347.61</v>
      </c>
      <c r="N579" s="2">
        <f t="shared" si="10"/>
        <v>888864.21000001021</v>
      </c>
      <c r="O579" s="9" t="s">
        <v>4</v>
      </c>
    </row>
    <row r="580" spans="1:15" x14ac:dyDescent="0.2">
      <c r="A580">
        <v>12</v>
      </c>
      <c r="B580">
        <v>4</v>
      </c>
      <c r="C580" s="2">
        <v>4</v>
      </c>
      <c r="D580" s="2">
        <v>3</v>
      </c>
      <c r="E580" s="2">
        <v>3</v>
      </c>
      <c r="F580" s="2" t="s">
        <v>4</v>
      </c>
      <c r="G580" s="2">
        <v>339.79999999971301</v>
      </c>
      <c r="H580" s="2" t="s">
        <v>16</v>
      </c>
      <c r="I580" s="2">
        <v>238984.00000001601</v>
      </c>
      <c r="J580" s="2">
        <v>4000</v>
      </c>
      <c r="K580" s="2">
        <v>60</v>
      </c>
      <c r="L580" s="2">
        <v>0</v>
      </c>
      <c r="M580" s="2">
        <v>652828.01</v>
      </c>
      <c r="N580" s="2">
        <f t="shared" si="10"/>
        <v>892151.81000001566</v>
      </c>
      <c r="O580" s="9" t="s">
        <v>4</v>
      </c>
    </row>
    <row r="581" spans="1:15" x14ac:dyDescent="0.2">
      <c r="A581">
        <v>13</v>
      </c>
      <c r="B581">
        <v>4</v>
      </c>
      <c r="C581" s="2">
        <v>4</v>
      </c>
      <c r="D581" s="2">
        <v>2</v>
      </c>
      <c r="E581" s="2">
        <v>1</v>
      </c>
      <c r="F581" s="2" t="s">
        <v>4</v>
      </c>
      <c r="G581" s="2">
        <v>225.19999999985899</v>
      </c>
      <c r="H581" s="2" t="s">
        <v>16</v>
      </c>
      <c r="I581" s="2">
        <v>107898.00000003399</v>
      </c>
      <c r="J581" s="2">
        <v>4000</v>
      </c>
      <c r="K581" s="2">
        <v>60</v>
      </c>
      <c r="L581" s="2">
        <v>0</v>
      </c>
      <c r="M581" s="2">
        <v>491548.01</v>
      </c>
      <c r="N581" s="2">
        <f t="shared" si="10"/>
        <v>599671.21000003384</v>
      </c>
      <c r="O581" s="9" t="s">
        <v>5</v>
      </c>
    </row>
    <row r="582" spans="1:15" x14ac:dyDescent="0.2">
      <c r="A582">
        <v>14</v>
      </c>
      <c r="B582">
        <v>4</v>
      </c>
      <c r="C582" s="2">
        <v>4</v>
      </c>
      <c r="D582" s="2">
        <v>2</v>
      </c>
      <c r="E582" s="2">
        <v>2</v>
      </c>
      <c r="F582" s="2" t="s">
        <v>4</v>
      </c>
      <c r="G582" s="2">
        <v>285.80000000033601</v>
      </c>
      <c r="H582" s="2" t="s">
        <v>16</v>
      </c>
      <c r="I582" s="2">
        <v>234233.999999958</v>
      </c>
      <c r="J582" s="2">
        <v>4000</v>
      </c>
      <c r="K582" s="2">
        <v>60</v>
      </c>
      <c r="L582" s="2">
        <v>0</v>
      </c>
      <c r="M582" s="2">
        <v>571228.81000000006</v>
      </c>
      <c r="N582" s="2">
        <f t="shared" si="10"/>
        <v>805748.60999995831</v>
      </c>
      <c r="O582" s="9" t="s">
        <v>5</v>
      </c>
    </row>
    <row r="583" spans="1:15" x14ac:dyDescent="0.2">
      <c r="A583">
        <v>15</v>
      </c>
      <c r="B583">
        <v>4</v>
      </c>
      <c r="C583" s="2">
        <v>4</v>
      </c>
      <c r="D583" s="2">
        <v>2</v>
      </c>
      <c r="E583" s="2">
        <v>3</v>
      </c>
      <c r="F583" s="2" t="s">
        <v>4</v>
      </c>
      <c r="G583" s="2">
        <v>273.80000000007999</v>
      </c>
      <c r="H583" s="2" t="s">
        <v>16</v>
      </c>
      <c r="I583" s="2">
        <v>299454.00000002602</v>
      </c>
      <c r="J583" s="2">
        <v>4000</v>
      </c>
      <c r="K583" s="2">
        <v>60</v>
      </c>
      <c r="L583" s="2">
        <v>0</v>
      </c>
      <c r="M583" s="2">
        <v>626907.61</v>
      </c>
      <c r="N583" s="2">
        <f t="shared" si="10"/>
        <v>926635.41000002599</v>
      </c>
      <c r="O583" s="9" t="s">
        <v>5</v>
      </c>
    </row>
    <row r="584" spans="1:15" x14ac:dyDescent="0.2">
      <c r="A584">
        <v>16</v>
      </c>
      <c r="B584">
        <v>4</v>
      </c>
      <c r="C584" s="2">
        <v>4</v>
      </c>
      <c r="D584" s="2">
        <v>3</v>
      </c>
      <c r="E584" s="2">
        <v>1</v>
      </c>
      <c r="F584" s="2" t="s">
        <v>4</v>
      </c>
      <c r="G584" s="2">
        <v>261.80000000017901</v>
      </c>
      <c r="H584" s="2" t="s">
        <v>16</v>
      </c>
      <c r="I584" s="2">
        <v>168532.00000002701</v>
      </c>
      <c r="J584" s="2">
        <v>4000</v>
      </c>
      <c r="K584" s="2">
        <v>60</v>
      </c>
      <c r="L584" s="2">
        <v>0</v>
      </c>
      <c r="M584" s="2">
        <v>522427.61</v>
      </c>
      <c r="N584" s="2">
        <f t="shared" si="10"/>
        <v>691221.41000002716</v>
      </c>
      <c r="O584" s="9" t="s">
        <v>4</v>
      </c>
    </row>
    <row r="585" spans="1:15" x14ac:dyDescent="0.2">
      <c r="A585">
        <v>17</v>
      </c>
      <c r="B585">
        <v>4</v>
      </c>
      <c r="C585" s="2">
        <v>4</v>
      </c>
      <c r="D585" s="2">
        <v>3</v>
      </c>
      <c r="E585" s="2">
        <v>2</v>
      </c>
      <c r="F585" s="2" t="s">
        <v>4</v>
      </c>
      <c r="G585" s="2">
        <v>255.000000001004</v>
      </c>
      <c r="H585" s="2" t="s">
        <v>16</v>
      </c>
      <c r="I585" s="2">
        <v>125322.00000004</v>
      </c>
      <c r="J585" s="2">
        <v>4000</v>
      </c>
      <c r="K585" s="2">
        <v>60</v>
      </c>
      <c r="L585" s="2">
        <v>0</v>
      </c>
      <c r="M585" s="2">
        <v>520827.61</v>
      </c>
      <c r="N585" s="2">
        <f t="shared" ref="N585:N648" si="11">G585+M585+I585</f>
        <v>646404.61000004096</v>
      </c>
      <c r="O585" s="9" t="s">
        <v>5</v>
      </c>
    </row>
    <row r="586" spans="1:15" x14ac:dyDescent="0.2">
      <c r="A586">
        <v>18</v>
      </c>
      <c r="B586">
        <v>4</v>
      </c>
      <c r="C586" s="2">
        <v>4</v>
      </c>
      <c r="D586" s="2">
        <v>3</v>
      </c>
      <c r="E586" s="2">
        <v>3</v>
      </c>
      <c r="F586" s="2" t="s">
        <v>4</v>
      </c>
      <c r="G586" s="2">
        <v>307.79999999950297</v>
      </c>
      <c r="H586" s="2" t="s">
        <v>16</v>
      </c>
      <c r="I586" s="2">
        <v>445655.99999998498</v>
      </c>
      <c r="J586" s="2">
        <v>4000</v>
      </c>
      <c r="K586" s="2">
        <v>60</v>
      </c>
      <c r="L586" s="2">
        <v>0</v>
      </c>
      <c r="M586" s="2">
        <v>521946.81</v>
      </c>
      <c r="N586" s="2">
        <f t="shared" si="11"/>
        <v>967910.6099999845</v>
      </c>
      <c r="O586" s="9" t="s">
        <v>4</v>
      </c>
    </row>
    <row r="587" spans="1:15" x14ac:dyDescent="0.2">
      <c r="A587">
        <v>19</v>
      </c>
      <c r="B587">
        <v>4</v>
      </c>
      <c r="C587" s="2">
        <v>5</v>
      </c>
      <c r="D587" s="2">
        <v>2</v>
      </c>
      <c r="E587" s="2">
        <v>1</v>
      </c>
      <c r="F587" s="2" t="s">
        <v>4</v>
      </c>
      <c r="G587" s="2">
        <v>241.399999999459</v>
      </c>
      <c r="H587" s="2" t="s">
        <v>16</v>
      </c>
      <c r="I587" s="2">
        <v>86420.000000032407</v>
      </c>
      <c r="J587" s="2">
        <v>4000</v>
      </c>
      <c r="K587" s="2">
        <v>60</v>
      </c>
      <c r="L587" s="2">
        <v>0</v>
      </c>
      <c r="M587" s="2">
        <v>591867.61</v>
      </c>
      <c r="N587" s="2">
        <f t="shared" si="11"/>
        <v>678529.01000003179</v>
      </c>
      <c r="O587" s="9" t="s">
        <v>5</v>
      </c>
    </row>
    <row r="588" spans="1:15" x14ac:dyDescent="0.2">
      <c r="A588">
        <v>20</v>
      </c>
      <c r="B588">
        <v>4</v>
      </c>
      <c r="C588" s="2">
        <v>5</v>
      </c>
      <c r="D588" s="2">
        <v>2</v>
      </c>
      <c r="E588" s="2">
        <v>2</v>
      </c>
      <c r="F588" s="2" t="s">
        <v>4</v>
      </c>
      <c r="G588" s="2">
        <v>301.59999999952402</v>
      </c>
      <c r="H588" s="2" t="s">
        <v>16</v>
      </c>
      <c r="I588" s="2">
        <v>298383.99999999901</v>
      </c>
      <c r="J588" s="2">
        <v>4000</v>
      </c>
      <c r="K588" s="2">
        <v>60</v>
      </c>
      <c r="L588" s="2">
        <v>0</v>
      </c>
      <c r="M588" s="2">
        <v>569788.01</v>
      </c>
      <c r="N588" s="2">
        <f t="shared" si="11"/>
        <v>868473.60999999847</v>
      </c>
      <c r="O588" s="9" t="s">
        <v>4</v>
      </c>
    </row>
    <row r="589" spans="1:15" x14ac:dyDescent="0.2">
      <c r="A589">
        <v>21</v>
      </c>
      <c r="B589">
        <v>4</v>
      </c>
      <c r="C589" s="2">
        <v>5</v>
      </c>
      <c r="D589" s="2">
        <v>2</v>
      </c>
      <c r="E589" s="2">
        <v>3</v>
      </c>
      <c r="F589" s="2" t="s">
        <v>4</v>
      </c>
      <c r="G589" s="2">
        <v>295.000000000201</v>
      </c>
      <c r="H589" s="2" t="s">
        <v>16</v>
      </c>
      <c r="I589" s="2">
        <v>248884.99999997299</v>
      </c>
      <c r="J589" s="2">
        <v>4000</v>
      </c>
      <c r="K589" s="2">
        <v>60</v>
      </c>
      <c r="L589" s="2">
        <v>0</v>
      </c>
      <c r="M589" s="2">
        <v>514906.81</v>
      </c>
      <c r="N589" s="2">
        <f t="shared" si="11"/>
        <v>764086.80999997316</v>
      </c>
      <c r="O589" s="9" t="s">
        <v>4</v>
      </c>
    </row>
    <row r="590" spans="1:15" x14ac:dyDescent="0.2">
      <c r="A590">
        <v>22</v>
      </c>
      <c r="B590">
        <v>4</v>
      </c>
      <c r="C590" s="2">
        <v>5</v>
      </c>
      <c r="D590" s="2">
        <v>3</v>
      </c>
      <c r="E590" s="2">
        <v>1</v>
      </c>
      <c r="F590" s="2" t="s">
        <v>4</v>
      </c>
      <c r="G590" s="2">
        <v>284.20000000011203</v>
      </c>
      <c r="H590" s="2" t="s">
        <v>16</v>
      </c>
      <c r="I590" s="2">
        <v>193147.00000001001</v>
      </c>
      <c r="J590" s="2">
        <v>4000</v>
      </c>
      <c r="K590" s="2">
        <v>60</v>
      </c>
      <c r="L590" s="2">
        <v>0</v>
      </c>
      <c r="M590" s="2">
        <v>641788.01</v>
      </c>
      <c r="N590" s="2">
        <f t="shared" si="11"/>
        <v>835219.21000001009</v>
      </c>
      <c r="O590" s="9" t="s">
        <v>4</v>
      </c>
    </row>
    <row r="591" spans="1:15" x14ac:dyDescent="0.2">
      <c r="A591">
        <v>23</v>
      </c>
      <c r="B591">
        <v>4</v>
      </c>
      <c r="C591" s="2">
        <v>5</v>
      </c>
      <c r="D591" s="2">
        <v>3</v>
      </c>
      <c r="E591" s="2">
        <v>2</v>
      </c>
      <c r="F591" s="2" t="s">
        <v>4</v>
      </c>
      <c r="G591" s="2">
        <v>292.800000000426</v>
      </c>
      <c r="H591" s="2" t="s">
        <v>16</v>
      </c>
      <c r="I591" s="2">
        <v>373690.000000011</v>
      </c>
      <c r="J591" s="2">
        <v>4000</v>
      </c>
      <c r="K591" s="2">
        <v>60</v>
      </c>
      <c r="L591" s="2">
        <v>0</v>
      </c>
      <c r="M591" s="2">
        <v>523227.21</v>
      </c>
      <c r="N591" s="2">
        <f t="shared" si="11"/>
        <v>897210.01000001142</v>
      </c>
      <c r="O591" s="9" t="s">
        <v>4</v>
      </c>
    </row>
    <row r="592" spans="1:15" x14ac:dyDescent="0.2">
      <c r="A592">
        <v>24</v>
      </c>
      <c r="B592">
        <v>4</v>
      </c>
      <c r="C592" s="2">
        <v>5</v>
      </c>
      <c r="D592" s="2">
        <v>3</v>
      </c>
      <c r="E592" s="2">
        <v>3</v>
      </c>
      <c r="F592" s="2" t="s">
        <v>4</v>
      </c>
      <c r="G592" s="2">
        <v>352.60000000043601</v>
      </c>
      <c r="H592" s="2" t="s">
        <v>16</v>
      </c>
      <c r="I592" s="2">
        <v>513671.00000004499</v>
      </c>
      <c r="J592" s="2">
        <v>4000</v>
      </c>
      <c r="K592" s="2">
        <v>60</v>
      </c>
      <c r="L592" s="2">
        <v>0</v>
      </c>
      <c r="M592" s="2">
        <v>600347.61</v>
      </c>
      <c r="N592" s="2">
        <f t="shared" si="11"/>
        <v>1114371.2100000454</v>
      </c>
      <c r="O592" s="9" t="s">
        <v>4</v>
      </c>
    </row>
    <row r="593" spans="1:15" x14ac:dyDescent="0.2">
      <c r="A593">
        <v>25</v>
      </c>
      <c r="B593">
        <v>4</v>
      </c>
      <c r="C593" s="2">
        <v>6</v>
      </c>
      <c r="D593" s="2">
        <v>3</v>
      </c>
      <c r="E593" s="2">
        <v>1</v>
      </c>
      <c r="F593" s="2" t="s">
        <v>4</v>
      </c>
      <c r="G593" s="2">
        <v>315.00000000015399</v>
      </c>
      <c r="H593" s="2" t="s">
        <v>16</v>
      </c>
      <c r="I593" s="2">
        <v>392347.00000002899</v>
      </c>
      <c r="J593" s="2">
        <v>4000</v>
      </c>
      <c r="K593" s="2">
        <v>60</v>
      </c>
      <c r="L593" s="2">
        <v>0</v>
      </c>
      <c r="M593" s="2">
        <v>628348.01</v>
      </c>
      <c r="N593" s="2">
        <f t="shared" si="11"/>
        <v>1021010.0100000291</v>
      </c>
      <c r="O593" s="9" t="s">
        <v>4</v>
      </c>
    </row>
    <row r="594" spans="1:15" x14ac:dyDescent="0.2">
      <c r="A594">
        <v>26</v>
      </c>
      <c r="B594">
        <v>4</v>
      </c>
      <c r="C594" s="2">
        <v>6</v>
      </c>
      <c r="D594" s="2">
        <v>3</v>
      </c>
      <c r="E594" s="2">
        <v>2</v>
      </c>
      <c r="F594" s="2" t="s">
        <v>4</v>
      </c>
      <c r="G594" s="2">
        <v>324.400000000224</v>
      </c>
      <c r="H594" s="2" t="s">
        <v>16</v>
      </c>
      <c r="I594" s="2">
        <v>725330.999999983</v>
      </c>
      <c r="J594" s="2">
        <v>4000</v>
      </c>
      <c r="K594" s="2">
        <v>60</v>
      </c>
      <c r="L594" s="2">
        <v>0</v>
      </c>
      <c r="M594" s="2">
        <v>518428.01</v>
      </c>
      <c r="N594" s="2">
        <f t="shared" si="11"/>
        <v>1244083.4099999832</v>
      </c>
      <c r="O594" s="9" t="s">
        <v>4</v>
      </c>
    </row>
    <row r="595" spans="1:15" x14ac:dyDescent="0.2">
      <c r="A595">
        <v>27</v>
      </c>
      <c r="B595">
        <v>4</v>
      </c>
      <c r="C595" s="2">
        <v>6</v>
      </c>
      <c r="D595" s="2">
        <v>3</v>
      </c>
      <c r="E595" s="2">
        <v>3</v>
      </c>
      <c r="F595" s="2" t="s">
        <v>4</v>
      </c>
      <c r="G595" s="2">
        <v>408.40000000024202</v>
      </c>
      <c r="H595" s="2" t="s">
        <v>16</v>
      </c>
      <c r="I595" s="2">
        <v>531781.00000002398</v>
      </c>
      <c r="J595" s="2">
        <v>4000</v>
      </c>
      <c r="K595" s="2">
        <v>60</v>
      </c>
      <c r="L595" s="2">
        <v>0</v>
      </c>
      <c r="M595" s="2">
        <v>521627.21</v>
      </c>
      <c r="N595" s="2">
        <f t="shared" si="11"/>
        <v>1053816.6100000243</v>
      </c>
      <c r="O595" s="9" t="s">
        <v>4</v>
      </c>
    </row>
    <row r="596" spans="1:15" x14ac:dyDescent="0.2">
      <c r="A596">
        <v>1</v>
      </c>
      <c r="B596">
        <v>4</v>
      </c>
      <c r="C596" s="2">
        <v>3</v>
      </c>
      <c r="D596" s="2">
        <v>2</v>
      </c>
      <c r="E596" s="2">
        <v>1</v>
      </c>
      <c r="F596" s="2" t="s">
        <v>4</v>
      </c>
      <c r="G596" s="2">
        <v>686.60000000022603</v>
      </c>
      <c r="H596" s="2" t="s">
        <v>16</v>
      </c>
      <c r="I596" s="2">
        <v>41551.999999967396</v>
      </c>
      <c r="J596" s="2">
        <v>2000</v>
      </c>
      <c r="K596" s="2">
        <v>200</v>
      </c>
      <c r="L596" s="2">
        <v>0</v>
      </c>
      <c r="M596" s="2">
        <v>543947.21</v>
      </c>
      <c r="N596" s="2">
        <f t="shared" si="11"/>
        <v>586185.80999996758</v>
      </c>
      <c r="O596" s="9" t="s">
        <v>5</v>
      </c>
    </row>
    <row r="597" spans="1:15" x14ac:dyDescent="0.2">
      <c r="A597">
        <v>2</v>
      </c>
      <c r="B597">
        <v>4</v>
      </c>
      <c r="C597" s="2">
        <v>3</v>
      </c>
      <c r="D597" s="2">
        <v>2</v>
      </c>
      <c r="E597" s="2">
        <v>2</v>
      </c>
      <c r="F597" s="2" t="s">
        <v>4</v>
      </c>
      <c r="G597" s="2">
        <v>595.39999999991301</v>
      </c>
      <c r="H597" s="2" t="s">
        <v>16</v>
      </c>
      <c r="I597" s="2">
        <v>274612.00000004697</v>
      </c>
      <c r="J597" s="2">
        <v>2000</v>
      </c>
      <c r="K597" s="2">
        <v>200</v>
      </c>
      <c r="L597" s="2">
        <v>0</v>
      </c>
      <c r="M597" s="2">
        <v>546187.21</v>
      </c>
      <c r="N597" s="2">
        <f t="shared" si="11"/>
        <v>821394.6100000469</v>
      </c>
      <c r="O597" s="9" t="s">
        <v>5</v>
      </c>
    </row>
    <row r="598" spans="1:15" x14ac:dyDescent="0.2">
      <c r="A598">
        <v>3</v>
      </c>
      <c r="B598">
        <v>4</v>
      </c>
      <c r="C598" s="2">
        <v>3</v>
      </c>
      <c r="D598" s="2">
        <v>2</v>
      </c>
      <c r="E598" s="2">
        <v>3</v>
      </c>
      <c r="F598" s="2" t="s">
        <v>4</v>
      </c>
      <c r="G598" s="2">
        <v>510.39999999993302</v>
      </c>
      <c r="H598" s="2" t="s">
        <v>16</v>
      </c>
      <c r="I598" s="2">
        <v>107829.999999979</v>
      </c>
      <c r="J598" s="2">
        <v>2000</v>
      </c>
      <c r="K598" s="2">
        <v>200</v>
      </c>
      <c r="L598" s="2">
        <v>0</v>
      </c>
      <c r="M598" s="2">
        <v>570587.21</v>
      </c>
      <c r="N598" s="2">
        <f t="shared" si="11"/>
        <v>678927.60999997891</v>
      </c>
      <c r="O598" s="9" t="s">
        <v>5</v>
      </c>
    </row>
    <row r="599" spans="1:15" x14ac:dyDescent="0.2">
      <c r="A599">
        <v>4</v>
      </c>
      <c r="B599">
        <v>4</v>
      </c>
      <c r="C599" s="2">
        <v>3</v>
      </c>
      <c r="D599" s="2">
        <v>3</v>
      </c>
      <c r="E599" s="2">
        <v>1</v>
      </c>
      <c r="F599" s="2" t="s">
        <v>4</v>
      </c>
      <c r="G599" s="2">
        <v>455.79999999958397</v>
      </c>
      <c r="H599" s="2" t="s">
        <v>16</v>
      </c>
      <c r="I599" s="2">
        <v>73137.000000031097</v>
      </c>
      <c r="J599" s="2">
        <v>2000</v>
      </c>
      <c r="K599" s="2">
        <v>200</v>
      </c>
      <c r="L599" s="2">
        <v>0</v>
      </c>
      <c r="M599" s="2">
        <v>546027.61</v>
      </c>
      <c r="N599" s="2">
        <f t="shared" si="11"/>
        <v>619620.41000003065</v>
      </c>
      <c r="O599" s="9" t="s">
        <v>5</v>
      </c>
    </row>
    <row r="600" spans="1:15" x14ac:dyDescent="0.2">
      <c r="A600">
        <v>5</v>
      </c>
      <c r="B600">
        <v>4</v>
      </c>
      <c r="C600" s="2">
        <v>3</v>
      </c>
      <c r="D600" s="2">
        <v>3</v>
      </c>
      <c r="E600" s="2">
        <v>2</v>
      </c>
      <c r="F600" s="2" t="s">
        <v>4</v>
      </c>
      <c r="G600" s="2">
        <v>514.60000000034302</v>
      </c>
      <c r="H600" s="2" t="s">
        <v>16</v>
      </c>
      <c r="I600" s="2">
        <v>86206.000000004206</v>
      </c>
      <c r="J600" s="2">
        <v>2000</v>
      </c>
      <c r="K600" s="2">
        <v>200</v>
      </c>
      <c r="L600" s="2">
        <v>0</v>
      </c>
      <c r="M600" s="2">
        <v>535307.21</v>
      </c>
      <c r="N600" s="2">
        <f t="shared" si="11"/>
        <v>622027.81000000448</v>
      </c>
      <c r="O600" s="9" t="s">
        <v>5</v>
      </c>
    </row>
    <row r="601" spans="1:15" x14ac:dyDescent="0.2">
      <c r="A601">
        <v>6</v>
      </c>
      <c r="B601">
        <v>4</v>
      </c>
      <c r="C601" s="2">
        <v>3</v>
      </c>
      <c r="D601" s="2">
        <v>3</v>
      </c>
      <c r="E601" s="2">
        <v>3</v>
      </c>
      <c r="F601" s="2" t="s">
        <v>4</v>
      </c>
      <c r="G601" s="2">
        <v>535.59999999990305</v>
      </c>
      <c r="H601" s="2" t="s">
        <v>16</v>
      </c>
      <c r="I601" s="2">
        <v>206090.000000017</v>
      </c>
      <c r="J601" s="2">
        <v>2000</v>
      </c>
      <c r="K601" s="2">
        <v>200</v>
      </c>
      <c r="L601" s="2">
        <v>0</v>
      </c>
      <c r="M601" s="2">
        <v>540667.21</v>
      </c>
      <c r="N601" s="2">
        <f t="shared" si="11"/>
        <v>747292.81000001682</v>
      </c>
      <c r="O601" s="9" t="s">
        <v>4</v>
      </c>
    </row>
    <row r="602" spans="1:15" x14ac:dyDescent="0.2">
      <c r="A602">
        <v>7</v>
      </c>
      <c r="B602">
        <v>4</v>
      </c>
      <c r="C602" s="2">
        <v>4</v>
      </c>
      <c r="D602" s="2">
        <v>2</v>
      </c>
      <c r="E602" s="2">
        <v>1</v>
      </c>
      <c r="F602" s="2" t="s">
        <v>4</v>
      </c>
      <c r="G602" s="2">
        <v>354.799999999855</v>
      </c>
      <c r="H602" s="2" t="s">
        <v>16</v>
      </c>
      <c r="I602" s="2">
        <v>56281.000000012697</v>
      </c>
      <c r="J602" s="2">
        <v>2000</v>
      </c>
      <c r="K602" s="2">
        <v>200</v>
      </c>
      <c r="L602" s="2">
        <v>0</v>
      </c>
      <c r="M602" s="2">
        <v>584747.21</v>
      </c>
      <c r="N602" s="2">
        <f t="shared" si="11"/>
        <v>641383.01000001247</v>
      </c>
      <c r="O602" s="9" t="s">
        <v>5</v>
      </c>
    </row>
    <row r="603" spans="1:15" x14ac:dyDescent="0.2">
      <c r="A603">
        <v>8</v>
      </c>
      <c r="B603">
        <v>4</v>
      </c>
      <c r="C603" s="2">
        <v>4</v>
      </c>
      <c r="D603" s="2">
        <v>2</v>
      </c>
      <c r="E603" s="2">
        <v>2</v>
      </c>
      <c r="F603" s="2" t="s">
        <v>4</v>
      </c>
      <c r="G603" s="2">
        <v>408.79999999958699</v>
      </c>
      <c r="H603" s="2" t="s">
        <v>16</v>
      </c>
      <c r="I603" s="2">
        <v>241269.00000004499</v>
      </c>
      <c r="J603" s="2">
        <v>2000</v>
      </c>
      <c r="K603" s="2">
        <v>200</v>
      </c>
      <c r="L603" s="2">
        <v>0</v>
      </c>
      <c r="M603" s="2">
        <v>571707.61</v>
      </c>
      <c r="N603" s="2">
        <f t="shared" si="11"/>
        <v>813385.41000004462</v>
      </c>
      <c r="O603" s="9" t="s">
        <v>4</v>
      </c>
    </row>
    <row r="604" spans="1:15" x14ac:dyDescent="0.2">
      <c r="A604">
        <v>9</v>
      </c>
      <c r="B604">
        <v>4</v>
      </c>
      <c r="C604" s="2">
        <v>4</v>
      </c>
      <c r="D604" s="2">
        <v>2</v>
      </c>
      <c r="E604" s="2">
        <v>3</v>
      </c>
      <c r="F604" s="2" t="s">
        <v>4</v>
      </c>
      <c r="G604" s="2">
        <v>315.400000000565</v>
      </c>
      <c r="H604" s="2" t="s">
        <v>16</v>
      </c>
      <c r="I604" s="2">
        <v>186287.99999998999</v>
      </c>
      <c r="J604" s="2">
        <v>2000</v>
      </c>
      <c r="K604" s="2">
        <v>200</v>
      </c>
      <c r="L604" s="2">
        <v>0</v>
      </c>
      <c r="M604" s="2">
        <v>606347.21</v>
      </c>
      <c r="N604" s="2">
        <f t="shared" si="11"/>
        <v>792950.60999999056</v>
      </c>
      <c r="O604" s="9" t="s">
        <v>4</v>
      </c>
    </row>
    <row r="605" spans="1:15" x14ac:dyDescent="0.2">
      <c r="A605">
        <v>10</v>
      </c>
      <c r="B605">
        <v>4</v>
      </c>
      <c r="C605" s="2">
        <v>4</v>
      </c>
      <c r="D605" s="2">
        <v>3</v>
      </c>
      <c r="E605" s="2">
        <v>1</v>
      </c>
      <c r="F605" s="2" t="s">
        <v>4</v>
      </c>
      <c r="G605" s="2">
        <v>303.20000000010299</v>
      </c>
      <c r="H605" s="2" t="s">
        <v>16</v>
      </c>
      <c r="I605" s="2">
        <v>234249.999999975</v>
      </c>
      <c r="J605" s="2">
        <v>2000</v>
      </c>
      <c r="K605" s="2">
        <v>200</v>
      </c>
      <c r="L605" s="2">
        <v>0</v>
      </c>
      <c r="M605" s="2">
        <v>588827.61</v>
      </c>
      <c r="N605" s="2">
        <f t="shared" si="11"/>
        <v>823380.80999997503</v>
      </c>
      <c r="O605" s="9" t="s">
        <v>4</v>
      </c>
    </row>
    <row r="606" spans="1:15" x14ac:dyDescent="0.2">
      <c r="A606">
        <v>11</v>
      </c>
      <c r="B606">
        <v>4</v>
      </c>
      <c r="C606" s="2">
        <v>4</v>
      </c>
      <c r="D606" s="2">
        <v>3</v>
      </c>
      <c r="E606" s="2">
        <v>2</v>
      </c>
      <c r="F606" s="2" t="s">
        <v>4</v>
      </c>
      <c r="G606" s="2">
        <v>291.60000000025798</v>
      </c>
      <c r="H606" s="2" t="s">
        <v>16</v>
      </c>
      <c r="I606" s="2">
        <v>264225.00000001001</v>
      </c>
      <c r="J606" s="2">
        <v>2000</v>
      </c>
      <c r="K606" s="2">
        <v>200</v>
      </c>
      <c r="L606" s="2">
        <v>0</v>
      </c>
      <c r="M606" s="2">
        <v>601787.21</v>
      </c>
      <c r="N606" s="2">
        <f t="shared" si="11"/>
        <v>866303.81000001018</v>
      </c>
      <c r="O606" s="9" t="s">
        <v>4</v>
      </c>
    </row>
    <row r="607" spans="1:15" x14ac:dyDescent="0.2">
      <c r="A607">
        <v>12</v>
      </c>
      <c r="B607">
        <v>4</v>
      </c>
      <c r="C607" s="2">
        <v>4</v>
      </c>
      <c r="D607" s="2">
        <v>3</v>
      </c>
      <c r="E607" s="2">
        <v>3</v>
      </c>
      <c r="F607" s="2" t="s">
        <v>4</v>
      </c>
      <c r="G607" s="2">
        <v>339.79999999971301</v>
      </c>
      <c r="H607" s="2" t="s">
        <v>16</v>
      </c>
      <c r="I607" s="2">
        <v>238984.00000001601</v>
      </c>
      <c r="J607" s="2">
        <v>2000</v>
      </c>
      <c r="K607" s="2">
        <v>200</v>
      </c>
      <c r="L607" s="2">
        <v>0</v>
      </c>
      <c r="M607" s="2">
        <v>616027.61</v>
      </c>
      <c r="N607" s="2">
        <f t="shared" si="11"/>
        <v>855351.41000001575</v>
      </c>
      <c r="O607" s="9" t="s">
        <v>4</v>
      </c>
    </row>
    <row r="608" spans="1:15" x14ac:dyDescent="0.2">
      <c r="A608">
        <v>13</v>
      </c>
      <c r="B608">
        <v>4</v>
      </c>
      <c r="C608" s="2">
        <v>4</v>
      </c>
      <c r="D608" s="2">
        <v>2</v>
      </c>
      <c r="E608" s="2">
        <v>1</v>
      </c>
      <c r="F608" s="2" t="s">
        <v>4</v>
      </c>
      <c r="G608" s="2">
        <v>225.19999999985899</v>
      </c>
      <c r="H608" s="2" t="s">
        <v>16</v>
      </c>
      <c r="I608" s="2">
        <v>107898.00000003399</v>
      </c>
      <c r="J608" s="2">
        <v>2000</v>
      </c>
      <c r="K608" s="2">
        <v>200</v>
      </c>
      <c r="L608" s="2">
        <v>0</v>
      </c>
      <c r="M608" s="2">
        <v>535387.61</v>
      </c>
      <c r="N608" s="2">
        <f t="shared" si="11"/>
        <v>643510.81000003382</v>
      </c>
      <c r="O608" s="9" t="s">
        <v>5</v>
      </c>
    </row>
    <row r="609" spans="1:15" x14ac:dyDescent="0.2">
      <c r="A609">
        <v>14</v>
      </c>
      <c r="B609">
        <v>4</v>
      </c>
      <c r="C609" s="2">
        <v>4</v>
      </c>
      <c r="D609" s="2">
        <v>2</v>
      </c>
      <c r="E609" s="2">
        <v>2</v>
      </c>
      <c r="F609" s="2" t="s">
        <v>4</v>
      </c>
      <c r="G609" s="2">
        <v>285.80000000033601</v>
      </c>
      <c r="H609" s="2" t="s">
        <v>16</v>
      </c>
      <c r="I609" s="2">
        <v>234233.999999958</v>
      </c>
      <c r="J609" s="2">
        <v>2000</v>
      </c>
      <c r="K609" s="2">
        <v>200</v>
      </c>
      <c r="L609" s="2">
        <v>0</v>
      </c>
      <c r="M609" s="2">
        <v>575228.41</v>
      </c>
      <c r="N609" s="2">
        <f t="shared" si="11"/>
        <v>809748.20999995829</v>
      </c>
      <c r="O609" s="9" t="s">
        <v>4</v>
      </c>
    </row>
    <row r="610" spans="1:15" x14ac:dyDescent="0.2">
      <c r="A610">
        <v>15</v>
      </c>
      <c r="B610">
        <v>4</v>
      </c>
      <c r="C610" s="2">
        <v>4</v>
      </c>
      <c r="D610" s="2">
        <v>2</v>
      </c>
      <c r="E610" s="2">
        <v>3</v>
      </c>
      <c r="F610" s="2" t="s">
        <v>4</v>
      </c>
      <c r="G610" s="2">
        <v>273.80000000007999</v>
      </c>
      <c r="H610" s="2" t="s">
        <v>16</v>
      </c>
      <c r="I610" s="2">
        <v>299454.00000002602</v>
      </c>
      <c r="J610" s="2">
        <v>2000</v>
      </c>
      <c r="K610" s="2">
        <v>200</v>
      </c>
      <c r="L610" s="2">
        <v>0</v>
      </c>
      <c r="M610" s="2">
        <v>603067.21</v>
      </c>
      <c r="N610" s="2">
        <f t="shared" si="11"/>
        <v>902795.01000002609</v>
      </c>
      <c r="O610" s="9" t="s">
        <v>4</v>
      </c>
    </row>
    <row r="611" spans="1:15" x14ac:dyDescent="0.2">
      <c r="A611">
        <v>16</v>
      </c>
      <c r="B611">
        <v>4</v>
      </c>
      <c r="C611" s="2">
        <v>4</v>
      </c>
      <c r="D611" s="2">
        <v>3</v>
      </c>
      <c r="E611" s="2">
        <v>1</v>
      </c>
      <c r="F611" s="2" t="s">
        <v>4</v>
      </c>
      <c r="G611" s="2">
        <v>261.80000000017901</v>
      </c>
      <c r="H611" s="2" t="s">
        <v>16</v>
      </c>
      <c r="I611" s="2">
        <v>168532.00000002701</v>
      </c>
      <c r="J611" s="2">
        <v>2000</v>
      </c>
      <c r="K611" s="2">
        <v>200</v>
      </c>
      <c r="L611" s="2">
        <v>0</v>
      </c>
      <c r="M611" s="2">
        <v>550827.21</v>
      </c>
      <c r="N611" s="2">
        <f t="shared" si="11"/>
        <v>719621.01000002713</v>
      </c>
      <c r="O611" s="9" t="s">
        <v>4</v>
      </c>
    </row>
    <row r="612" spans="1:15" x14ac:dyDescent="0.2">
      <c r="A612">
        <v>17</v>
      </c>
      <c r="B612">
        <v>4</v>
      </c>
      <c r="C612" s="2">
        <v>4</v>
      </c>
      <c r="D612" s="2">
        <v>3</v>
      </c>
      <c r="E612" s="2">
        <v>2</v>
      </c>
      <c r="F612" s="2" t="s">
        <v>4</v>
      </c>
      <c r="G612" s="2">
        <v>255.000000001004</v>
      </c>
      <c r="H612" s="2" t="s">
        <v>16</v>
      </c>
      <c r="I612" s="2">
        <v>125322.00000004</v>
      </c>
      <c r="J612" s="2">
        <v>2000</v>
      </c>
      <c r="K612" s="2">
        <v>200</v>
      </c>
      <c r="L612" s="2">
        <v>0</v>
      </c>
      <c r="M612" s="2">
        <v>550027.21</v>
      </c>
      <c r="N612" s="2">
        <f t="shared" si="11"/>
        <v>675604.21000004106</v>
      </c>
      <c r="O612" s="9" t="s">
        <v>5</v>
      </c>
    </row>
    <row r="613" spans="1:15" x14ac:dyDescent="0.2">
      <c r="A613">
        <v>18</v>
      </c>
      <c r="B613">
        <v>4</v>
      </c>
      <c r="C613" s="2">
        <v>4</v>
      </c>
      <c r="D613" s="2">
        <v>3</v>
      </c>
      <c r="E613" s="2">
        <v>3</v>
      </c>
      <c r="F613" s="2" t="s">
        <v>4</v>
      </c>
      <c r="G613" s="2">
        <v>307.79999999950297</v>
      </c>
      <c r="H613" s="2" t="s">
        <v>16</v>
      </c>
      <c r="I613" s="2">
        <v>445655.99999998498</v>
      </c>
      <c r="J613" s="2">
        <v>2000</v>
      </c>
      <c r="K613" s="2">
        <v>200</v>
      </c>
      <c r="L613" s="2">
        <v>0</v>
      </c>
      <c r="M613" s="2">
        <v>550586.41</v>
      </c>
      <c r="N613" s="2">
        <f t="shared" si="11"/>
        <v>996550.20999998448</v>
      </c>
      <c r="O613" s="9" t="s">
        <v>4</v>
      </c>
    </row>
    <row r="614" spans="1:15" x14ac:dyDescent="0.2">
      <c r="A614">
        <v>19</v>
      </c>
      <c r="B614">
        <v>4</v>
      </c>
      <c r="C614" s="2">
        <v>5</v>
      </c>
      <c r="D614" s="2">
        <v>2</v>
      </c>
      <c r="E614" s="2">
        <v>1</v>
      </c>
      <c r="F614" s="2" t="s">
        <v>4</v>
      </c>
      <c r="G614" s="2">
        <v>241.399999999459</v>
      </c>
      <c r="H614" s="2" t="s">
        <v>16</v>
      </c>
      <c r="I614" s="2">
        <v>86420.000000032407</v>
      </c>
      <c r="J614" s="2">
        <v>2000</v>
      </c>
      <c r="K614" s="2">
        <v>200</v>
      </c>
      <c r="L614" s="2">
        <v>0</v>
      </c>
      <c r="M614" s="2">
        <v>585547.21</v>
      </c>
      <c r="N614" s="2">
        <f t="shared" si="11"/>
        <v>672208.61000003177</v>
      </c>
      <c r="O614" s="9" t="s">
        <v>5</v>
      </c>
    </row>
    <row r="615" spans="1:15" x14ac:dyDescent="0.2">
      <c r="A615">
        <v>20</v>
      </c>
      <c r="B615">
        <v>4</v>
      </c>
      <c r="C615" s="2">
        <v>5</v>
      </c>
      <c r="D615" s="2">
        <v>2</v>
      </c>
      <c r="E615" s="2">
        <v>2</v>
      </c>
      <c r="F615" s="2" t="s">
        <v>4</v>
      </c>
      <c r="G615" s="2">
        <v>301.59999999952402</v>
      </c>
      <c r="H615" s="2" t="s">
        <v>16</v>
      </c>
      <c r="I615" s="2">
        <v>298383.99999999901</v>
      </c>
      <c r="J615" s="2">
        <v>2000</v>
      </c>
      <c r="K615" s="2">
        <v>200</v>
      </c>
      <c r="L615" s="2">
        <v>0</v>
      </c>
      <c r="M615" s="2">
        <v>574507.61</v>
      </c>
      <c r="N615" s="2">
        <f t="shared" si="11"/>
        <v>873193.20999999857</v>
      </c>
      <c r="O615" s="9" t="s">
        <v>4</v>
      </c>
    </row>
    <row r="616" spans="1:15" x14ac:dyDescent="0.2">
      <c r="A616">
        <v>21</v>
      </c>
      <c r="B616">
        <v>4</v>
      </c>
      <c r="C616" s="2">
        <v>5</v>
      </c>
      <c r="D616" s="2">
        <v>2</v>
      </c>
      <c r="E616" s="2">
        <v>3</v>
      </c>
      <c r="F616" s="2" t="s">
        <v>4</v>
      </c>
      <c r="G616" s="2">
        <v>295.000000000201</v>
      </c>
      <c r="H616" s="2" t="s">
        <v>16</v>
      </c>
      <c r="I616" s="2">
        <v>248884.99999997299</v>
      </c>
      <c r="J616" s="2">
        <v>2000</v>
      </c>
      <c r="K616" s="2">
        <v>200</v>
      </c>
      <c r="L616" s="2">
        <v>0</v>
      </c>
      <c r="M616" s="2">
        <v>547066.41</v>
      </c>
      <c r="N616" s="2">
        <f t="shared" si="11"/>
        <v>796246.40999997326</v>
      </c>
      <c r="O616" s="9" t="s">
        <v>4</v>
      </c>
    </row>
    <row r="617" spans="1:15" x14ac:dyDescent="0.2">
      <c r="A617">
        <v>22</v>
      </c>
      <c r="B617">
        <v>4</v>
      </c>
      <c r="C617" s="2">
        <v>5</v>
      </c>
      <c r="D617" s="2">
        <v>3</v>
      </c>
      <c r="E617" s="2">
        <v>1</v>
      </c>
      <c r="F617" s="2" t="s">
        <v>4</v>
      </c>
      <c r="G617" s="2">
        <v>284.20000000011203</v>
      </c>
      <c r="H617" s="2" t="s">
        <v>16</v>
      </c>
      <c r="I617" s="2">
        <v>193147.00000001001</v>
      </c>
      <c r="J617" s="2">
        <v>2000</v>
      </c>
      <c r="K617" s="2">
        <v>200</v>
      </c>
      <c r="L617" s="2">
        <v>0</v>
      </c>
      <c r="M617" s="2">
        <v>610507.61</v>
      </c>
      <c r="N617" s="2">
        <f t="shared" si="11"/>
        <v>803938.81000001007</v>
      </c>
      <c r="O617" s="9" t="s">
        <v>4</v>
      </c>
    </row>
    <row r="618" spans="1:15" x14ac:dyDescent="0.2">
      <c r="A618">
        <v>23</v>
      </c>
      <c r="B618">
        <v>4</v>
      </c>
      <c r="C618" s="2">
        <v>5</v>
      </c>
      <c r="D618" s="2">
        <v>3</v>
      </c>
      <c r="E618" s="2">
        <v>2</v>
      </c>
      <c r="F618" s="2" t="s">
        <v>4</v>
      </c>
      <c r="G618" s="2">
        <v>292.800000000426</v>
      </c>
      <c r="H618" s="2" t="s">
        <v>16</v>
      </c>
      <c r="I618" s="2">
        <v>373690.000000011</v>
      </c>
      <c r="J618" s="2">
        <v>2000</v>
      </c>
      <c r="K618" s="2">
        <v>200</v>
      </c>
      <c r="L618" s="2">
        <v>0</v>
      </c>
      <c r="M618" s="2">
        <v>551226.81000000006</v>
      </c>
      <c r="N618" s="2">
        <f t="shared" si="11"/>
        <v>925209.61000001151</v>
      </c>
      <c r="O618" s="9" t="s">
        <v>4</v>
      </c>
    </row>
    <row r="619" spans="1:15" x14ac:dyDescent="0.2">
      <c r="A619">
        <v>24</v>
      </c>
      <c r="B619">
        <v>4</v>
      </c>
      <c r="C619" s="2">
        <v>5</v>
      </c>
      <c r="D619" s="2">
        <v>3</v>
      </c>
      <c r="E619" s="2">
        <v>3</v>
      </c>
      <c r="F619" s="2" t="s">
        <v>4</v>
      </c>
      <c r="G619" s="2">
        <v>352.60000000043601</v>
      </c>
      <c r="H619" s="2" t="s">
        <v>16</v>
      </c>
      <c r="I619" s="2">
        <v>513671.00000004499</v>
      </c>
      <c r="J619" s="2">
        <v>2000</v>
      </c>
      <c r="K619" s="2">
        <v>200</v>
      </c>
      <c r="L619" s="2">
        <v>0</v>
      </c>
      <c r="M619" s="2">
        <v>589787.21</v>
      </c>
      <c r="N619" s="2">
        <f t="shared" si="11"/>
        <v>1103810.8100000455</v>
      </c>
      <c r="O619" s="9" t="s">
        <v>4</v>
      </c>
    </row>
    <row r="620" spans="1:15" x14ac:dyDescent="0.2">
      <c r="A620">
        <v>25</v>
      </c>
      <c r="B620">
        <v>4</v>
      </c>
      <c r="C620" s="2">
        <v>6</v>
      </c>
      <c r="D620" s="2">
        <v>3</v>
      </c>
      <c r="E620" s="2">
        <v>1</v>
      </c>
      <c r="F620" s="2" t="s">
        <v>4</v>
      </c>
      <c r="G620" s="2">
        <v>315.00000000015399</v>
      </c>
      <c r="H620" s="2" t="s">
        <v>16</v>
      </c>
      <c r="I620" s="2">
        <v>392347.00000002899</v>
      </c>
      <c r="J620" s="2">
        <v>2000</v>
      </c>
      <c r="K620" s="2">
        <v>200</v>
      </c>
      <c r="L620" s="2">
        <v>0</v>
      </c>
      <c r="M620" s="2">
        <v>603787.61</v>
      </c>
      <c r="N620" s="2">
        <f t="shared" si="11"/>
        <v>996449.61000002909</v>
      </c>
      <c r="O620" s="9" t="s">
        <v>4</v>
      </c>
    </row>
    <row r="621" spans="1:15" x14ac:dyDescent="0.2">
      <c r="A621">
        <v>26</v>
      </c>
      <c r="B621">
        <v>4</v>
      </c>
      <c r="C621" s="2">
        <v>6</v>
      </c>
      <c r="D621" s="2">
        <v>3</v>
      </c>
      <c r="E621" s="2">
        <v>2</v>
      </c>
      <c r="F621" s="2" t="s">
        <v>4</v>
      </c>
      <c r="G621" s="2">
        <v>324.400000000224</v>
      </c>
      <c r="H621" s="2" t="s">
        <v>16</v>
      </c>
      <c r="I621" s="2">
        <v>725330.999999983</v>
      </c>
      <c r="J621" s="2">
        <v>2000</v>
      </c>
      <c r="K621" s="2">
        <v>200</v>
      </c>
      <c r="L621" s="2">
        <v>0</v>
      </c>
      <c r="M621" s="2">
        <v>548827.61</v>
      </c>
      <c r="N621" s="2">
        <f t="shared" si="11"/>
        <v>1274483.0099999832</v>
      </c>
      <c r="O621" s="9" t="s">
        <v>4</v>
      </c>
    </row>
    <row r="622" spans="1:15" x14ac:dyDescent="0.2">
      <c r="A622">
        <v>27</v>
      </c>
      <c r="B622">
        <v>4</v>
      </c>
      <c r="C622" s="2">
        <v>6</v>
      </c>
      <c r="D622" s="2">
        <v>3</v>
      </c>
      <c r="E622" s="2">
        <v>3</v>
      </c>
      <c r="F622" s="2" t="s">
        <v>4</v>
      </c>
      <c r="G622" s="2">
        <v>408.40000000024202</v>
      </c>
      <c r="H622" s="2" t="s">
        <v>16</v>
      </c>
      <c r="I622" s="2">
        <v>531781.00000002398</v>
      </c>
      <c r="J622" s="2">
        <v>2000</v>
      </c>
      <c r="K622" s="2">
        <v>200</v>
      </c>
      <c r="L622" s="2">
        <v>0</v>
      </c>
      <c r="M622" s="2">
        <v>550426.81000000006</v>
      </c>
      <c r="N622" s="2">
        <f t="shared" si="11"/>
        <v>1082616.2100000242</v>
      </c>
      <c r="O622" s="9" t="s">
        <v>4</v>
      </c>
    </row>
    <row r="623" spans="1:15" x14ac:dyDescent="0.2">
      <c r="A623">
        <v>1</v>
      </c>
      <c r="B623">
        <v>4</v>
      </c>
      <c r="C623" s="2">
        <v>3</v>
      </c>
      <c r="D623" s="2">
        <v>2</v>
      </c>
      <c r="E623" s="2">
        <v>1</v>
      </c>
      <c r="F623" s="2" t="s">
        <v>4</v>
      </c>
      <c r="G623" s="2">
        <v>686.60000000022603</v>
      </c>
      <c r="H623" s="2" t="s">
        <v>16</v>
      </c>
      <c r="I623" s="2">
        <v>41551.999999967396</v>
      </c>
      <c r="J623" s="2">
        <v>2000</v>
      </c>
      <c r="K623" s="2">
        <v>300</v>
      </c>
      <c r="L623" s="2">
        <v>0</v>
      </c>
      <c r="M623" s="2">
        <v>743947.21</v>
      </c>
      <c r="N623" s="2">
        <f t="shared" si="11"/>
        <v>786185.80999996758</v>
      </c>
      <c r="O623" s="9" t="s">
        <v>5</v>
      </c>
    </row>
    <row r="624" spans="1:15" x14ac:dyDescent="0.2">
      <c r="A624">
        <v>2</v>
      </c>
      <c r="B624">
        <v>4</v>
      </c>
      <c r="C624" s="2">
        <v>3</v>
      </c>
      <c r="D624" s="2">
        <v>2</v>
      </c>
      <c r="E624" s="2">
        <v>2</v>
      </c>
      <c r="F624" s="2" t="s">
        <v>4</v>
      </c>
      <c r="G624" s="2">
        <v>595.39999999991301</v>
      </c>
      <c r="H624" s="2" t="s">
        <v>16</v>
      </c>
      <c r="I624" s="2">
        <v>274612.00000004697</v>
      </c>
      <c r="J624" s="2">
        <v>2000</v>
      </c>
      <c r="K624" s="2">
        <v>300</v>
      </c>
      <c r="L624" s="2">
        <v>0</v>
      </c>
      <c r="M624" s="2">
        <v>746187.21</v>
      </c>
      <c r="N624" s="2">
        <f t="shared" si="11"/>
        <v>1021394.6100000469</v>
      </c>
      <c r="O624" s="9" t="s">
        <v>5</v>
      </c>
    </row>
    <row r="625" spans="1:15" x14ac:dyDescent="0.2">
      <c r="A625">
        <v>3</v>
      </c>
      <c r="B625">
        <v>4</v>
      </c>
      <c r="C625" s="2">
        <v>3</v>
      </c>
      <c r="D625" s="2">
        <v>2</v>
      </c>
      <c r="E625" s="2">
        <v>3</v>
      </c>
      <c r="F625" s="2" t="s">
        <v>4</v>
      </c>
      <c r="G625" s="2">
        <v>510.39999999993302</v>
      </c>
      <c r="H625" s="2" t="s">
        <v>16</v>
      </c>
      <c r="I625" s="2">
        <v>107829.999999979</v>
      </c>
      <c r="J625" s="2">
        <v>2000</v>
      </c>
      <c r="K625" s="2">
        <v>300</v>
      </c>
      <c r="L625" s="2">
        <v>0</v>
      </c>
      <c r="M625" s="2">
        <v>770587.21</v>
      </c>
      <c r="N625" s="2">
        <f t="shared" si="11"/>
        <v>878927.60999997891</v>
      </c>
      <c r="O625" s="9" t="s">
        <v>5</v>
      </c>
    </row>
    <row r="626" spans="1:15" x14ac:dyDescent="0.2">
      <c r="A626">
        <v>4</v>
      </c>
      <c r="B626">
        <v>4</v>
      </c>
      <c r="C626" s="2">
        <v>3</v>
      </c>
      <c r="D626" s="2">
        <v>3</v>
      </c>
      <c r="E626" s="2">
        <v>1</v>
      </c>
      <c r="F626" s="2" t="s">
        <v>4</v>
      </c>
      <c r="G626" s="2">
        <v>455.79999999958397</v>
      </c>
      <c r="H626" s="2" t="s">
        <v>16</v>
      </c>
      <c r="I626" s="2">
        <v>73137.000000031097</v>
      </c>
      <c r="J626" s="2">
        <v>2000</v>
      </c>
      <c r="K626" s="2">
        <v>300</v>
      </c>
      <c r="L626" s="2">
        <v>0</v>
      </c>
      <c r="M626" s="2">
        <v>746027.61</v>
      </c>
      <c r="N626" s="2">
        <f t="shared" si="11"/>
        <v>819620.41000003065</v>
      </c>
      <c r="O626" s="9" t="s">
        <v>4</v>
      </c>
    </row>
    <row r="627" spans="1:15" x14ac:dyDescent="0.2">
      <c r="A627">
        <v>5</v>
      </c>
      <c r="B627">
        <v>4</v>
      </c>
      <c r="C627" s="2">
        <v>3</v>
      </c>
      <c r="D627" s="2">
        <v>3</v>
      </c>
      <c r="E627" s="2">
        <v>2</v>
      </c>
      <c r="F627" s="2" t="s">
        <v>4</v>
      </c>
      <c r="G627" s="2">
        <v>514.60000000034302</v>
      </c>
      <c r="H627" s="2" t="s">
        <v>16</v>
      </c>
      <c r="I627" s="2">
        <v>86206.000000004206</v>
      </c>
      <c r="J627" s="2">
        <v>2000</v>
      </c>
      <c r="K627" s="2">
        <v>300</v>
      </c>
      <c r="L627" s="2">
        <v>0</v>
      </c>
      <c r="M627" s="2">
        <v>735307.21</v>
      </c>
      <c r="N627" s="2">
        <f t="shared" si="11"/>
        <v>822027.81000000448</v>
      </c>
      <c r="O627" s="9" t="s">
        <v>5</v>
      </c>
    </row>
    <row r="628" spans="1:15" x14ac:dyDescent="0.2">
      <c r="A628">
        <v>6</v>
      </c>
      <c r="B628">
        <v>4</v>
      </c>
      <c r="C628" s="2">
        <v>3</v>
      </c>
      <c r="D628" s="2">
        <v>3</v>
      </c>
      <c r="E628" s="2">
        <v>3</v>
      </c>
      <c r="F628" s="2" t="s">
        <v>4</v>
      </c>
      <c r="G628" s="2">
        <v>535.59999999990305</v>
      </c>
      <c r="H628" s="2" t="s">
        <v>16</v>
      </c>
      <c r="I628" s="2">
        <v>206090.000000017</v>
      </c>
      <c r="J628" s="2">
        <v>2000</v>
      </c>
      <c r="K628" s="2">
        <v>300</v>
      </c>
      <c r="L628" s="2">
        <v>0</v>
      </c>
      <c r="M628" s="2">
        <v>740667.21</v>
      </c>
      <c r="N628" s="2">
        <f t="shared" si="11"/>
        <v>947292.81000001682</v>
      </c>
      <c r="O628" s="9" t="s">
        <v>4</v>
      </c>
    </row>
    <row r="629" spans="1:15" x14ac:dyDescent="0.2">
      <c r="A629">
        <v>7</v>
      </c>
      <c r="B629">
        <v>4</v>
      </c>
      <c r="C629" s="2">
        <v>4</v>
      </c>
      <c r="D629" s="2">
        <v>2</v>
      </c>
      <c r="E629" s="2">
        <v>1</v>
      </c>
      <c r="F629" s="2" t="s">
        <v>4</v>
      </c>
      <c r="G629" s="2">
        <v>354.799999999855</v>
      </c>
      <c r="H629" s="2" t="s">
        <v>16</v>
      </c>
      <c r="I629" s="2">
        <v>56281.000000012697</v>
      </c>
      <c r="J629" s="2">
        <v>2000</v>
      </c>
      <c r="K629" s="2">
        <v>300</v>
      </c>
      <c r="L629" s="2">
        <v>0</v>
      </c>
      <c r="M629" s="2">
        <v>784747.21</v>
      </c>
      <c r="N629" s="2">
        <f t="shared" si="11"/>
        <v>841383.01000001247</v>
      </c>
      <c r="O629" s="9" t="s">
        <v>5</v>
      </c>
    </row>
    <row r="630" spans="1:15" x14ac:dyDescent="0.2">
      <c r="A630">
        <v>8</v>
      </c>
      <c r="B630">
        <v>4</v>
      </c>
      <c r="C630" s="2">
        <v>4</v>
      </c>
      <c r="D630" s="2">
        <v>2</v>
      </c>
      <c r="E630" s="2">
        <v>2</v>
      </c>
      <c r="F630" s="2" t="s">
        <v>4</v>
      </c>
      <c r="G630" s="2">
        <v>408.79999999958699</v>
      </c>
      <c r="H630" s="2" t="s">
        <v>16</v>
      </c>
      <c r="I630" s="2">
        <v>241269.00000004499</v>
      </c>
      <c r="J630" s="2">
        <v>2000</v>
      </c>
      <c r="K630" s="2">
        <v>300</v>
      </c>
      <c r="L630" s="2">
        <v>0</v>
      </c>
      <c r="M630" s="2">
        <v>771707.61</v>
      </c>
      <c r="N630" s="2">
        <f t="shared" si="11"/>
        <v>1013385.4100000446</v>
      </c>
      <c r="O630" s="9" t="s">
        <v>4</v>
      </c>
    </row>
    <row r="631" spans="1:15" x14ac:dyDescent="0.2">
      <c r="A631">
        <v>9</v>
      </c>
      <c r="B631">
        <v>4</v>
      </c>
      <c r="C631" s="2">
        <v>4</v>
      </c>
      <c r="D631" s="2">
        <v>2</v>
      </c>
      <c r="E631" s="2">
        <v>3</v>
      </c>
      <c r="F631" s="2" t="s">
        <v>4</v>
      </c>
      <c r="G631" s="2">
        <v>315.400000000565</v>
      </c>
      <c r="H631" s="2" t="s">
        <v>16</v>
      </c>
      <c r="I631" s="2">
        <v>186287.99999998999</v>
      </c>
      <c r="J631" s="2">
        <v>2000</v>
      </c>
      <c r="K631" s="2">
        <v>300</v>
      </c>
      <c r="L631" s="2">
        <v>0</v>
      </c>
      <c r="M631" s="2">
        <v>806347.21</v>
      </c>
      <c r="N631" s="2">
        <f t="shared" si="11"/>
        <v>992950.60999999056</v>
      </c>
      <c r="O631" s="9" t="s">
        <v>4</v>
      </c>
    </row>
    <row r="632" spans="1:15" x14ac:dyDescent="0.2">
      <c r="A632">
        <v>10</v>
      </c>
      <c r="B632">
        <v>4</v>
      </c>
      <c r="C632" s="2">
        <v>4</v>
      </c>
      <c r="D632" s="2">
        <v>3</v>
      </c>
      <c r="E632" s="2">
        <v>1</v>
      </c>
      <c r="F632" s="2" t="s">
        <v>4</v>
      </c>
      <c r="G632" s="2">
        <v>303.20000000010299</v>
      </c>
      <c r="H632" s="2" t="s">
        <v>16</v>
      </c>
      <c r="I632" s="2">
        <v>234249.999999975</v>
      </c>
      <c r="J632" s="2">
        <v>2000</v>
      </c>
      <c r="K632" s="2">
        <v>300</v>
      </c>
      <c r="L632" s="2">
        <v>0</v>
      </c>
      <c r="M632" s="2">
        <v>788827.61</v>
      </c>
      <c r="N632" s="2">
        <f t="shared" si="11"/>
        <v>1023380.809999975</v>
      </c>
      <c r="O632" s="9" t="s">
        <v>4</v>
      </c>
    </row>
    <row r="633" spans="1:15" x14ac:dyDescent="0.2">
      <c r="A633">
        <v>11</v>
      </c>
      <c r="B633">
        <v>4</v>
      </c>
      <c r="C633" s="2">
        <v>4</v>
      </c>
      <c r="D633" s="2">
        <v>3</v>
      </c>
      <c r="E633" s="2">
        <v>2</v>
      </c>
      <c r="F633" s="2" t="s">
        <v>4</v>
      </c>
      <c r="G633" s="2">
        <v>291.60000000025798</v>
      </c>
      <c r="H633" s="2" t="s">
        <v>16</v>
      </c>
      <c r="I633" s="2">
        <v>264225.00000001001</v>
      </c>
      <c r="J633" s="2">
        <v>2000</v>
      </c>
      <c r="K633" s="2">
        <v>300</v>
      </c>
      <c r="L633" s="2">
        <v>0</v>
      </c>
      <c r="M633" s="2">
        <v>801787.21</v>
      </c>
      <c r="N633" s="2">
        <f t="shared" si="11"/>
        <v>1066303.8100000103</v>
      </c>
      <c r="O633" s="9" t="s">
        <v>4</v>
      </c>
    </row>
    <row r="634" spans="1:15" x14ac:dyDescent="0.2">
      <c r="A634">
        <v>12</v>
      </c>
      <c r="B634">
        <v>4</v>
      </c>
      <c r="C634" s="2">
        <v>4</v>
      </c>
      <c r="D634" s="2">
        <v>3</v>
      </c>
      <c r="E634" s="2">
        <v>3</v>
      </c>
      <c r="F634" s="2" t="s">
        <v>4</v>
      </c>
      <c r="G634" s="2">
        <v>339.79999999971301</v>
      </c>
      <c r="H634" s="2" t="s">
        <v>16</v>
      </c>
      <c r="I634" s="2">
        <v>238984.00000001601</v>
      </c>
      <c r="J634" s="2">
        <v>2000</v>
      </c>
      <c r="K634" s="2">
        <v>300</v>
      </c>
      <c r="L634" s="2">
        <v>0</v>
      </c>
      <c r="M634" s="2">
        <v>816027.61</v>
      </c>
      <c r="N634" s="2">
        <f t="shared" si="11"/>
        <v>1055351.4100000157</v>
      </c>
      <c r="O634" s="9" t="s">
        <v>4</v>
      </c>
    </row>
    <row r="635" spans="1:15" x14ac:dyDescent="0.2">
      <c r="A635">
        <v>13</v>
      </c>
      <c r="B635">
        <v>4</v>
      </c>
      <c r="C635" s="2">
        <v>4</v>
      </c>
      <c r="D635" s="2">
        <v>2</v>
      </c>
      <c r="E635" s="2">
        <v>1</v>
      </c>
      <c r="F635" s="2" t="s">
        <v>4</v>
      </c>
      <c r="G635" s="2">
        <v>225.19999999985899</v>
      </c>
      <c r="H635" s="2" t="s">
        <v>16</v>
      </c>
      <c r="I635" s="2">
        <v>107898.00000003399</v>
      </c>
      <c r="J635" s="2">
        <v>2000</v>
      </c>
      <c r="K635" s="2">
        <v>300</v>
      </c>
      <c r="L635" s="2">
        <v>0</v>
      </c>
      <c r="M635" s="2">
        <v>735387.61</v>
      </c>
      <c r="N635" s="2">
        <f t="shared" si="11"/>
        <v>843510.81000003382</v>
      </c>
      <c r="O635" s="9" t="s">
        <v>5</v>
      </c>
    </row>
    <row r="636" spans="1:15" x14ac:dyDescent="0.2">
      <c r="A636">
        <v>14</v>
      </c>
      <c r="B636">
        <v>4</v>
      </c>
      <c r="C636" s="2">
        <v>4</v>
      </c>
      <c r="D636" s="2">
        <v>2</v>
      </c>
      <c r="E636" s="2">
        <v>2</v>
      </c>
      <c r="F636" s="2" t="s">
        <v>4</v>
      </c>
      <c r="G636" s="2">
        <v>285.80000000033601</v>
      </c>
      <c r="H636" s="2" t="s">
        <v>16</v>
      </c>
      <c r="I636" s="2">
        <v>234233.999999958</v>
      </c>
      <c r="J636" s="2">
        <v>2000</v>
      </c>
      <c r="K636" s="2">
        <v>300</v>
      </c>
      <c r="L636" s="2">
        <v>0</v>
      </c>
      <c r="M636" s="2">
        <v>775228.41</v>
      </c>
      <c r="N636" s="2">
        <f t="shared" si="11"/>
        <v>1009748.2099999583</v>
      </c>
      <c r="O636" s="9" t="s">
        <v>4</v>
      </c>
    </row>
    <row r="637" spans="1:15" x14ac:dyDescent="0.2">
      <c r="A637">
        <v>15</v>
      </c>
      <c r="B637">
        <v>4</v>
      </c>
      <c r="C637" s="2">
        <v>4</v>
      </c>
      <c r="D637" s="2">
        <v>2</v>
      </c>
      <c r="E637" s="2">
        <v>3</v>
      </c>
      <c r="F637" s="2" t="s">
        <v>4</v>
      </c>
      <c r="G637" s="2">
        <v>273.80000000007999</v>
      </c>
      <c r="H637" s="2" t="s">
        <v>16</v>
      </c>
      <c r="I637" s="2">
        <v>299454.00000002602</v>
      </c>
      <c r="J637" s="2">
        <v>2000</v>
      </c>
      <c r="K637" s="2">
        <v>300</v>
      </c>
      <c r="L637" s="2">
        <v>0</v>
      </c>
      <c r="M637" s="2">
        <v>803067.21</v>
      </c>
      <c r="N637" s="2">
        <f t="shared" si="11"/>
        <v>1102795.0100000261</v>
      </c>
      <c r="O637" s="9" t="s">
        <v>4</v>
      </c>
    </row>
    <row r="638" spans="1:15" x14ac:dyDescent="0.2">
      <c r="A638">
        <v>16</v>
      </c>
      <c r="B638">
        <v>4</v>
      </c>
      <c r="C638" s="2">
        <v>4</v>
      </c>
      <c r="D638" s="2">
        <v>3</v>
      </c>
      <c r="E638" s="2">
        <v>1</v>
      </c>
      <c r="F638" s="2" t="s">
        <v>4</v>
      </c>
      <c r="G638" s="2">
        <v>261.80000000017901</v>
      </c>
      <c r="H638" s="2" t="s">
        <v>16</v>
      </c>
      <c r="I638" s="2">
        <v>168532.00000002701</v>
      </c>
      <c r="J638" s="2">
        <v>2000</v>
      </c>
      <c r="K638" s="2">
        <v>300</v>
      </c>
      <c r="L638" s="2">
        <v>0</v>
      </c>
      <c r="M638" s="2">
        <v>750827.21</v>
      </c>
      <c r="N638" s="2">
        <f t="shared" si="11"/>
        <v>919621.01000002713</v>
      </c>
      <c r="O638" s="9" t="s">
        <v>4</v>
      </c>
    </row>
    <row r="639" spans="1:15" x14ac:dyDescent="0.2">
      <c r="A639">
        <v>17</v>
      </c>
      <c r="B639">
        <v>4</v>
      </c>
      <c r="C639" s="2">
        <v>4</v>
      </c>
      <c r="D639" s="2">
        <v>3</v>
      </c>
      <c r="E639" s="2">
        <v>2</v>
      </c>
      <c r="F639" s="2" t="s">
        <v>4</v>
      </c>
      <c r="G639" s="2">
        <v>255.000000001004</v>
      </c>
      <c r="H639" s="2" t="s">
        <v>16</v>
      </c>
      <c r="I639" s="2">
        <v>125322.00000004</v>
      </c>
      <c r="J639" s="2">
        <v>2000</v>
      </c>
      <c r="K639" s="2">
        <v>300</v>
      </c>
      <c r="L639" s="2">
        <v>0</v>
      </c>
      <c r="M639" s="2">
        <v>750027.21</v>
      </c>
      <c r="N639" s="2">
        <f t="shared" si="11"/>
        <v>875604.21000004106</v>
      </c>
      <c r="O639" s="9" t="s">
        <v>4</v>
      </c>
    </row>
    <row r="640" spans="1:15" x14ac:dyDescent="0.2">
      <c r="A640">
        <v>18</v>
      </c>
      <c r="B640">
        <v>4</v>
      </c>
      <c r="C640" s="2">
        <v>4</v>
      </c>
      <c r="D640" s="2">
        <v>3</v>
      </c>
      <c r="E640" s="2">
        <v>3</v>
      </c>
      <c r="F640" s="2" t="s">
        <v>4</v>
      </c>
      <c r="G640" s="2">
        <v>307.79999999950297</v>
      </c>
      <c r="H640" s="2" t="s">
        <v>16</v>
      </c>
      <c r="I640" s="2">
        <v>445655.99999998498</v>
      </c>
      <c r="J640" s="2">
        <v>2000</v>
      </c>
      <c r="K640" s="2">
        <v>300</v>
      </c>
      <c r="L640" s="2">
        <v>0</v>
      </c>
      <c r="M640" s="2">
        <v>750586.41</v>
      </c>
      <c r="N640" s="2">
        <f t="shared" si="11"/>
        <v>1196550.2099999846</v>
      </c>
      <c r="O640" s="9" t="s">
        <v>4</v>
      </c>
    </row>
    <row r="641" spans="1:15" x14ac:dyDescent="0.2">
      <c r="A641">
        <v>19</v>
      </c>
      <c r="B641">
        <v>4</v>
      </c>
      <c r="C641" s="2">
        <v>5</v>
      </c>
      <c r="D641" s="2">
        <v>2</v>
      </c>
      <c r="E641" s="2">
        <v>1</v>
      </c>
      <c r="F641" s="2" t="s">
        <v>4</v>
      </c>
      <c r="G641" s="2">
        <v>241.399999999459</v>
      </c>
      <c r="H641" s="2" t="s">
        <v>16</v>
      </c>
      <c r="I641" s="2">
        <v>86420.000000032407</v>
      </c>
      <c r="J641" s="2">
        <v>2000</v>
      </c>
      <c r="K641" s="2">
        <v>300</v>
      </c>
      <c r="L641" s="2">
        <v>0</v>
      </c>
      <c r="M641" s="2">
        <v>785547.21</v>
      </c>
      <c r="N641" s="2">
        <f t="shared" si="11"/>
        <v>872208.61000003177</v>
      </c>
      <c r="O641" s="9" t="s">
        <v>5</v>
      </c>
    </row>
    <row r="642" spans="1:15" x14ac:dyDescent="0.2">
      <c r="A642">
        <v>20</v>
      </c>
      <c r="B642">
        <v>4</v>
      </c>
      <c r="C642" s="2">
        <v>5</v>
      </c>
      <c r="D642" s="2">
        <v>2</v>
      </c>
      <c r="E642" s="2">
        <v>2</v>
      </c>
      <c r="F642" s="2" t="s">
        <v>4</v>
      </c>
      <c r="G642" s="2">
        <v>301.59999999952402</v>
      </c>
      <c r="H642" s="2" t="s">
        <v>16</v>
      </c>
      <c r="I642" s="2">
        <v>298383.99999999901</v>
      </c>
      <c r="J642" s="2">
        <v>2000</v>
      </c>
      <c r="K642" s="2">
        <v>300</v>
      </c>
      <c r="L642" s="2">
        <v>0</v>
      </c>
      <c r="M642" s="2">
        <v>774507.61</v>
      </c>
      <c r="N642" s="2">
        <f t="shared" si="11"/>
        <v>1073193.2099999986</v>
      </c>
      <c r="O642" s="9" t="s">
        <v>4</v>
      </c>
    </row>
    <row r="643" spans="1:15" x14ac:dyDescent="0.2">
      <c r="A643">
        <v>21</v>
      </c>
      <c r="B643">
        <v>4</v>
      </c>
      <c r="C643" s="2">
        <v>5</v>
      </c>
      <c r="D643" s="2">
        <v>2</v>
      </c>
      <c r="E643" s="2">
        <v>3</v>
      </c>
      <c r="F643" s="2" t="s">
        <v>4</v>
      </c>
      <c r="G643" s="2">
        <v>295.000000000201</v>
      </c>
      <c r="H643" s="2" t="s">
        <v>16</v>
      </c>
      <c r="I643" s="2">
        <v>248884.99999997299</v>
      </c>
      <c r="J643" s="2">
        <v>2000</v>
      </c>
      <c r="K643" s="2">
        <v>300</v>
      </c>
      <c r="L643" s="2">
        <v>0</v>
      </c>
      <c r="M643" s="2">
        <v>747066.41</v>
      </c>
      <c r="N643" s="2">
        <f t="shared" si="11"/>
        <v>996246.40999997326</v>
      </c>
      <c r="O643" s="9" t="s">
        <v>4</v>
      </c>
    </row>
    <row r="644" spans="1:15" x14ac:dyDescent="0.2">
      <c r="A644">
        <v>22</v>
      </c>
      <c r="B644">
        <v>4</v>
      </c>
      <c r="C644" s="2">
        <v>5</v>
      </c>
      <c r="D644" s="2">
        <v>3</v>
      </c>
      <c r="E644" s="2">
        <v>1</v>
      </c>
      <c r="F644" s="2" t="s">
        <v>4</v>
      </c>
      <c r="G644" s="2">
        <v>284.20000000011203</v>
      </c>
      <c r="H644" s="2" t="s">
        <v>16</v>
      </c>
      <c r="I644" s="2">
        <v>193147.00000001001</v>
      </c>
      <c r="J644" s="2">
        <v>2000</v>
      </c>
      <c r="K644" s="2">
        <v>300</v>
      </c>
      <c r="L644" s="2">
        <v>0</v>
      </c>
      <c r="M644" s="2">
        <v>810507.61</v>
      </c>
      <c r="N644" s="2">
        <f t="shared" si="11"/>
        <v>1003938.8100000101</v>
      </c>
      <c r="O644" s="9" t="s">
        <v>4</v>
      </c>
    </row>
    <row r="645" spans="1:15" x14ac:dyDescent="0.2">
      <c r="A645">
        <v>23</v>
      </c>
      <c r="B645">
        <v>4</v>
      </c>
      <c r="C645" s="2">
        <v>5</v>
      </c>
      <c r="D645" s="2">
        <v>3</v>
      </c>
      <c r="E645" s="2">
        <v>2</v>
      </c>
      <c r="F645" s="2" t="s">
        <v>4</v>
      </c>
      <c r="G645" s="2">
        <v>292.800000000426</v>
      </c>
      <c r="H645" s="2" t="s">
        <v>16</v>
      </c>
      <c r="I645" s="2">
        <v>373690.000000011</v>
      </c>
      <c r="J645" s="2">
        <v>2000</v>
      </c>
      <c r="K645" s="2">
        <v>300</v>
      </c>
      <c r="L645" s="2">
        <v>0</v>
      </c>
      <c r="M645" s="2">
        <v>751226.81</v>
      </c>
      <c r="N645" s="2">
        <f t="shared" si="11"/>
        <v>1125209.6100000115</v>
      </c>
      <c r="O645" s="9" t="s">
        <v>4</v>
      </c>
    </row>
    <row r="646" spans="1:15" x14ac:dyDescent="0.2">
      <c r="A646">
        <v>24</v>
      </c>
      <c r="B646">
        <v>4</v>
      </c>
      <c r="C646" s="2">
        <v>5</v>
      </c>
      <c r="D646" s="2">
        <v>3</v>
      </c>
      <c r="E646" s="2">
        <v>3</v>
      </c>
      <c r="F646" s="2" t="s">
        <v>4</v>
      </c>
      <c r="G646" s="2">
        <v>352.60000000043601</v>
      </c>
      <c r="H646" s="2" t="s">
        <v>16</v>
      </c>
      <c r="I646" s="2">
        <v>513671.00000004499</v>
      </c>
      <c r="J646" s="2">
        <v>2000</v>
      </c>
      <c r="K646" s="2">
        <v>300</v>
      </c>
      <c r="L646" s="2">
        <v>0</v>
      </c>
      <c r="M646" s="2">
        <v>789787.21</v>
      </c>
      <c r="N646" s="2">
        <f t="shared" si="11"/>
        <v>1303810.8100000455</v>
      </c>
      <c r="O646" s="9" t="s">
        <v>4</v>
      </c>
    </row>
    <row r="647" spans="1:15" x14ac:dyDescent="0.2">
      <c r="A647">
        <v>25</v>
      </c>
      <c r="B647">
        <v>4</v>
      </c>
      <c r="C647" s="2">
        <v>6</v>
      </c>
      <c r="D647" s="2">
        <v>3</v>
      </c>
      <c r="E647" s="2">
        <v>1</v>
      </c>
      <c r="F647" s="2" t="s">
        <v>4</v>
      </c>
      <c r="G647" s="2">
        <v>315.00000000015399</v>
      </c>
      <c r="H647" s="2" t="s">
        <v>16</v>
      </c>
      <c r="I647" s="2">
        <v>392347.00000002899</v>
      </c>
      <c r="J647" s="2">
        <v>2000</v>
      </c>
      <c r="K647" s="2">
        <v>300</v>
      </c>
      <c r="L647" s="2">
        <v>0</v>
      </c>
      <c r="M647" s="2">
        <v>803787.61</v>
      </c>
      <c r="N647" s="2">
        <f t="shared" si="11"/>
        <v>1196449.6100000292</v>
      </c>
      <c r="O647" s="9" t="s">
        <v>4</v>
      </c>
    </row>
    <row r="648" spans="1:15" x14ac:dyDescent="0.2">
      <c r="A648">
        <v>26</v>
      </c>
      <c r="B648">
        <v>4</v>
      </c>
      <c r="C648" s="2">
        <v>6</v>
      </c>
      <c r="D648" s="2">
        <v>3</v>
      </c>
      <c r="E648" s="2">
        <v>2</v>
      </c>
      <c r="F648" s="2" t="s">
        <v>4</v>
      </c>
      <c r="G648" s="2">
        <v>324.400000000224</v>
      </c>
      <c r="H648" s="2" t="s">
        <v>16</v>
      </c>
      <c r="I648" s="2">
        <v>725330.999999983</v>
      </c>
      <c r="J648" s="2">
        <v>2000</v>
      </c>
      <c r="K648" s="2">
        <v>300</v>
      </c>
      <c r="L648" s="2">
        <v>0</v>
      </c>
      <c r="M648" s="2">
        <v>748827.61</v>
      </c>
      <c r="N648" s="2">
        <f t="shared" si="11"/>
        <v>1474483.0099999832</v>
      </c>
      <c r="O648" s="9" t="s">
        <v>4</v>
      </c>
    </row>
    <row r="649" spans="1:15" x14ac:dyDescent="0.2">
      <c r="A649">
        <v>27</v>
      </c>
      <c r="B649">
        <v>4</v>
      </c>
      <c r="C649" s="2">
        <v>6</v>
      </c>
      <c r="D649" s="2">
        <v>3</v>
      </c>
      <c r="E649" s="2">
        <v>3</v>
      </c>
      <c r="F649" s="2" t="s">
        <v>4</v>
      </c>
      <c r="G649" s="2">
        <v>408.40000000024202</v>
      </c>
      <c r="H649" s="2" t="s">
        <v>16</v>
      </c>
      <c r="I649" s="2">
        <v>531781.00000002398</v>
      </c>
      <c r="J649" s="2">
        <v>2000</v>
      </c>
      <c r="K649" s="2">
        <v>300</v>
      </c>
      <c r="L649" s="2">
        <v>0</v>
      </c>
      <c r="M649" s="2">
        <v>750426.81</v>
      </c>
      <c r="N649" s="2">
        <f t="shared" ref="N649:N676" si="12">G649+M649+I649</f>
        <v>1282616.2100000242</v>
      </c>
      <c r="O649" s="9" t="s">
        <v>4</v>
      </c>
    </row>
    <row r="650" spans="1:15" x14ac:dyDescent="0.2">
      <c r="A650">
        <v>1</v>
      </c>
      <c r="B650">
        <v>4</v>
      </c>
      <c r="C650" s="2">
        <v>3</v>
      </c>
      <c r="D650" s="2">
        <v>2</v>
      </c>
      <c r="E650" s="2">
        <v>1</v>
      </c>
      <c r="F650" s="2" t="s">
        <v>4</v>
      </c>
      <c r="G650" s="2">
        <v>686.60000000022603</v>
      </c>
      <c r="H650" s="2" t="s">
        <v>16</v>
      </c>
      <c r="I650" s="2">
        <v>41551.999999967396</v>
      </c>
      <c r="J650" s="2">
        <v>1000</v>
      </c>
      <c r="K650" s="2">
        <v>700</v>
      </c>
      <c r="L650" s="2">
        <v>0</v>
      </c>
      <c r="M650" s="2">
        <v>781587.21</v>
      </c>
      <c r="N650" s="2">
        <f t="shared" si="12"/>
        <v>823825.80999996758</v>
      </c>
      <c r="O650" s="9" t="s">
        <v>5</v>
      </c>
    </row>
    <row r="651" spans="1:15" x14ac:dyDescent="0.2">
      <c r="A651">
        <v>2</v>
      </c>
      <c r="B651">
        <v>4</v>
      </c>
      <c r="C651" s="2">
        <v>3</v>
      </c>
      <c r="D651" s="2">
        <v>2</v>
      </c>
      <c r="E651" s="2">
        <v>2</v>
      </c>
      <c r="F651" s="2" t="s">
        <v>4</v>
      </c>
      <c r="G651" s="2">
        <v>595.39999999991301</v>
      </c>
      <c r="H651" s="2" t="s">
        <v>16</v>
      </c>
      <c r="I651" s="2">
        <v>274612.00000004697</v>
      </c>
      <c r="J651" s="2">
        <v>1000</v>
      </c>
      <c r="K651" s="2">
        <v>700</v>
      </c>
      <c r="L651" s="2">
        <v>0</v>
      </c>
      <c r="M651" s="2">
        <v>782707.21</v>
      </c>
      <c r="N651" s="2">
        <f t="shared" si="12"/>
        <v>1057914.6100000469</v>
      </c>
      <c r="O651" s="9" t="s">
        <v>5</v>
      </c>
    </row>
    <row r="652" spans="1:15" x14ac:dyDescent="0.2">
      <c r="A652">
        <v>3</v>
      </c>
      <c r="B652">
        <v>4</v>
      </c>
      <c r="C652" s="2">
        <v>3</v>
      </c>
      <c r="D652" s="2">
        <v>2</v>
      </c>
      <c r="E652" s="2">
        <v>3</v>
      </c>
      <c r="F652" s="2" t="s">
        <v>4</v>
      </c>
      <c r="G652" s="2">
        <v>510.39999999993302</v>
      </c>
      <c r="H652" s="2" t="s">
        <v>16</v>
      </c>
      <c r="I652" s="2">
        <v>107829.999999979</v>
      </c>
      <c r="J652" s="2">
        <v>1000</v>
      </c>
      <c r="K652" s="2">
        <v>700</v>
      </c>
      <c r="L652" s="2">
        <v>0</v>
      </c>
      <c r="M652" s="2">
        <v>794907.21</v>
      </c>
      <c r="N652" s="2">
        <f t="shared" si="12"/>
        <v>903247.60999997891</v>
      </c>
      <c r="O652" s="9" t="s">
        <v>5</v>
      </c>
    </row>
    <row r="653" spans="1:15" x14ac:dyDescent="0.2">
      <c r="A653">
        <v>4</v>
      </c>
      <c r="B653">
        <v>4</v>
      </c>
      <c r="C653" s="2">
        <v>3</v>
      </c>
      <c r="D653" s="2">
        <v>3</v>
      </c>
      <c r="E653" s="2">
        <v>1</v>
      </c>
      <c r="F653" s="2" t="s">
        <v>4</v>
      </c>
      <c r="G653" s="2">
        <v>455.79999999958397</v>
      </c>
      <c r="H653" s="2" t="s">
        <v>16</v>
      </c>
      <c r="I653" s="2">
        <v>73137.000000031097</v>
      </c>
      <c r="J653" s="2">
        <v>1000</v>
      </c>
      <c r="K653" s="2">
        <v>700</v>
      </c>
      <c r="L653" s="2">
        <v>0</v>
      </c>
      <c r="M653" s="2">
        <v>782627.61</v>
      </c>
      <c r="N653" s="2">
        <f t="shared" si="12"/>
        <v>856220.41000003065</v>
      </c>
      <c r="O653" s="9" t="s">
        <v>5</v>
      </c>
    </row>
    <row r="654" spans="1:15" x14ac:dyDescent="0.2">
      <c r="A654">
        <v>5</v>
      </c>
      <c r="B654">
        <v>4</v>
      </c>
      <c r="C654" s="2">
        <v>3</v>
      </c>
      <c r="D654" s="2">
        <v>3</v>
      </c>
      <c r="E654" s="2">
        <v>2</v>
      </c>
      <c r="F654" s="2" t="s">
        <v>4</v>
      </c>
      <c r="G654" s="2">
        <v>514.60000000034302</v>
      </c>
      <c r="H654" s="2" t="s">
        <v>16</v>
      </c>
      <c r="I654" s="2">
        <v>86206.000000004206</v>
      </c>
      <c r="J654" s="2">
        <v>1000</v>
      </c>
      <c r="K654" s="2">
        <v>700</v>
      </c>
      <c r="L654" s="2">
        <v>0</v>
      </c>
      <c r="M654" s="2">
        <v>777267.21</v>
      </c>
      <c r="N654" s="2">
        <f t="shared" si="12"/>
        <v>863987.81000000448</v>
      </c>
      <c r="O654" s="9" t="s">
        <v>4</v>
      </c>
    </row>
    <row r="655" spans="1:15" x14ac:dyDescent="0.2">
      <c r="A655">
        <v>6</v>
      </c>
      <c r="B655">
        <v>4</v>
      </c>
      <c r="C655" s="2">
        <v>3</v>
      </c>
      <c r="D655" s="2">
        <v>3</v>
      </c>
      <c r="E655" s="2">
        <v>3</v>
      </c>
      <c r="F655" s="2" t="s">
        <v>4</v>
      </c>
      <c r="G655" s="2">
        <v>535.59999999990305</v>
      </c>
      <c r="H655" s="2" t="s">
        <v>16</v>
      </c>
      <c r="I655" s="2">
        <v>206090.000000017</v>
      </c>
      <c r="J655" s="2">
        <v>1000</v>
      </c>
      <c r="K655" s="2">
        <v>700</v>
      </c>
      <c r="L655" s="2">
        <v>0</v>
      </c>
      <c r="M655" s="2">
        <v>779947.21</v>
      </c>
      <c r="N655" s="2">
        <f t="shared" si="12"/>
        <v>986572.81000001682</v>
      </c>
      <c r="O655" s="9" t="s">
        <v>4</v>
      </c>
    </row>
    <row r="656" spans="1:15" x14ac:dyDescent="0.2">
      <c r="A656">
        <v>7</v>
      </c>
      <c r="B656">
        <v>4</v>
      </c>
      <c r="C656" s="2">
        <v>4</v>
      </c>
      <c r="D656" s="2">
        <v>2</v>
      </c>
      <c r="E656" s="2">
        <v>1</v>
      </c>
      <c r="F656" s="2" t="s">
        <v>4</v>
      </c>
      <c r="G656" s="2">
        <v>354.799999999855</v>
      </c>
      <c r="H656" s="2" t="s">
        <v>16</v>
      </c>
      <c r="I656" s="2">
        <v>56281.000000012697</v>
      </c>
      <c r="J656" s="2">
        <v>1000</v>
      </c>
      <c r="K656" s="2">
        <v>700</v>
      </c>
      <c r="L656" s="2">
        <v>0</v>
      </c>
      <c r="M656" s="2">
        <v>801987.21</v>
      </c>
      <c r="N656" s="2">
        <f t="shared" si="12"/>
        <v>858623.01000001247</v>
      </c>
      <c r="O656" s="9" t="s">
        <v>5</v>
      </c>
    </row>
    <row r="657" spans="1:15" x14ac:dyDescent="0.2">
      <c r="A657">
        <v>8</v>
      </c>
      <c r="B657">
        <v>4</v>
      </c>
      <c r="C657" s="2">
        <v>4</v>
      </c>
      <c r="D657" s="2">
        <v>2</v>
      </c>
      <c r="E657" s="2">
        <v>2</v>
      </c>
      <c r="F657" s="2" t="s">
        <v>4</v>
      </c>
      <c r="G657" s="2">
        <v>408.79999999958699</v>
      </c>
      <c r="H657" s="2" t="s">
        <v>16</v>
      </c>
      <c r="I657" s="2">
        <v>241269.00000004499</v>
      </c>
      <c r="J657" s="2">
        <v>1000</v>
      </c>
      <c r="K657" s="2">
        <v>700</v>
      </c>
      <c r="L657" s="2">
        <v>0</v>
      </c>
      <c r="M657" s="2">
        <v>795467.61</v>
      </c>
      <c r="N657" s="2">
        <f t="shared" si="12"/>
        <v>1037145.4100000446</v>
      </c>
      <c r="O657" s="9" t="s">
        <v>4</v>
      </c>
    </row>
    <row r="658" spans="1:15" x14ac:dyDescent="0.2">
      <c r="A658">
        <v>9</v>
      </c>
      <c r="B658">
        <v>4</v>
      </c>
      <c r="C658" s="2">
        <v>4</v>
      </c>
      <c r="D658" s="2">
        <v>2</v>
      </c>
      <c r="E658" s="2">
        <v>3</v>
      </c>
      <c r="F658" s="2" t="s">
        <v>4</v>
      </c>
      <c r="G658" s="2">
        <v>315.400000000565</v>
      </c>
      <c r="H658" s="2" t="s">
        <v>16</v>
      </c>
      <c r="I658" s="2">
        <v>186287.99999998999</v>
      </c>
      <c r="J658" s="2">
        <v>1000</v>
      </c>
      <c r="K658" s="2">
        <v>700</v>
      </c>
      <c r="L658" s="2">
        <v>0</v>
      </c>
      <c r="M658" s="2">
        <v>812787.21</v>
      </c>
      <c r="N658" s="2">
        <f t="shared" si="12"/>
        <v>999390.60999999056</v>
      </c>
      <c r="O658" s="9" t="s">
        <v>4</v>
      </c>
    </row>
    <row r="659" spans="1:15" x14ac:dyDescent="0.2">
      <c r="A659">
        <v>10</v>
      </c>
      <c r="B659">
        <v>4</v>
      </c>
      <c r="C659" s="2">
        <v>4</v>
      </c>
      <c r="D659" s="2">
        <v>3</v>
      </c>
      <c r="E659" s="2">
        <v>1</v>
      </c>
      <c r="F659" s="2" t="s">
        <v>4</v>
      </c>
      <c r="G659" s="2">
        <v>303.20000000010299</v>
      </c>
      <c r="H659" s="2" t="s">
        <v>16</v>
      </c>
      <c r="I659" s="2">
        <v>234249.999999975</v>
      </c>
      <c r="J659" s="2">
        <v>1000</v>
      </c>
      <c r="K659" s="2">
        <v>700</v>
      </c>
      <c r="L659" s="2">
        <v>0</v>
      </c>
      <c r="M659" s="2">
        <v>804027.61</v>
      </c>
      <c r="N659" s="2">
        <f t="shared" si="12"/>
        <v>1038580.809999975</v>
      </c>
      <c r="O659" s="9" t="s">
        <v>4</v>
      </c>
    </row>
    <row r="660" spans="1:15" x14ac:dyDescent="0.2">
      <c r="A660">
        <v>11</v>
      </c>
      <c r="B660">
        <v>4</v>
      </c>
      <c r="C660" s="2">
        <v>4</v>
      </c>
      <c r="D660" s="2">
        <v>3</v>
      </c>
      <c r="E660" s="2">
        <v>2</v>
      </c>
      <c r="F660" s="2" t="s">
        <v>4</v>
      </c>
      <c r="G660" s="2">
        <v>291.60000000025798</v>
      </c>
      <c r="H660" s="2" t="s">
        <v>16</v>
      </c>
      <c r="I660" s="2">
        <v>264225.00000001001</v>
      </c>
      <c r="J660" s="2">
        <v>1000</v>
      </c>
      <c r="K660" s="2">
        <v>700</v>
      </c>
      <c r="L660" s="2">
        <v>0</v>
      </c>
      <c r="M660" s="2">
        <v>810507.21</v>
      </c>
      <c r="N660" s="2">
        <f t="shared" si="12"/>
        <v>1075023.8100000103</v>
      </c>
      <c r="O660" s="9" t="s">
        <v>4</v>
      </c>
    </row>
    <row r="661" spans="1:15" x14ac:dyDescent="0.2">
      <c r="A661">
        <v>12</v>
      </c>
      <c r="B661">
        <v>4</v>
      </c>
      <c r="C661" s="2">
        <v>4</v>
      </c>
      <c r="D661" s="2">
        <v>3</v>
      </c>
      <c r="E661" s="2">
        <v>3</v>
      </c>
      <c r="F661" s="2" t="s">
        <v>4</v>
      </c>
      <c r="G661" s="2">
        <v>339.79999999971301</v>
      </c>
      <c r="H661" s="2" t="s">
        <v>16</v>
      </c>
      <c r="I661" s="2">
        <v>238984.00000001601</v>
      </c>
      <c r="J661" s="2">
        <v>1000</v>
      </c>
      <c r="K661" s="2">
        <v>700</v>
      </c>
      <c r="L661" s="2">
        <v>0</v>
      </c>
      <c r="M661" s="2">
        <v>817627.61</v>
      </c>
      <c r="N661" s="2">
        <f t="shared" si="12"/>
        <v>1056951.4100000157</v>
      </c>
      <c r="O661" s="9" t="s">
        <v>4</v>
      </c>
    </row>
    <row r="662" spans="1:15" x14ac:dyDescent="0.2">
      <c r="A662">
        <v>13</v>
      </c>
      <c r="B662">
        <v>4</v>
      </c>
      <c r="C662" s="2">
        <v>4</v>
      </c>
      <c r="D662" s="2">
        <v>2</v>
      </c>
      <c r="E662" s="2">
        <v>1</v>
      </c>
      <c r="F662" s="2" t="s">
        <v>4</v>
      </c>
      <c r="G662" s="2">
        <v>225.19999999985899</v>
      </c>
      <c r="H662" s="2" t="s">
        <v>16</v>
      </c>
      <c r="I662" s="2">
        <v>107898.00000003399</v>
      </c>
      <c r="J662" s="2">
        <v>1000</v>
      </c>
      <c r="K662" s="2">
        <v>700</v>
      </c>
      <c r="L662" s="2">
        <v>0</v>
      </c>
      <c r="M662" s="2">
        <v>777307.61</v>
      </c>
      <c r="N662" s="2">
        <f t="shared" si="12"/>
        <v>885430.81000003382</v>
      </c>
      <c r="O662" s="9" t="s">
        <v>5</v>
      </c>
    </row>
    <row r="663" spans="1:15" x14ac:dyDescent="0.2">
      <c r="A663">
        <v>14</v>
      </c>
      <c r="B663">
        <v>4</v>
      </c>
      <c r="C663" s="2">
        <v>4</v>
      </c>
      <c r="D663" s="2">
        <v>2</v>
      </c>
      <c r="E663" s="2">
        <v>2</v>
      </c>
      <c r="F663" s="2" t="s">
        <v>4</v>
      </c>
      <c r="G663" s="2">
        <v>285.80000000033601</v>
      </c>
      <c r="H663" s="2" t="s">
        <v>16</v>
      </c>
      <c r="I663" s="2">
        <v>234233.999999958</v>
      </c>
      <c r="J663" s="2">
        <v>1000</v>
      </c>
      <c r="K663" s="2">
        <v>700</v>
      </c>
      <c r="L663" s="2">
        <v>0</v>
      </c>
      <c r="M663" s="2">
        <v>797228.41</v>
      </c>
      <c r="N663" s="2">
        <f t="shared" si="12"/>
        <v>1031748.2099999583</v>
      </c>
      <c r="O663" s="9" t="s">
        <v>4</v>
      </c>
    </row>
    <row r="664" spans="1:15" x14ac:dyDescent="0.2">
      <c r="A664">
        <v>15</v>
      </c>
      <c r="B664">
        <v>4</v>
      </c>
      <c r="C664" s="2">
        <v>4</v>
      </c>
      <c r="D664" s="2">
        <v>2</v>
      </c>
      <c r="E664" s="2">
        <v>3</v>
      </c>
      <c r="F664" s="2" t="s">
        <v>4</v>
      </c>
      <c r="G664" s="2">
        <v>273.80000000007999</v>
      </c>
      <c r="H664" s="2" t="s">
        <v>16</v>
      </c>
      <c r="I664" s="2">
        <v>299454.00000002602</v>
      </c>
      <c r="J664" s="2">
        <v>1000</v>
      </c>
      <c r="K664" s="2">
        <v>700</v>
      </c>
      <c r="L664" s="2">
        <v>0</v>
      </c>
      <c r="M664" s="2">
        <v>811147.21</v>
      </c>
      <c r="N664" s="2">
        <f t="shared" si="12"/>
        <v>1110875.0100000261</v>
      </c>
      <c r="O664" s="9" t="s">
        <v>4</v>
      </c>
    </row>
    <row r="665" spans="1:15" x14ac:dyDescent="0.2">
      <c r="A665">
        <v>16</v>
      </c>
      <c r="B665">
        <v>4</v>
      </c>
      <c r="C665" s="2">
        <v>4</v>
      </c>
      <c r="D665" s="2">
        <v>3</v>
      </c>
      <c r="E665" s="2">
        <v>1</v>
      </c>
      <c r="F665" s="2" t="s">
        <v>4</v>
      </c>
      <c r="G665" s="2">
        <v>261.80000000017901</v>
      </c>
      <c r="H665" s="2" t="s">
        <v>16</v>
      </c>
      <c r="I665" s="2">
        <v>168532.00000002701</v>
      </c>
      <c r="J665" s="2">
        <v>1000</v>
      </c>
      <c r="K665" s="2">
        <v>700</v>
      </c>
      <c r="L665" s="2">
        <v>0</v>
      </c>
      <c r="M665" s="2">
        <v>785027.21</v>
      </c>
      <c r="N665" s="2">
        <f t="shared" si="12"/>
        <v>953821.01000002713</v>
      </c>
      <c r="O665" s="9" t="s">
        <v>4</v>
      </c>
    </row>
    <row r="666" spans="1:15" x14ac:dyDescent="0.2">
      <c r="A666">
        <v>17</v>
      </c>
      <c r="B666">
        <v>4</v>
      </c>
      <c r="C666" s="2">
        <v>4</v>
      </c>
      <c r="D666" s="2">
        <v>3</v>
      </c>
      <c r="E666" s="2">
        <v>2</v>
      </c>
      <c r="F666" s="2" t="s">
        <v>4</v>
      </c>
      <c r="G666" s="2">
        <v>255.000000001004</v>
      </c>
      <c r="H666" s="2" t="s">
        <v>16</v>
      </c>
      <c r="I666" s="2">
        <v>125322.00000004</v>
      </c>
      <c r="J666" s="2">
        <v>1000</v>
      </c>
      <c r="K666" s="2">
        <v>700</v>
      </c>
      <c r="L666" s="2">
        <v>0</v>
      </c>
      <c r="M666" s="2">
        <v>784627.21</v>
      </c>
      <c r="N666" s="2">
        <f t="shared" si="12"/>
        <v>910204.21000004106</v>
      </c>
      <c r="O666" s="9" t="s">
        <v>4</v>
      </c>
    </row>
    <row r="667" spans="1:15" x14ac:dyDescent="0.2">
      <c r="A667">
        <v>18</v>
      </c>
      <c r="B667">
        <v>4</v>
      </c>
      <c r="C667" s="2">
        <v>4</v>
      </c>
      <c r="D667" s="2">
        <v>3</v>
      </c>
      <c r="E667" s="2">
        <v>3</v>
      </c>
      <c r="F667" s="2" t="s">
        <v>4</v>
      </c>
      <c r="G667" s="2">
        <v>307.79999999950297</v>
      </c>
      <c r="H667" s="2" t="s">
        <v>16</v>
      </c>
      <c r="I667" s="2">
        <v>445655.99999998498</v>
      </c>
      <c r="J667" s="2">
        <v>1000</v>
      </c>
      <c r="K667" s="2">
        <v>700</v>
      </c>
      <c r="L667" s="2">
        <v>0</v>
      </c>
      <c r="M667" s="2">
        <v>784906.41</v>
      </c>
      <c r="N667" s="2">
        <f t="shared" si="12"/>
        <v>1230870.2099999846</v>
      </c>
      <c r="O667" s="9" t="s">
        <v>4</v>
      </c>
    </row>
    <row r="668" spans="1:15" x14ac:dyDescent="0.2">
      <c r="A668">
        <v>19</v>
      </c>
      <c r="B668">
        <v>4</v>
      </c>
      <c r="C668" s="2">
        <v>5</v>
      </c>
      <c r="D668" s="2">
        <v>2</v>
      </c>
      <c r="E668" s="2">
        <v>1</v>
      </c>
      <c r="F668" s="2" t="s">
        <v>4</v>
      </c>
      <c r="G668" s="2">
        <v>241.399999999459</v>
      </c>
      <c r="H668" s="2" t="s">
        <v>16</v>
      </c>
      <c r="I668" s="2">
        <v>86420.000000032407</v>
      </c>
      <c r="J668" s="2">
        <v>1000</v>
      </c>
      <c r="K668" s="2">
        <v>700</v>
      </c>
      <c r="L668" s="2">
        <v>0</v>
      </c>
      <c r="M668" s="2">
        <v>802387.21</v>
      </c>
      <c r="N668" s="2">
        <f t="shared" si="12"/>
        <v>889048.61000003177</v>
      </c>
      <c r="O668" s="9" t="s">
        <v>5</v>
      </c>
    </row>
    <row r="669" spans="1:15" x14ac:dyDescent="0.2">
      <c r="A669">
        <v>20</v>
      </c>
      <c r="B669">
        <v>4</v>
      </c>
      <c r="C669" s="2">
        <v>5</v>
      </c>
      <c r="D669" s="2">
        <v>2</v>
      </c>
      <c r="E669" s="2">
        <v>2</v>
      </c>
      <c r="F669" s="2" t="s">
        <v>4</v>
      </c>
      <c r="G669" s="2">
        <v>301.59999999952402</v>
      </c>
      <c r="H669" s="2" t="s">
        <v>16</v>
      </c>
      <c r="I669" s="2">
        <v>298383.99999999901</v>
      </c>
      <c r="J669" s="2">
        <v>1000</v>
      </c>
      <c r="K669" s="2">
        <v>700</v>
      </c>
      <c r="L669" s="2">
        <v>0</v>
      </c>
      <c r="M669" s="2">
        <v>796867.61</v>
      </c>
      <c r="N669" s="2">
        <f t="shared" si="12"/>
        <v>1095553.2099999986</v>
      </c>
      <c r="O669" s="9" t="s">
        <v>4</v>
      </c>
    </row>
    <row r="670" spans="1:15" x14ac:dyDescent="0.2">
      <c r="A670">
        <v>21</v>
      </c>
      <c r="B670">
        <v>4</v>
      </c>
      <c r="C670" s="2">
        <v>5</v>
      </c>
      <c r="D670" s="2">
        <v>2</v>
      </c>
      <c r="E670" s="2">
        <v>3</v>
      </c>
      <c r="F670" s="2" t="s">
        <v>4</v>
      </c>
      <c r="G670" s="2">
        <v>295.000000000201</v>
      </c>
      <c r="H670" s="2" t="s">
        <v>16</v>
      </c>
      <c r="I670" s="2">
        <v>248884.99999997299</v>
      </c>
      <c r="J670" s="2">
        <v>1000</v>
      </c>
      <c r="K670" s="2">
        <v>700</v>
      </c>
      <c r="L670" s="2">
        <v>0</v>
      </c>
      <c r="M670" s="2">
        <v>783146.41</v>
      </c>
      <c r="N670" s="2">
        <f t="shared" si="12"/>
        <v>1032326.4099999733</v>
      </c>
      <c r="O670" s="9" t="s">
        <v>4</v>
      </c>
    </row>
    <row r="671" spans="1:15" x14ac:dyDescent="0.2">
      <c r="A671">
        <v>22</v>
      </c>
      <c r="B671">
        <v>4</v>
      </c>
      <c r="C671" s="2">
        <v>5</v>
      </c>
      <c r="D671" s="2">
        <v>3</v>
      </c>
      <c r="E671" s="2">
        <v>1</v>
      </c>
      <c r="F671" s="2" t="s">
        <v>4</v>
      </c>
      <c r="G671" s="2">
        <v>284.20000000011203</v>
      </c>
      <c r="H671" s="2" t="s">
        <v>16</v>
      </c>
      <c r="I671" s="2">
        <v>193147.00000001001</v>
      </c>
      <c r="J671" s="2">
        <v>1000</v>
      </c>
      <c r="K671" s="2">
        <v>700</v>
      </c>
      <c r="L671" s="2">
        <v>0</v>
      </c>
      <c r="M671" s="2">
        <v>814867.61</v>
      </c>
      <c r="N671" s="2">
        <f t="shared" si="12"/>
        <v>1008298.8100000101</v>
      </c>
      <c r="O671" s="9" t="s">
        <v>5</v>
      </c>
    </row>
    <row r="672" spans="1:15" x14ac:dyDescent="0.2">
      <c r="A672">
        <v>23</v>
      </c>
      <c r="B672">
        <v>4</v>
      </c>
      <c r="C672" s="2">
        <v>5</v>
      </c>
      <c r="D672" s="2">
        <v>3</v>
      </c>
      <c r="E672" s="2">
        <v>2</v>
      </c>
      <c r="F672" s="2" t="s">
        <v>4</v>
      </c>
      <c r="G672" s="2">
        <v>292.800000000426</v>
      </c>
      <c r="H672" s="2" t="s">
        <v>16</v>
      </c>
      <c r="I672" s="2">
        <v>373690.000000011</v>
      </c>
      <c r="J672" s="2">
        <v>1000</v>
      </c>
      <c r="K672" s="2">
        <v>700</v>
      </c>
      <c r="L672" s="2">
        <v>0</v>
      </c>
      <c r="M672" s="2">
        <v>785226.81</v>
      </c>
      <c r="N672" s="2">
        <f t="shared" si="12"/>
        <v>1159209.6100000115</v>
      </c>
      <c r="O672" s="9" t="s">
        <v>4</v>
      </c>
    </row>
    <row r="673" spans="1:15" x14ac:dyDescent="0.2">
      <c r="A673">
        <v>24</v>
      </c>
      <c r="B673">
        <v>4</v>
      </c>
      <c r="C673" s="2">
        <v>5</v>
      </c>
      <c r="D673" s="2">
        <v>3</v>
      </c>
      <c r="E673" s="2">
        <v>3</v>
      </c>
      <c r="F673" s="2" t="s">
        <v>4</v>
      </c>
      <c r="G673" s="2">
        <v>352.60000000043601</v>
      </c>
      <c r="H673" s="2" t="s">
        <v>16</v>
      </c>
      <c r="I673" s="2">
        <v>513671.00000004499</v>
      </c>
      <c r="J673" s="2">
        <v>1000</v>
      </c>
      <c r="K673" s="2">
        <v>700</v>
      </c>
      <c r="L673" s="2">
        <v>0</v>
      </c>
      <c r="M673" s="2">
        <v>804507.21</v>
      </c>
      <c r="N673" s="2">
        <f t="shared" si="12"/>
        <v>1318530.8100000455</v>
      </c>
      <c r="O673" s="9" t="s">
        <v>4</v>
      </c>
    </row>
    <row r="674" spans="1:15" x14ac:dyDescent="0.2">
      <c r="A674">
        <v>25</v>
      </c>
      <c r="B674">
        <v>4</v>
      </c>
      <c r="C674" s="2">
        <v>6</v>
      </c>
      <c r="D674" s="2">
        <v>3</v>
      </c>
      <c r="E674" s="2">
        <v>1</v>
      </c>
      <c r="F674" s="2" t="s">
        <v>4</v>
      </c>
      <c r="G674" s="2">
        <v>315.00000000015399</v>
      </c>
      <c r="H674" s="2" t="s">
        <v>16</v>
      </c>
      <c r="I674" s="2">
        <v>392347.00000002899</v>
      </c>
      <c r="J674" s="2">
        <v>1000</v>
      </c>
      <c r="K674" s="2">
        <v>700</v>
      </c>
      <c r="L674" s="2">
        <v>0</v>
      </c>
      <c r="M674" s="2">
        <v>811507.61</v>
      </c>
      <c r="N674" s="2">
        <f t="shared" si="12"/>
        <v>1204169.6100000292</v>
      </c>
      <c r="O674" s="9" t="s">
        <v>4</v>
      </c>
    </row>
    <row r="675" spans="1:15" x14ac:dyDescent="0.2">
      <c r="A675">
        <v>26</v>
      </c>
      <c r="B675">
        <v>4</v>
      </c>
      <c r="C675" s="2">
        <v>6</v>
      </c>
      <c r="D675" s="2">
        <v>3</v>
      </c>
      <c r="E675" s="2">
        <v>2</v>
      </c>
      <c r="F675" s="2" t="s">
        <v>4</v>
      </c>
      <c r="G675" s="2">
        <v>324.400000000224</v>
      </c>
      <c r="H675" s="2" t="s">
        <v>16</v>
      </c>
      <c r="I675" s="2">
        <v>725330.999999983</v>
      </c>
      <c r="J675" s="2">
        <v>1000</v>
      </c>
      <c r="K675" s="2">
        <v>700</v>
      </c>
      <c r="L675" s="2">
        <v>0</v>
      </c>
      <c r="M675" s="2">
        <v>784027.61</v>
      </c>
      <c r="N675" s="2">
        <f t="shared" si="12"/>
        <v>1509683.0099999832</v>
      </c>
      <c r="O675" s="9" t="s">
        <v>4</v>
      </c>
    </row>
    <row r="676" spans="1:15" x14ac:dyDescent="0.2">
      <c r="A676">
        <v>27</v>
      </c>
      <c r="B676">
        <v>4</v>
      </c>
      <c r="C676" s="2">
        <v>6</v>
      </c>
      <c r="D676" s="2">
        <v>3</v>
      </c>
      <c r="E676" s="2">
        <v>3</v>
      </c>
      <c r="F676" s="2" t="s">
        <v>4</v>
      </c>
      <c r="G676" s="2">
        <v>408.40000000024202</v>
      </c>
      <c r="H676" s="2" t="s">
        <v>16</v>
      </c>
      <c r="I676" s="2">
        <v>531781.00000002398</v>
      </c>
      <c r="J676" s="2">
        <v>1000</v>
      </c>
      <c r="K676" s="2">
        <v>700</v>
      </c>
      <c r="L676" s="2">
        <v>0</v>
      </c>
      <c r="M676" s="2">
        <v>784826.81</v>
      </c>
      <c r="N676" s="2">
        <f t="shared" si="12"/>
        <v>1317016.2100000242</v>
      </c>
      <c r="O676" s="9" t="s">
        <v>4</v>
      </c>
    </row>
    <row r="677" spans="1:15" x14ac:dyDescent="0.2">
      <c r="A677">
        <v>1</v>
      </c>
      <c r="B677">
        <v>4</v>
      </c>
      <c r="C677" s="2">
        <v>3</v>
      </c>
      <c r="D677" s="2">
        <v>2</v>
      </c>
      <c r="E677" s="2">
        <v>1</v>
      </c>
      <c r="F677" s="2" t="s">
        <v>4</v>
      </c>
      <c r="G677" s="2">
        <v>0</v>
      </c>
      <c r="H677" s="2" t="s">
        <v>18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12435.9999999797</v>
      </c>
      <c r="O677" s="9" t="s">
        <v>5</v>
      </c>
    </row>
    <row r="678" spans="1:15" x14ac:dyDescent="0.2">
      <c r="A678">
        <v>2</v>
      </c>
      <c r="B678">
        <v>4</v>
      </c>
      <c r="C678" s="2">
        <v>3</v>
      </c>
      <c r="D678" s="2">
        <v>2</v>
      </c>
      <c r="E678" s="2">
        <v>2</v>
      </c>
      <c r="F678" s="2" t="s">
        <v>4</v>
      </c>
      <c r="G678" s="2">
        <v>0</v>
      </c>
      <c r="H678" s="2" t="s">
        <v>18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9253.9999999416996</v>
      </c>
      <c r="O678" s="9" t="s">
        <v>5</v>
      </c>
    </row>
    <row r="679" spans="1:15" x14ac:dyDescent="0.2">
      <c r="A679">
        <v>3</v>
      </c>
      <c r="B679">
        <v>4</v>
      </c>
      <c r="C679" s="2">
        <v>3</v>
      </c>
      <c r="D679" s="2">
        <v>2</v>
      </c>
      <c r="E679" s="2">
        <v>3</v>
      </c>
      <c r="F679" s="2" t="s">
        <v>4</v>
      </c>
      <c r="G679" s="2">
        <v>0</v>
      </c>
      <c r="H679" s="2" t="s">
        <v>18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8309.0000000538603</v>
      </c>
      <c r="O679" s="9" t="s">
        <v>5</v>
      </c>
    </row>
    <row r="680" spans="1:15" x14ac:dyDescent="0.2">
      <c r="A680">
        <v>4</v>
      </c>
      <c r="B680">
        <v>4</v>
      </c>
      <c r="C680" s="2">
        <v>3</v>
      </c>
      <c r="D680" s="2">
        <v>3</v>
      </c>
      <c r="E680" s="2">
        <v>1</v>
      </c>
      <c r="F680" s="2" t="s">
        <v>4</v>
      </c>
      <c r="G680" s="2">
        <v>0</v>
      </c>
      <c r="H680" s="2" t="s">
        <v>18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8626.0000000493201</v>
      </c>
      <c r="O680" s="9" t="s">
        <v>5</v>
      </c>
    </row>
    <row r="681" spans="1:15" x14ac:dyDescent="0.2">
      <c r="A681">
        <v>5</v>
      </c>
      <c r="B681">
        <v>4</v>
      </c>
      <c r="C681" s="2">
        <v>3</v>
      </c>
      <c r="D681" s="2">
        <v>3</v>
      </c>
      <c r="E681" s="2">
        <v>2</v>
      </c>
      <c r="F681" s="2" t="s">
        <v>4</v>
      </c>
      <c r="G681" s="2">
        <v>0</v>
      </c>
      <c r="H681" s="2" t="s">
        <v>18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7216.9999999687197</v>
      </c>
      <c r="O681" s="9" t="s">
        <v>5</v>
      </c>
    </row>
    <row r="682" spans="1:15" x14ac:dyDescent="0.2">
      <c r="A682">
        <v>6</v>
      </c>
      <c r="B682">
        <v>4</v>
      </c>
      <c r="C682" s="2">
        <v>3</v>
      </c>
      <c r="D682" s="2">
        <v>3</v>
      </c>
      <c r="E682" s="2">
        <v>3</v>
      </c>
      <c r="F682" s="2" t="s">
        <v>4</v>
      </c>
      <c r="G682" s="2">
        <v>0</v>
      </c>
      <c r="H682" s="2" t="s">
        <v>18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7986.9999999573301</v>
      </c>
      <c r="O682" s="9" t="s">
        <v>5</v>
      </c>
    </row>
    <row r="683" spans="1:15" x14ac:dyDescent="0.2">
      <c r="A683">
        <v>7</v>
      </c>
      <c r="B683">
        <v>4</v>
      </c>
      <c r="C683" s="2">
        <v>4</v>
      </c>
      <c r="D683" s="2">
        <v>2</v>
      </c>
      <c r="E683" s="2">
        <v>1</v>
      </c>
      <c r="F683" s="2" t="s">
        <v>4</v>
      </c>
      <c r="G683" s="2">
        <v>0</v>
      </c>
      <c r="H683" s="2" t="s">
        <v>18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6916.0000000465498</v>
      </c>
      <c r="O683" s="9" t="s">
        <v>5</v>
      </c>
    </row>
    <row r="684" spans="1:15" x14ac:dyDescent="0.2">
      <c r="A684">
        <v>8</v>
      </c>
      <c r="B684">
        <v>4</v>
      </c>
      <c r="C684" s="2">
        <v>4</v>
      </c>
      <c r="D684" s="2">
        <v>2</v>
      </c>
      <c r="E684" s="2">
        <v>2</v>
      </c>
      <c r="F684" s="2" t="s">
        <v>4</v>
      </c>
      <c r="G684" s="2">
        <v>0</v>
      </c>
      <c r="H684" s="2" t="s">
        <v>18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6733.0000000538403</v>
      </c>
      <c r="O684" s="9" t="s">
        <v>5</v>
      </c>
    </row>
    <row r="685" spans="1:15" x14ac:dyDescent="0.2">
      <c r="A685">
        <v>9</v>
      </c>
      <c r="B685">
        <v>4</v>
      </c>
      <c r="C685" s="2">
        <v>4</v>
      </c>
      <c r="D685" s="2">
        <v>2</v>
      </c>
      <c r="E685" s="2">
        <v>3</v>
      </c>
      <c r="F685" s="2" t="s">
        <v>4</v>
      </c>
      <c r="G685" s="2">
        <v>0</v>
      </c>
      <c r="H685" s="2" t="s">
        <v>18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6059.9999999340098</v>
      </c>
      <c r="O685" s="9" t="s">
        <v>5</v>
      </c>
    </row>
    <row r="686" spans="1:15" x14ac:dyDescent="0.2">
      <c r="A686">
        <v>10</v>
      </c>
      <c r="B686">
        <v>4</v>
      </c>
      <c r="C686" s="2">
        <v>4</v>
      </c>
      <c r="D686" s="2">
        <v>3</v>
      </c>
      <c r="E686" s="2">
        <v>1</v>
      </c>
      <c r="F686" s="2" t="s">
        <v>4</v>
      </c>
      <c r="G686" s="2">
        <v>0</v>
      </c>
      <c r="H686" s="2" t="s">
        <v>18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5945.9999999944603</v>
      </c>
      <c r="O686" s="9" t="s">
        <v>5</v>
      </c>
    </row>
    <row r="687" spans="1:15" x14ac:dyDescent="0.2">
      <c r="A687">
        <v>11</v>
      </c>
      <c r="B687">
        <v>4</v>
      </c>
      <c r="C687" s="2">
        <v>4</v>
      </c>
      <c r="D687" s="2">
        <v>3</v>
      </c>
      <c r="E687" s="2">
        <v>2</v>
      </c>
      <c r="F687" s="2" t="s">
        <v>4</v>
      </c>
      <c r="G687" s="2">
        <v>0</v>
      </c>
      <c r="H687" s="2" t="s">
        <v>18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6083.9999999870997</v>
      </c>
      <c r="O687" s="9" t="s">
        <v>5</v>
      </c>
    </row>
    <row r="688" spans="1:15" x14ac:dyDescent="0.2">
      <c r="A688">
        <v>12</v>
      </c>
      <c r="B688">
        <v>4</v>
      </c>
      <c r="C688" s="2">
        <v>4</v>
      </c>
      <c r="D688" s="2">
        <v>3</v>
      </c>
      <c r="E688" s="2">
        <v>3</v>
      </c>
      <c r="F688" s="2" t="s">
        <v>4</v>
      </c>
      <c r="G688" s="2">
        <v>0</v>
      </c>
      <c r="H688" s="2" t="s">
        <v>18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5673.0000000015898</v>
      </c>
      <c r="O688" s="9" t="s">
        <v>5</v>
      </c>
    </row>
    <row r="689" spans="1:15" x14ac:dyDescent="0.2">
      <c r="A689">
        <v>13</v>
      </c>
      <c r="B689">
        <v>4</v>
      </c>
      <c r="C689" s="2">
        <v>4</v>
      </c>
      <c r="D689" s="2">
        <v>2</v>
      </c>
      <c r="E689" s="2">
        <v>1</v>
      </c>
      <c r="F689" s="2" t="s">
        <v>4</v>
      </c>
      <c r="G689" s="2">
        <v>0</v>
      </c>
      <c r="H689" s="2" t="s">
        <v>18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4263.0000000372102</v>
      </c>
      <c r="O689" s="9" t="s">
        <v>5</v>
      </c>
    </row>
    <row r="690" spans="1:15" x14ac:dyDescent="0.2">
      <c r="A690">
        <v>14</v>
      </c>
      <c r="B690">
        <v>4</v>
      </c>
      <c r="C690" s="2">
        <v>4</v>
      </c>
      <c r="D690" s="2">
        <v>2</v>
      </c>
      <c r="E690" s="2">
        <v>2</v>
      </c>
      <c r="F690" s="2" t="s">
        <v>4</v>
      </c>
      <c r="G690" s="2">
        <v>0</v>
      </c>
      <c r="H690" s="2" t="s">
        <v>18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4265.0000000321597</v>
      </c>
      <c r="O690" s="9" t="s">
        <v>5</v>
      </c>
    </row>
    <row r="691" spans="1:15" x14ac:dyDescent="0.2">
      <c r="A691">
        <v>15</v>
      </c>
      <c r="B691">
        <v>4</v>
      </c>
      <c r="C691" s="2">
        <v>4</v>
      </c>
      <c r="D691" s="2">
        <v>2</v>
      </c>
      <c r="E691" s="2">
        <v>3</v>
      </c>
      <c r="F691" s="2" t="s">
        <v>4</v>
      </c>
      <c r="G691" s="2">
        <v>0</v>
      </c>
      <c r="H691" s="2" t="s">
        <v>18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4216.9999999259699</v>
      </c>
      <c r="O691" s="9" t="s">
        <v>5</v>
      </c>
    </row>
    <row r="692" spans="1:15" x14ac:dyDescent="0.2">
      <c r="A692">
        <v>16</v>
      </c>
      <c r="B692">
        <v>4</v>
      </c>
      <c r="C692" s="2">
        <v>4</v>
      </c>
      <c r="D692" s="2">
        <v>3</v>
      </c>
      <c r="E692" s="2">
        <v>1</v>
      </c>
      <c r="F692" s="2" t="s">
        <v>4</v>
      </c>
      <c r="G692" s="2">
        <v>0</v>
      </c>
      <c r="H692" s="2" t="s">
        <v>18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4209.9999999436504</v>
      </c>
      <c r="O692" s="9" t="s">
        <v>5</v>
      </c>
    </row>
    <row r="693" spans="1:15" x14ac:dyDescent="0.2">
      <c r="A693">
        <v>17</v>
      </c>
      <c r="B693">
        <v>4</v>
      </c>
      <c r="C693" s="2">
        <v>4</v>
      </c>
      <c r="D693" s="2">
        <v>3</v>
      </c>
      <c r="E693" s="2">
        <v>2</v>
      </c>
      <c r="F693" s="2" t="s">
        <v>4</v>
      </c>
      <c r="G693" s="2">
        <v>0</v>
      </c>
      <c r="H693" s="2" t="s">
        <v>18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4207.9999999487</v>
      </c>
      <c r="O693" s="9" t="s">
        <v>5</v>
      </c>
    </row>
    <row r="694" spans="1:15" x14ac:dyDescent="0.2">
      <c r="A694">
        <v>18</v>
      </c>
      <c r="B694">
        <v>4</v>
      </c>
      <c r="C694" s="2">
        <v>4</v>
      </c>
      <c r="D694" s="2">
        <v>3</v>
      </c>
      <c r="E694" s="2">
        <v>3</v>
      </c>
      <c r="F694" s="2" t="s">
        <v>4</v>
      </c>
      <c r="G694" s="2">
        <v>0</v>
      </c>
      <c r="H694" s="2" t="s">
        <v>18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4090.0000000192499</v>
      </c>
      <c r="O694" s="9" t="s">
        <v>5</v>
      </c>
    </row>
    <row r="695" spans="1:15" x14ac:dyDescent="0.2">
      <c r="A695">
        <v>19</v>
      </c>
      <c r="B695">
        <v>4</v>
      </c>
      <c r="C695" s="2">
        <v>5</v>
      </c>
      <c r="D695" s="2">
        <v>2</v>
      </c>
      <c r="E695" s="2">
        <v>1</v>
      </c>
      <c r="F695" s="2" t="s">
        <v>4</v>
      </c>
      <c r="G695" s="2">
        <v>0</v>
      </c>
      <c r="H695" s="2" t="s">
        <v>18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1655.0000000279399</v>
      </c>
      <c r="O695" s="9" t="s">
        <v>5</v>
      </c>
    </row>
    <row r="696" spans="1:15" x14ac:dyDescent="0.2">
      <c r="A696">
        <v>20</v>
      </c>
      <c r="B696">
        <v>4</v>
      </c>
      <c r="C696" s="2">
        <v>5</v>
      </c>
      <c r="D696" s="2">
        <v>2</v>
      </c>
      <c r="E696" s="2">
        <v>2</v>
      </c>
      <c r="F696" s="2" t="s">
        <v>4</v>
      </c>
      <c r="G696" s="2">
        <v>0</v>
      </c>
      <c r="H696" s="2" t="s">
        <v>18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1593.9999999545801</v>
      </c>
      <c r="O696" s="9" t="s">
        <v>5</v>
      </c>
    </row>
    <row r="697" spans="1:15" x14ac:dyDescent="0.2">
      <c r="A697">
        <v>21</v>
      </c>
      <c r="B697">
        <v>4</v>
      </c>
      <c r="C697" s="2">
        <v>5</v>
      </c>
      <c r="D697" s="2">
        <v>2</v>
      </c>
      <c r="E697" s="2">
        <v>3</v>
      </c>
      <c r="F697" s="2" t="s">
        <v>4</v>
      </c>
      <c r="G697" s="2">
        <v>0</v>
      </c>
      <c r="H697" s="2" t="s">
        <v>18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1630.00000009106</v>
      </c>
      <c r="O697" s="9" t="s">
        <v>5</v>
      </c>
    </row>
    <row r="698" spans="1:15" x14ac:dyDescent="0.2">
      <c r="A698">
        <v>22</v>
      </c>
      <c r="B698">
        <v>4</v>
      </c>
      <c r="C698" s="2">
        <v>5</v>
      </c>
      <c r="D698" s="2">
        <v>3</v>
      </c>
      <c r="E698" s="2">
        <v>1</v>
      </c>
      <c r="F698" s="2" t="s">
        <v>4</v>
      </c>
      <c r="G698" s="2">
        <v>0</v>
      </c>
      <c r="H698" s="2" t="s">
        <v>18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1604.00000004302</v>
      </c>
      <c r="O698" s="9" t="s">
        <v>5</v>
      </c>
    </row>
    <row r="699" spans="1:15" x14ac:dyDescent="0.2">
      <c r="A699">
        <v>23</v>
      </c>
      <c r="B699">
        <v>4</v>
      </c>
      <c r="C699" s="2">
        <v>5</v>
      </c>
      <c r="D699" s="2">
        <v>3</v>
      </c>
      <c r="E699" s="2">
        <v>2</v>
      </c>
      <c r="F699" s="2" t="s">
        <v>4</v>
      </c>
      <c r="G699" s="2">
        <v>0</v>
      </c>
      <c r="H699" s="2" t="s">
        <v>18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1586.99999997225</v>
      </c>
      <c r="O699" s="9" t="s">
        <v>5</v>
      </c>
    </row>
    <row r="700" spans="1:15" x14ac:dyDescent="0.2">
      <c r="A700">
        <v>24</v>
      </c>
      <c r="B700">
        <v>4</v>
      </c>
      <c r="C700" s="2">
        <v>5</v>
      </c>
      <c r="D700" s="2">
        <v>3</v>
      </c>
      <c r="E700" s="2">
        <v>3</v>
      </c>
      <c r="F700" s="2" t="s">
        <v>4</v>
      </c>
      <c r="G700" s="2">
        <v>0</v>
      </c>
      <c r="H700" s="2" t="s">
        <v>18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1542.9999999696499</v>
      </c>
      <c r="O700" s="9" t="s">
        <v>5</v>
      </c>
    </row>
    <row r="701" spans="1:15" x14ac:dyDescent="0.2">
      <c r="A701">
        <v>25</v>
      </c>
      <c r="B701">
        <v>4</v>
      </c>
      <c r="C701" s="2">
        <v>6</v>
      </c>
      <c r="D701" s="2">
        <v>3</v>
      </c>
      <c r="E701" s="2">
        <v>1</v>
      </c>
      <c r="F701" s="2" t="s">
        <v>4</v>
      </c>
      <c r="G701" s="2">
        <v>0</v>
      </c>
      <c r="H701" s="2" t="s">
        <v>18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1605.00000004049</v>
      </c>
      <c r="O701" s="9" t="s">
        <v>5</v>
      </c>
    </row>
    <row r="702" spans="1:15" x14ac:dyDescent="0.2">
      <c r="A702">
        <v>26</v>
      </c>
      <c r="B702">
        <v>4</v>
      </c>
      <c r="C702" s="2">
        <v>6</v>
      </c>
      <c r="D702" s="2">
        <v>3</v>
      </c>
      <c r="E702" s="2">
        <v>2</v>
      </c>
      <c r="F702" s="2" t="s">
        <v>4</v>
      </c>
      <c r="G702" s="2">
        <v>0</v>
      </c>
      <c r="H702" s="2" t="s">
        <v>18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1616.00000001272</v>
      </c>
      <c r="O702" s="9" t="s">
        <v>5</v>
      </c>
    </row>
    <row r="703" spans="1:15" x14ac:dyDescent="0.2">
      <c r="A703">
        <v>27</v>
      </c>
      <c r="B703">
        <v>4</v>
      </c>
      <c r="C703" s="2">
        <v>6</v>
      </c>
      <c r="D703" s="2">
        <v>3</v>
      </c>
      <c r="E703" s="2">
        <v>3</v>
      </c>
      <c r="F703" s="2" t="s">
        <v>4</v>
      </c>
      <c r="G703" s="2">
        <v>0</v>
      </c>
      <c r="H703" s="2" t="s">
        <v>18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1593.9999999545801</v>
      </c>
      <c r="O703" s="9" t="s">
        <v>5</v>
      </c>
    </row>
    <row r="704" spans="1:15" x14ac:dyDescent="0.2">
      <c r="A704">
        <v>1</v>
      </c>
      <c r="B704">
        <v>4</v>
      </c>
      <c r="C704" s="2">
        <v>3</v>
      </c>
      <c r="D704" s="2">
        <v>2</v>
      </c>
      <c r="E704" s="2">
        <v>1</v>
      </c>
      <c r="F704" s="2" t="s">
        <v>4</v>
      </c>
      <c r="G704" s="2">
        <v>686.60000000022603</v>
      </c>
      <c r="H704" s="2" t="s">
        <v>20</v>
      </c>
      <c r="I704" s="2">
        <v>0</v>
      </c>
      <c r="J704" s="2">
        <v>0</v>
      </c>
      <c r="K704" s="2">
        <v>0</v>
      </c>
      <c r="L704" s="2">
        <v>3000000</v>
      </c>
      <c r="M704" s="2">
        <v>111066</v>
      </c>
      <c r="N704">
        <f t="shared" ref="N704:N730" si="13">G704+L704</f>
        <v>3000686.6</v>
      </c>
      <c r="O704" s="9" t="s">
        <v>5</v>
      </c>
    </row>
    <row r="705" spans="1:15" x14ac:dyDescent="0.2">
      <c r="A705">
        <v>2</v>
      </c>
      <c r="B705">
        <v>4</v>
      </c>
      <c r="C705" s="2">
        <v>3</v>
      </c>
      <c r="D705" s="2">
        <v>2</v>
      </c>
      <c r="E705" s="2">
        <v>2</v>
      </c>
      <c r="F705" s="2" t="s">
        <v>4</v>
      </c>
      <c r="G705" s="2">
        <v>595.39999999991301</v>
      </c>
      <c r="H705" s="2" t="s">
        <v>20</v>
      </c>
      <c r="I705" s="2">
        <v>0</v>
      </c>
      <c r="J705" s="2">
        <v>0</v>
      </c>
      <c r="K705" s="2">
        <v>0</v>
      </c>
      <c r="L705" s="2">
        <v>3000000</v>
      </c>
      <c r="M705" s="2">
        <v>100029</v>
      </c>
      <c r="N705">
        <f t="shared" si="13"/>
        <v>3000595.4</v>
      </c>
      <c r="O705" s="9" t="s">
        <v>5</v>
      </c>
    </row>
    <row r="706" spans="1:15" x14ac:dyDescent="0.2">
      <c r="A706">
        <v>3</v>
      </c>
      <c r="B706">
        <v>4</v>
      </c>
      <c r="C706" s="2">
        <v>3</v>
      </c>
      <c r="D706" s="2">
        <v>2</v>
      </c>
      <c r="E706" s="2">
        <v>3</v>
      </c>
      <c r="F706" s="2" t="s">
        <v>4</v>
      </c>
      <c r="G706" s="2">
        <v>510.39999999993302</v>
      </c>
      <c r="H706" s="2" t="s">
        <v>20</v>
      </c>
      <c r="I706" s="2">
        <v>0</v>
      </c>
      <c r="J706" s="2">
        <v>0</v>
      </c>
      <c r="K706" s="2">
        <v>0</v>
      </c>
      <c r="L706" s="2">
        <v>3000000</v>
      </c>
      <c r="M706" s="2">
        <v>95749</v>
      </c>
      <c r="N706">
        <f t="shared" si="13"/>
        <v>3000510.4</v>
      </c>
      <c r="O706" s="9" t="s">
        <v>5</v>
      </c>
    </row>
    <row r="707" spans="1:15" x14ac:dyDescent="0.2">
      <c r="A707">
        <v>4</v>
      </c>
      <c r="B707">
        <v>4</v>
      </c>
      <c r="C707" s="2">
        <v>3</v>
      </c>
      <c r="D707" s="2">
        <v>3</v>
      </c>
      <c r="E707" s="2">
        <v>1</v>
      </c>
      <c r="F707" s="2" t="s">
        <v>4</v>
      </c>
      <c r="G707" s="2">
        <v>455.79999999958397</v>
      </c>
      <c r="H707" s="2" t="s">
        <v>20</v>
      </c>
      <c r="I707" s="2">
        <v>0</v>
      </c>
      <c r="J707" s="2">
        <v>0</v>
      </c>
      <c r="K707" s="2">
        <v>0</v>
      </c>
      <c r="L707" s="2">
        <v>3000000</v>
      </c>
      <c r="M707" s="2">
        <v>113388</v>
      </c>
      <c r="N707">
        <f t="shared" si="13"/>
        <v>3000455.8</v>
      </c>
      <c r="O707" s="9" t="s">
        <v>5</v>
      </c>
    </row>
    <row r="708" spans="1:15" x14ac:dyDescent="0.2">
      <c r="A708">
        <v>5</v>
      </c>
      <c r="B708">
        <v>4</v>
      </c>
      <c r="C708" s="2">
        <v>3</v>
      </c>
      <c r="D708" s="2">
        <v>3</v>
      </c>
      <c r="E708" s="2">
        <v>2</v>
      </c>
      <c r="F708" s="2" t="s">
        <v>4</v>
      </c>
      <c r="G708" s="2">
        <v>514.60000000034302</v>
      </c>
      <c r="H708" s="2" t="s">
        <v>20</v>
      </c>
      <c r="I708" s="2">
        <v>0</v>
      </c>
      <c r="J708" s="2">
        <v>0</v>
      </c>
      <c r="K708" s="2">
        <v>0</v>
      </c>
      <c r="L708" s="2">
        <v>3000000</v>
      </c>
      <c r="M708" s="2">
        <v>113997</v>
      </c>
      <c r="N708">
        <f t="shared" si="13"/>
        <v>3000514.6000000006</v>
      </c>
      <c r="O708" s="9" t="s">
        <v>5</v>
      </c>
    </row>
    <row r="709" spans="1:15" x14ac:dyDescent="0.2">
      <c r="A709">
        <v>6</v>
      </c>
      <c r="B709">
        <v>4</v>
      </c>
      <c r="C709" s="2">
        <v>3</v>
      </c>
      <c r="D709" s="2">
        <v>3</v>
      </c>
      <c r="E709" s="2">
        <v>3</v>
      </c>
      <c r="F709" s="2" t="s">
        <v>4</v>
      </c>
      <c r="G709" s="2">
        <v>535.59999999990305</v>
      </c>
      <c r="H709" s="2" t="s">
        <v>20</v>
      </c>
      <c r="I709" s="2">
        <v>0</v>
      </c>
      <c r="J709" s="2">
        <v>0</v>
      </c>
      <c r="K709" s="2">
        <v>0</v>
      </c>
      <c r="L709" s="2">
        <v>3000000</v>
      </c>
      <c r="M709" s="2">
        <v>121741</v>
      </c>
      <c r="N709">
        <f t="shared" si="13"/>
        <v>3000535.6</v>
      </c>
      <c r="O709" s="9" t="s">
        <v>5</v>
      </c>
    </row>
    <row r="710" spans="1:15" x14ac:dyDescent="0.2">
      <c r="A710">
        <v>7</v>
      </c>
      <c r="B710">
        <v>4</v>
      </c>
      <c r="C710" s="2">
        <v>4</v>
      </c>
      <c r="D710" s="2">
        <v>2</v>
      </c>
      <c r="E710" s="2">
        <v>1</v>
      </c>
      <c r="F710" s="2" t="s">
        <v>4</v>
      </c>
      <c r="G710" s="2">
        <v>354.799999999855</v>
      </c>
      <c r="H710" s="2" t="s">
        <v>20</v>
      </c>
      <c r="I710" s="2">
        <v>0</v>
      </c>
      <c r="J710" s="2">
        <v>0</v>
      </c>
      <c r="K710" s="2">
        <v>0</v>
      </c>
      <c r="L710" s="2">
        <v>3000000</v>
      </c>
      <c r="M710" s="2">
        <v>93237</v>
      </c>
      <c r="N710">
        <f t="shared" si="13"/>
        <v>3000354.8</v>
      </c>
      <c r="O710" s="9" t="s">
        <v>5</v>
      </c>
    </row>
    <row r="711" spans="1:15" x14ac:dyDescent="0.2">
      <c r="A711">
        <v>8</v>
      </c>
      <c r="B711">
        <v>4</v>
      </c>
      <c r="C711" s="2">
        <v>4</v>
      </c>
      <c r="D711" s="2">
        <v>2</v>
      </c>
      <c r="E711" s="2">
        <v>2</v>
      </c>
      <c r="F711" s="2" t="s">
        <v>4</v>
      </c>
      <c r="G711" s="2">
        <v>408.79999999958699</v>
      </c>
      <c r="H711" s="2" t="s">
        <v>20</v>
      </c>
      <c r="I711" s="2">
        <v>0</v>
      </c>
      <c r="J711" s="2">
        <v>0</v>
      </c>
      <c r="K711" s="2">
        <v>0</v>
      </c>
      <c r="L711" s="2">
        <v>3000000</v>
      </c>
      <c r="M711" s="2">
        <v>120484</v>
      </c>
      <c r="N711">
        <f t="shared" si="13"/>
        <v>3000408.8</v>
      </c>
      <c r="O711" s="9" t="s">
        <v>5</v>
      </c>
    </row>
    <row r="712" spans="1:15" x14ac:dyDescent="0.2">
      <c r="A712">
        <v>9</v>
      </c>
      <c r="B712">
        <v>4</v>
      </c>
      <c r="C712" s="2">
        <v>4</v>
      </c>
      <c r="D712" s="2">
        <v>2</v>
      </c>
      <c r="E712" s="2">
        <v>3</v>
      </c>
      <c r="F712" s="2" t="s">
        <v>4</v>
      </c>
      <c r="G712" s="2">
        <v>315.400000000565</v>
      </c>
      <c r="H712" s="2" t="s">
        <v>20</v>
      </c>
      <c r="I712" s="2">
        <v>0</v>
      </c>
      <c r="J712" s="2">
        <v>0</v>
      </c>
      <c r="K712" s="2">
        <v>0</v>
      </c>
      <c r="L712" s="2">
        <v>3000000</v>
      </c>
      <c r="M712" s="2">
        <v>104530</v>
      </c>
      <c r="N712">
        <f t="shared" si="13"/>
        <v>3000315.4000000004</v>
      </c>
      <c r="O712" s="9" t="s">
        <v>5</v>
      </c>
    </row>
    <row r="713" spans="1:15" x14ac:dyDescent="0.2">
      <c r="A713">
        <v>10</v>
      </c>
      <c r="B713">
        <v>4</v>
      </c>
      <c r="C713" s="2">
        <v>4</v>
      </c>
      <c r="D713" s="2">
        <v>3</v>
      </c>
      <c r="E713" s="2">
        <v>1</v>
      </c>
      <c r="F713" s="2" t="s">
        <v>4</v>
      </c>
      <c r="G713" s="2">
        <v>303.20000000010299</v>
      </c>
      <c r="H713" s="2" t="s">
        <v>20</v>
      </c>
      <c r="I713" s="2">
        <v>0</v>
      </c>
      <c r="J713" s="2">
        <v>0</v>
      </c>
      <c r="K713" s="2">
        <v>0</v>
      </c>
      <c r="L713" s="2">
        <v>3000000</v>
      </c>
      <c r="M713" s="2">
        <v>98503</v>
      </c>
      <c r="N713">
        <f t="shared" si="13"/>
        <v>3000303.2</v>
      </c>
      <c r="O713" s="9" t="s">
        <v>5</v>
      </c>
    </row>
    <row r="714" spans="1:15" x14ac:dyDescent="0.2">
      <c r="A714">
        <v>11</v>
      </c>
      <c r="B714">
        <v>4</v>
      </c>
      <c r="C714" s="2">
        <v>4</v>
      </c>
      <c r="D714" s="2">
        <v>3</v>
      </c>
      <c r="E714" s="2">
        <v>2</v>
      </c>
      <c r="F714" s="2" t="s">
        <v>4</v>
      </c>
      <c r="G714" s="2">
        <v>291.60000000025798</v>
      </c>
      <c r="H714" s="2" t="s">
        <v>20</v>
      </c>
      <c r="I714" s="2">
        <v>0</v>
      </c>
      <c r="J714" s="2">
        <v>0</v>
      </c>
      <c r="K714" s="2">
        <v>0</v>
      </c>
      <c r="L714" s="2">
        <v>3000000</v>
      </c>
      <c r="M714" s="2">
        <v>104533</v>
      </c>
      <c r="N714">
        <f t="shared" si="13"/>
        <v>3000291.6</v>
      </c>
      <c r="O714" s="9" t="s">
        <v>5</v>
      </c>
    </row>
    <row r="715" spans="1:15" x14ac:dyDescent="0.2">
      <c r="A715">
        <v>12</v>
      </c>
      <c r="B715">
        <v>4</v>
      </c>
      <c r="C715" s="2">
        <v>4</v>
      </c>
      <c r="D715" s="2">
        <v>3</v>
      </c>
      <c r="E715" s="2">
        <v>3</v>
      </c>
      <c r="F715" s="2" t="s">
        <v>4</v>
      </c>
      <c r="G715" s="2">
        <v>339.79999999971301</v>
      </c>
      <c r="H715" s="2" t="s">
        <v>20</v>
      </c>
      <c r="I715" s="2">
        <v>0</v>
      </c>
      <c r="J715" s="2">
        <v>0</v>
      </c>
      <c r="K715" s="2">
        <v>0</v>
      </c>
      <c r="L715" s="2">
        <v>3000000</v>
      </c>
      <c r="M715" s="2">
        <v>110892</v>
      </c>
      <c r="N715">
        <f t="shared" si="13"/>
        <v>3000339.8</v>
      </c>
      <c r="O715" s="9" t="s">
        <v>5</v>
      </c>
    </row>
    <row r="716" spans="1:15" x14ac:dyDescent="0.2">
      <c r="A716">
        <v>13</v>
      </c>
      <c r="B716">
        <v>4</v>
      </c>
      <c r="C716" s="2">
        <v>4</v>
      </c>
      <c r="D716" s="2">
        <v>2</v>
      </c>
      <c r="E716" s="2">
        <v>1</v>
      </c>
      <c r="F716" s="2" t="s">
        <v>4</v>
      </c>
      <c r="G716" s="2">
        <v>225.19999999985899</v>
      </c>
      <c r="H716" s="2" t="s">
        <v>20</v>
      </c>
      <c r="I716" s="2">
        <v>0</v>
      </c>
      <c r="J716" s="2">
        <v>0</v>
      </c>
      <c r="K716" s="2">
        <v>0</v>
      </c>
      <c r="L716" s="2">
        <v>3000000</v>
      </c>
      <c r="M716" s="2">
        <v>115037</v>
      </c>
      <c r="N716">
        <f t="shared" si="13"/>
        <v>3000225.1999999997</v>
      </c>
      <c r="O716" s="9" t="s">
        <v>5</v>
      </c>
    </row>
    <row r="717" spans="1:15" x14ac:dyDescent="0.2">
      <c r="A717">
        <v>14</v>
      </c>
      <c r="B717">
        <v>4</v>
      </c>
      <c r="C717" s="2">
        <v>4</v>
      </c>
      <c r="D717" s="2">
        <v>2</v>
      </c>
      <c r="E717" s="2">
        <v>2</v>
      </c>
      <c r="F717" s="2" t="s">
        <v>4</v>
      </c>
      <c r="G717" s="2">
        <v>285.80000000033601</v>
      </c>
      <c r="H717" s="2" t="s">
        <v>20</v>
      </c>
      <c r="I717" s="2">
        <v>0</v>
      </c>
      <c r="J717" s="2">
        <v>0</v>
      </c>
      <c r="K717" s="2">
        <v>0</v>
      </c>
      <c r="L717" s="2">
        <v>3000000</v>
      </c>
      <c r="M717" s="2">
        <v>147394</v>
      </c>
      <c r="N717">
        <f t="shared" si="13"/>
        <v>3000285.8000000003</v>
      </c>
      <c r="O717" s="9" t="s">
        <v>5</v>
      </c>
    </row>
    <row r="718" spans="1:15" x14ac:dyDescent="0.2">
      <c r="A718">
        <v>15</v>
      </c>
      <c r="B718">
        <v>4</v>
      </c>
      <c r="C718" s="2">
        <v>4</v>
      </c>
      <c r="D718" s="2">
        <v>2</v>
      </c>
      <c r="E718" s="2">
        <v>3</v>
      </c>
      <c r="F718" s="2" t="s">
        <v>4</v>
      </c>
      <c r="G718" s="2">
        <v>273.80000000007999</v>
      </c>
      <c r="H718" s="2" t="s">
        <v>20</v>
      </c>
      <c r="I718" s="2">
        <v>0</v>
      </c>
      <c r="J718" s="2">
        <v>0</v>
      </c>
      <c r="K718" s="2">
        <v>0</v>
      </c>
      <c r="L718" s="2">
        <v>3000000</v>
      </c>
      <c r="M718" s="2">
        <v>128142</v>
      </c>
      <c r="N718">
        <f t="shared" si="13"/>
        <v>3000273.8000000003</v>
      </c>
      <c r="O718" s="9" t="s">
        <v>5</v>
      </c>
    </row>
    <row r="719" spans="1:15" x14ac:dyDescent="0.2">
      <c r="A719">
        <v>16</v>
      </c>
      <c r="B719">
        <v>4</v>
      </c>
      <c r="C719" s="2">
        <v>4</v>
      </c>
      <c r="D719" s="2">
        <v>3</v>
      </c>
      <c r="E719" s="2">
        <v>1</v>
      </c>
      <c r="F719" s="2" t="s">
        <v>4</v>
      </c>
      <c r="G719" s="2">
        <v>261.80000000017901</v>
      </c>
      <c r="H719" s="2" t="s">
        <v>20</v>
      </c>
      <c r="I719" s="2">
        <v>0</v>
      </c>
      <c r="J719" s="2">
        <v>0</v>
      </c>
      <c r="K719" s="2">
        <v>0</v>
      </c>
      <c r="L719" s="2">
        <v>3000000</v>
      </c>
      <c r="M719" s="2">
        <v>99178</v>
      </c>
      <c r="N719">
        <f t="shared" si="13"/>
        <v>3000261.8000000003</v>
      </c>
      <c r="O719" s="9" t="s">
        <v>5</v>
      </c>
    </row>
    <row r="720" spans="1:15" x14ac:dyDescent="0.2">
      <c r="A720">
        <v>17</v>
      </c>
      <c r="B720">
        <v>4</v>
      </c>
      <c r="C720" s="2">
        <v>4</v>
      </c>
      <c r="D720" s="2">
        <v>3</v>
      </c>
      <c r="E720" s="2">
        <v>2</v>
      </c>
      <c r="F720" s="2" t="s">
        <v>4</v>
      </c>
      <c r="G720" s="2">
        <v>255.000000001004</v>
      </c>
      <c r="H720" s="2" t="s">
        <v>20</v>
      </c>
      <c r="I720" s="2">
        <v>0</v>
      </c>
      <c r="J720" s="2">
        <v>0</v>
      </c>
      <c r="K720" s="2">
        <v>0</v>
      </c>
      <c r="L720" s="2">
        <v>3000000</v>
      </c>
      <c r="M720" s="2">
        <v>102461</v>
      </c>
      <c r="N720">
        <f t="shared" si="13"/>
        <v>3000255.0000000009</v>
      </c>
      <c r="O720" s="9" t="s">
        <v>5</v>
      </c>
    </row>
    <row r="721" spans="1:15" x14ac:dyDescent="0.2">
      <c r="A721">
        <v>18</v>
      </c>
      <c r="B721">
        <v>4</v>
      </c>
      <c r="C721" s="2">
        <v>4</v>
      </c>
      <c r="D721" s="2">
        <v>3</v>
      </c>
      <c r="E721" s="2">
        <v>3</v>
      </c>
      <c r="F721" s="2" t="s">
        <v>4</v>
      </c>
      <c r="G721" s="2">
        <v>307.79999999950297</v>
      </c>
      <c r="H721" s="2" t="s">
        <v>20</v>
      </c>
      <c r="I721" s="2">
        <v>0</v>
      </c>
      <c r="J721" s="2">
        <v>0</v>
      </c>
      <c r="K721" s="2">
        <v>0</v>
      </c>
      <c r="L721" s="2">
        <v>3000000</v>
      </c>
      <c r="M721" s="2">
        <v>110735</v>
      </c>
      <c r="N721">
        <f t="shared" si="13"/>
        <v>3000307.7999999993</v>
      </c>
      <c r="O721" s="9" t="s">
        <v>5</v>
      </c>
    </row>
    <row r="722" spans="1:15" x14ac:dyDescent="0.2">
      <c r="A722">
        <v>19</v>
      </c>
      <c r="B722">
        <v>4</v>
      </c>
      <c r="C722" s="2">
        <v>5</v>
      </c>
      <c r="D722" s="2">
        <v>2</v>
      </c>
      <c r="E722" s="2">
        <v>1</v>
      </c>
      <c r="F722" s="2" t="s">
        <v>4</v>
      </c>
      <c r="G722" s="2">
        <v>241.399999999459</v>
      </c>
      <c r="H722" s="2" t="s">
        <v>20</v>
      </c>
      <c r="I722" s="2">
        <v>0</v>
      </c>
      <c r="J722" s="2">
        <v>0</v>
      </c>
      <c r="K722" s="2">
        <v>0</v>
      </c>
      <c r="L722" s="2">
        <v>3000000</v>
      </c>
      <c r="M722" s="2">
        <v>18997</v>
      </c>
      <c r="N722">
        <f t="shared" si="13"/>
        <v>3000241.3999999994</v>
      </c>
      <c r="O722" s="9" t="s">
        <v>5</v>
      </c>
    </row>
    <row r="723" spans="1:15" x14ac:dyDescent="0.2">
      <c r="A723">
        <v>20</v>
      </c>
      <c r="B723">
        <v>4</v>
      </c>
      <c r="C723" s="2">
        <v>5</v>
      </c>
      <c r="D723" s="2">
        <v>2</v>
      </c>
      <c r="E723" s="2">
        <v>2</v>
      </c>
      <c r="F723" s="2" t="s">
        <v>4</v>
      </c>
      <c r="G723" s="2">
        <v>301.59999999952402</v>
      </c>
      <c r="H723" s="2" t="s">
        <v>20</v>
      </c>
      <c r="I723" s="2">
        <v>0</v>
      </c>
      <c r="J723" s="2">
        <v>0</v>
      </c>
      <c r="K723" s="2">
        <v>0</v>
      </c>
      <c r="L723" s="2">
        <v>3000000</v>
      </c>
      <c r="M723" s="2">
        <v>108706</v>
      </c>
      <c r="N723">
        <f t="shared" si="13"/>
        <v>3000301.5999999996</v>
      </c>
      <c r="O723" s="9" t="s">
        <v>5</v>
      </c>
    </row>
    <row r="724" spans="1:15" x14ac:dyDescent="0.2">
      <c r="A724">
        <v>21</v>
      </c>
      <c r="B724">
        <v>4</v>
      </c>
      <c r="C724" s="2">
        <v>5</v>
      </c>
      <c r="D724" s="2">
        <v>2</v>
      </c>
      <c r="E724" s="2">
        <v>3</v>
      </c>
      <c r="F724" s="2" t="s">
        <v>4</v>
      </c>
      <c r="G724" s="2">
        <v>295.000000000201</v>
      </c>
      <c r="H724" s="2" t="s">
        <v>20</v>
      </c>
      <c r="I724" s="2">
        <v>0</v>
      </c>
      <c r="J724" s="2">
        <v>0</v>
      </c>
      <c r="K724" s="2">
        <v>0</v>
      </c>
      <c r="L724" s="2">
        <v>3000000</v>
      </c>
      <c r="M724" s="2">
        <v>106027</v>
      </c>
      <c r="N724">
        <f t="shared" si="13"/>
        <v>3000295</v>
      </c>
      <c r="O724" s="9" t="s">
        <v>5</v>
      </c>
    </row>
    <row r="725" spans="1:15" x14ac:dyDescent="0.2">
      <c r="A725">
        <v>22</v>
      </c>
      <c r="B725">
        <v>4</v>
      </c>
      <c r="C725" s="2">
        <v>5</v>
      </c>
      <c r="D725" s="2">
        <v>3</v>
      </c>
      <c r="E725" s="2">
        <v>1</v>
      </c>
      <c r="F725" s="2" t="s">
        <v>4</v>
      </c>
      <c r="G725" s="2">
        <v>284.20000000011203</v>
      </c>
      <c r="H725" s="2" t="s">
        <v>20</v>
      </c>
      <c r="I725" s="2">
        <v>0</v>
      </c>
      <c r="J725" s="2">
        <v>0</v>
      </c>
      <c r="K725" s="2">
        <v>0</v>
      </c>
      <c r="L725" s="2">
        <v>3000000</v>
      </c>
      <c r="M725" s="2">
        <v>151213</v>
      </c>
      <c r="N725">
        <f t="shared" si="13"/>
        <v>3000284.2</v>
      </c>
      <c r="O725" s="9" t="s">
        <v>5</v>
      </c>
    </row>
    <row r="726" spans="1:15" x14ac:dyDescent="0.2">
      <c r="A726">
        <v>23</v>
      </c>
      <c r="B726">
        <v>4</v>
      </c>
      <c r="C726" s="2">
        <v>5</v>
      </c>
      <c r="D726" s="2">
        <v>3</v>
      </c>
      <c r="E726" s="2">
        <v>2</v>
      </c>
      <c r="F726" s="2" t="s">
        <v>4</v>
      </c>
      <c r="G726" s="2">
        <v>292.800000000426</v>
      </c>
      <c r="H726" s="2" t="s">
        <v>20</v>
      </c>
      <c r="I726" s="2">
        <v>0</v>
      </c>
      <c r="J726" s="2">
        <v>0</v>
      </c>
      <c r="K726" s="2">
        <v>0</v>
      </c>
      <c r="L726" s="2">
        <v>3000000</v>
      </c>
      <c r="M726" s="2">
        <v>132251</v>
      </c>
      <c r="N726">
        <f t="shared" si="13"/>
        <v>3000292.8000000003</v>
      </c>
      <c r="O726" s="9" t="s">
        <v>5</v>
      </c>
    </row>
    <row r="727" spans="1:15" x14ac:dyDescent="0.2">
      <c r="A727">
        <v>24</v>
      </c>
      <c r="B727">
        <v>4</v>
      </c>
      <c r="C727" s="2">
        <v>5</v>
      </c>
      <c r="D727" s="2">
        <v>3</v>
      </c>
      <c r="E727" s="2">
        <v>3</v>
      </c>
      <c r="F727" s="2" t="s">
        <v>4</v>
      </c>
      <c r="G727" s="2">
        <v>352.60000000043601</v>
      </c>
      <c r="H727" s="2" t="s">
        <v>20</v>
      </c>
      <c r="I727" s="2">
        <v>0</v>
      </c>
      <c r="J727" s="2">
        <v>0</v>
      </c>
      <c r="K727" s="2">
        <v>0</v>
      </c>
      <c r="L727" s="2">
        <v>3000000</v>
      </c>
      <c r="M727" s="2">
        <v>138716</v>
      </c>
      <c r="N727">
        <f t="shared" si="13"/>
        <v>3000352.6000000006</v>
      </c>
      <c r="O727" s="9" t="s">
        <v>5</v>
      </c>
    </row>
    <row r="728" spans="1:15" x14ac:dyDescent="0.2">
      <c r="A728">
        <v>25</v>
      </c>
      <c r="B728">
        <v>4</v>
      </c>
      <c r="C728" s="2">
        <v>6</v>
      </c>
      <c r="D728" s="2">
        <v>3</v>
      </c>
      <c r="E728" s="2">
        <v>1</v>
      </c>
      <c r="F728" s="2" t="s">
        <v>4</v>
      </c>
      <c r="G728" s="2">
        <v>315.00000000015399</v>
      </c>
      <c r="H728" s="2" t="s">
        <v>20</v>
      </c>
      <c r="I728" s="2">
        <v>0</v>
      </c>
      <c r="J728" s="2">
        <v>0</v>
      </c>
      <c r="K728" s="2">
        <v>0</v>
      </c>
      <c r="L728" s="2">
        <v>3000000</v>
      </c>
      <c r="M728" s="2">
        <v>157918</v>
      </c>
      <c r="N728">
        <f t="shared" si="13"/>
        <v>3000315</v>
      </c>
      <c r="O728" s="9" t="s">
        <v>5</v>
      </c>
    </row>
    <row r="729" spans="1:15" x14ac:dyDescent="0.2">
      <c r="A729">
        <v>26</v>
      </c>
      <c r="B729">
        <v>4</v>
      </c>
      <c r="C729" s="2">
        <v>6</v>
      </c>
      <c r="D729" s="2">
        <v>3</v>
      </c>
      <c r="E729" s="2">
        <v>2</v>
      </c>
      <c r="F729" s="2" t="s">
        <v>4</v>
      </c>
      <c r="G729" s="2">
        <v>324.400000000224</v>
      </c>
      <c r="H729" s="2" t="s">
        <v>20</v>
      </c>
      <c r="I729" s="2">
        <v>0</v>
      </c>
      <c r="J729" s="2">
        <v>0</v>
      </c>
      <c r="K729" s="2">
        <v>0</v>
      </c>
      <c r="L729" s="2">
        <v>3000000</v>
      </c>
      <c r="M729" s="2">
        <v>112779</v>
      </c>
      <c r="N729">
        <f t="shared" si="13"/>
        <v>3000324.4000000004</v>
      </c>
      <c r="O729" s="9" t="s">
        <v>5</v>
      </c>
    </row>
    <row r="730" spans="1:15" x14ac:dyDescent="0.2">
      <c r="A730">
        <v>27</v>
      </c>
      <c r="B730">
        <v>4</v>
      </c>
      <c r="C730" s="2">
        <v>6</v>
      </c>
      <c r="D730" s="2">
        <v>3</v>
      </c>
      <c r="E730" s="2">
        <v>3</v>
      </c>
      <c r="F730" s="2" t="s">
        <v>4</v>
      </c>
      <c r="G730" s="2">
        <v>408.40000000024202</v>
      </c>
      <c r="H730" s="2" t="s">
        <v>20</v>
      </c>
      <c r="I730" s="2">
        <v>0</v>
      </c>
      <c r="J730" s="2">
        <v>0</v>
      </c>
      <c r="K730" s="2">
        <v>0</v>
      </c>
      <c r="L730" s="2">
        <v>3000000</v>
      </c>
      <c r="M730" s="2">
        <v>120767</v>
      </c>
      <c r="N730">
        <f t="shared" si="13"/>
        <v>3000408.4000000004</v>
      </c>
      <c r="O730" s="9" t="s">
        <v>5</v>
      </c>
    </row>
    <row r="731" spans="1:15" x14ac:dyDescent="0.2">
      <c r="A731">
        <v>28</v>
      </c>
      <c r="B731">
        <v>5</v>
      </c>
      <c r="C731">
        <v>4</v>
      </c>
      <c r="D731" s="2">
        <v>2</v>
      </c>
      <c r="E731" s="2">
        <v>1</v>
      </c>
      <c r="F731" s="2" t="s">
        <v>5</v>
      </c>
      <c r="G731" s="2">
        <v>541.19999999961999</v>
      </c>
      <c r="H731" s="2" t="s">
        <v>8</v>
      </c>
      <c r="I731" s="2">
        <v>37176.000000000502</v>
      </c>
      <c r="J731" s="2">
        <v>1000</v>
      </c>
      <c r="K731" s="2">
        <v>20</v>
      </c>
      <c r="L731" s="2">
        <v>0</v>
      </c>
      <c r="M731" s="2">
        <v>103386.37</v>
      </c>
      <c r="N731">
        <f t="shared" ref="N731:N794" si="14">G731+I731+M731</f>
        <v>141103.57000000012</v>
      </c>
      <c r="O731" s="9" t="s">
        <v>5</v>
      </c>
    </row>
    <row r="732" spans="1:15" x14ac:dyDescent="0.2">
      <c r="A732">
        <v>29</v>
      </c>
      <c r="B732">
        <v>5</v>
      </c>
      <c r="C732">
        <v>5</v>
      </c>
      <c r="D732" s="2">
        <v>2</v>
      </c>
      <c r="E732" s="2">
        <v>2</v>
      </c>
      <c r="F732" s="2" t="s">
        <v>5</v>
      </c>
      <c r="G732" s="2">
        <v>547.39999999959798</v>
      </c>
      <c r="H732" s="2" t="s">
        <v>8</v>
      </c>
      <c r="I732" s="2">
        <v>71896.000000000597</v>
      </c>
      <c r="J732" s="2">
        <v>1000</v>
      </c>
      <c r="K732" s="2">
        <v>20</v>
      </c>
      <c r="L732" s="2">
        <v>0</v>
      </c>
      <c r="M732" s="2">
        <v>116625.97</v>
      </c>
      <c r="N732">
        <f t="shared" si="14"/>
        <v>189069.3700000002</v>
      </c>
      <c r="O732" s="9" t="s">
        <v>5</v>
      </c>
    </row>
    <row r="733" spans="1:15" x14ac:dyDescent="0.2">
      <c r="A733">
        <v>30</v>
      </c>
      <c r="B733">
        <v>5</v>
      </c>
      <c r="C733">
        <v>5</v>
      </c>
      <c r="D733" s="2">
        <v>2</v>
      </c>
      <c r="E733" s="2">
        <v>3</v>
      </c>
      <c r="F733" s="2" t="s">
        <v>5</v>
      </c>
      <c r="G733" s="2">
        <v>598.60000000000502</v>
      </c>
      <c r="H733" s="2" t="s">
        <v>8</v>
      </c>
      <c r="I733" s="2">
        <v>251473</v>
      </c>
      <c r="J733" s="2">
        <v>1000</v>
      </c>
      <c r="K733" s="2">
        <v>20</v>
      </c>
      <c r="L733" s="2">
        <v>0</v>
      </c>
      <c r="M733" s="2">
        <v>118946.77</v>
      </c>
      <c r="N733">
        <f t="shared" si="14"/>
        <v>371018.37</v>
      </c>
      <c r="O733" s="9" t="s">
        <v>4</v>
      </c>
    </row>
    <row r="734" spans="1:15" x14ac:dyDescent="0.2">
      <c r="A734">
        <v>31</v>
      </c>
      <c r="B734">
        <v>5</v>
      </c>
      <c r="C734">
        <v>5</v>
      </c>
      <c r="D734" s="2">
        <v>2</v>
      </c>
      <c r="E734" s="2">
        <v>1</v>
      </c>
      <c r="F734" s="2" t="s">
        <v>5</v>
      </c>
      <c r="G734" s="2">
        <v>351.19999999970702</v>
      </c>
      <c r="H734" s="2" t="s">
        <v>8</v>
      </c>
      <c r="I734" s="2">
        <v>68826.999999999796</v>
      </c>
      <c r="J734" s="2">
        <v>1000</v>
      </c>
      <c r="K734" s="2">
        <v>20</v>
      </c>
      <c r="L734" s="2">
        <v>0</v>
      </c>
      <c r="M734" s="2">
        <v>95765.97</v>
      </c>
      <c r="N734">
        <f t="shared" si="14"/>
        <v>164944.16999999952</v>
      </c>
      <c r="O734" s="9" t="s">
        <v>5</v>
      </c>
    </row>
    <row r="735" spans="1:15" x14ac:dyDescent="0.2">
      <c r="A735">
        <v>32</v>
      </c>
      <c r="B735">
        <v>5</v>
      </c>
      <c r="C735">
        <v>5</v>
      </c>
      <c r="D735" s="2">
        <v>2</v>
      </c>
      <c r="E735" s="2">
        <v>2</v>
      </c>
      <c r="F735" s="2" t="s">
        <v>5</v>
      </c>
      <c r="G735" s="2">
        <v>356.00000000002302</v>
      </c>
      <c r="H735" s="2" t="s">
        <v>8</v>
      </c>
      <c r="I735" s="2">
        <v>64877.000000000102</v>
      </c>
      <c r="J735" s="2">
        <v>1000</v>
      </c>
      <c r="K735" s="2">
        <v>20</v>
      </c>
      <c r="L735" s="2">
        <v>0</v>
      </c>
      <c r="M735" s="2">
        <v>102706.37</v>
      </c>
      <c r="N735">
        <f t="shared" si="14"/>
        <v>167939.37000000011</v>
      </c>
      <c r="O735" s="9" t="s">
        <v>5</v>
      </c>
    </row>
    <row r="736" spans="1:15" x14ac:dyDescent="0.2">
      <c r="A736">
        <v>33</v>
      </c>
      <c r="B736">
        <v>5</v>
      </c>
      <c r="C736">
        <v>5</v>
      </c>
      <c r="D736" s="2">
        <v>2</v>
      </c>
      <c r="E736" s="2">
        <v>3</v>
      </c>
      <c r="F736" s="2" t="s">
        <v>5</v>
      </c>
      <c r="G736" s="2">
        <v>485.39999999981399</v>
      </c>
      <c r="H736" s="2" t="s">
        <v>8</v>
      </c>
      <c r="I736" s="2">
        <v>255639</v>
      </c>
      <c r="J736" s="2">
        <v>1000</v>
      </c>
      <c r="K736" s="2">
        <v>20</v>
      </c>
      <c r="L736" s="2">
        <v>0</v>
      </c>
      <c r="M736" s="2">
        <v>140865.57</v>
      </c>
      <c r="N736">
        <f>G736+I736+M736</f>
        <v>396989.96999999986</v>
      </c>
      <c r="O736" s="9" t="s">
        <v>4</v>
      </c>
    </row>
    <row r="737" spans="1:15" x14ac:dyDescent="0.2">
      <c r="A737">
        <v>34</v>
      </c>
      <c r="B737">
        <v>5</v>
      </c>
      <c r="C737">
        <v>5</v>
      </c>
      <c r="D737" s="2">
        <v>2</v>
      </c>
      <c r="E737" s="2">
        <v>1</v>
      </c>
      <c r="F737" s="2" t="s">
        <v>5</v>
      </c>
      <c r="G737" s="2">
        <v>307.60000000000798</v>
      </c>
      <c r="H737" s="2" t="s">
        <v>8</v>
      </c>
      <c r="I737" s="2">
        <v>49771.999999999898</v>
      </c>
      <c r="J737" s="2">
        <v>1000</v>
      </c>
      <c r="K737" s="2">
        <v>20</v>
      </c>
      <c r="L737" s="2">
        <v>0</v>
      </c>
      <c r="M737" s="2">
        <v>142725.97</v>
      </c>
      <c r="N737">
        <f t="shared" si="14"/>
        <v>192805.56999999989</v>
      </c>
      <c r="O737" s="9" t="s">
        <v>5</v>
      </c>
    </row>
    <row r="738" spans="1:15" x14ac:dyDescent="0.2">
      <c r="A738">
        <v>35</v>
      </c>
      <c r="B738">
        <v>5</v>
      </c>
      <c r="C738">
        <v>6</v>
      </c>
      <c r="D738" s="2">
        <v>2</v>
      </c>
      <c r="E738" s="2">
        <v>1</v>
      </c>
      <c r="F738" s="2" t="s">
        <v>5</v>
      </c>
      <c r="G738" s="2">
        <v>378.80000000036802</v>
      </c>
      <c r="H738" s="2" t="s">
        <v>8</v>
      </c>
      <c r="I738" s="2">
        <v>110241</v>
      </c>
      <c r="J738" s="2">
        <v>1000</v>
      </c>
      <c r="K738" s="2">
        <v>20</v>
      </c>
      <c r="L738" s="2">
        <v>0</v>
      </c>
      <c r="M738" s="2">
        <v>120326.37</v>
      </c>
      <c r="N738">
        <f t="shared" si="14"/>
        <v>230946.17000000036</v>
      </c>
      <c r="O738" s="9" t="s">
        <v>5</v>
      </c>
    </row>
    <row r="739" spans="1:15" x14ac:dyDescent="0.2">
      <c r="A739">
        <v>36</v>
      </c>
      <c r="B739">
        <v>5</v>
      </c>
      <c r="C739">
        <v>6</v>
      </c>
      <c r="D739" s="2">
        <v>2</v>
      </c>
      <c r="E739" s="2">
        <v>2</v>
      </c>
      <c r="F739" s="2" t="s">
        <v>5</v>
      </c>
      <c r="G739" s="2">
        <v>225.399999999709</v>
      </c>
      <c r="H739" s="2" t="s">
        <v>8</v>
      </c>
      <c r="I739" s="2">
        <v>111119</v>
      </c>
      <c r="J739" s="2">
        <v>1000</v>
      </c>
      <c r="K739" s="2">
        <v>20</v>
      </c>
      <c r="L739" s="2">
        <v>0</v>
      </c>
      <c r="M739" s="2">
        <v>120446.37</v>
      </c>
      <c r="N739">
        <f t="shared" si="14"/>
        <v>231790.7699999997</v>
      </c>
      <c r="O739" s="9" t="s">
        <v>4</v>
      </c>
    </row>
    <row r="740" spans="1:15" x14ac:dyDescent="0.2">
      <c r="A740">
        <v>37</v>
      </c>
      <c r="B740">
        <v>5</v>
      </c>
      <c r="C740">
        <v>6</v>
      </c>
      <c r="D740" s="2">
        <v>2</v>
      </c>
      <c r="E740" s="2">
        <v>3</v>
      </c>
      <c r="F740" s="2" t="s">
        <v>5</v>
      </c>
      <c r="G740" s="2">
        <v>317.40000000049002</v>
      </c>
      <c r="H740" s="2" t="s">
        <v>8</v>
      </c>
      <c r="I740" s="2">
        <v>450438.99999999901</v>
      </c>
      <c r="J740" s="2">
        <v>1000</v>
      </c>
      <c r="K740" s="2">
        <v>20</v>
      </c>
      <c r="L740" s="2">
        <v>0</v>
      </c>
      <c r="M740" s="2">
        <v>113346.37</v>
      </c>
      <c r="N740">
        <f t="shared" si="14"/>
        <v>564102.76999999955</v>
      </c>
      <c r="O740" s="9" t="s">
        <v>4</v>
      </c>
    </row>
    <row r="741" spans="1:15" x14ac:dyDescent="0.2">
      <c r="A741">
        <v>38</v>
      </c>
      <c r="B741">
        <v>5</v>
      </c>
      <c r="C741">
        <v>6</v>
      </c>
      <c r="D741" s="2">
        <v>2</v>
      </c>
      <c r="E741" s="2">
        <v>1</v>
      </c>
      <c r="F741" s="2" t="s">
        <v>5</v>
      </c>
      <c r="G741" s="2">
        <v>206.39999999971801</v>
      </c>
      <c r="H741" s="2" t="s">
        <v>8</v>
      </c>
      <c r="I741" s="2">
        <v>136472</v>
      </c>
      <c r="J741" s="2">
        <v>1000</v>
      </c>
      <c r="K741" s="2">
        <v>20</v>
      </c>
      <c r="L741" s="2">
        <v>0</v>
      </c>
      <c r="M741" s="2">
        <v>101905.97</v>
      </c>
      <c r="N741">
        <f t="shared" si="14"/>
        <v>238584.36999999973</v>
      </c>
      <c r="O741" s="9" t="s">
        <v>5</v>
      </c>
    </row>
    <row r="742" spans="1:15" x14ac:dyDescent="0.2">
      <c r="A742">
        <v>39</v>
      </c>
      <c r="B742">
        <v>5</v>
      </c>
      <c r="C742">
        <v>7</v>
      </c>
      <c r="D742" s="2">
        <v>2</v>
      </c>
      <c r="E742" s="2">
        <v>1</v>
      </c>
      <c r="F742" s="2" t="s">
        <v>5</v>
      </c>
      <c r="G742" s="2">
        <v>257.600000000124</v>
      </c>
      <c r="H742" s="2" t="s">
        <v>8</v>
      </c>
      <c r="I742" s="2">
        <v>207379</v>
      </c>
      <c r="J742" s="2">
        <v>1000</v>
      </c>
      <c r="K742" s="2">
        <v>20</v>
      </c>
      <c r="L742" s="2">
        <v>0</v>
      </c>
      <c r="M742" s="2">
        <v>139225.57</v>
      </c>
      <c r="N742">
        <f t="shared" si="14"/>
        <v>346862.17000000016</v>
      </c>
      <c r="O742" s="9" t="s">
        <v>5</v>
      </c>
    </row>
    <row r="743" spans="1:15" x14ac:dyDescent="0.2">
      <c r="A743">
        <v>40</v>
      </c>
      <c r="B743">
        <v>5</v>
      </c>
      <c r="C743">
        <v>7</v>
      </c>
      <c r="D743" s="2">
        <v>2</v>
      </c>
      <c r="E743" s="2">
        <v>2</v>
      </c>
      <c r="F743" s="2" t="s">
        <v>5</v>
      </c>
      <c r="G743" s="2">
        <v>242.59999999962599</v>
      </c>
      <c r="H743" s="2" t="s">
        <v>8</v>
      </c>
      <c r="I743" s="2">
        <v>197622</v>
      </c>
      <c r="J743" s="2">
        <v>1000</v>
      </c>
      <c r="K743" s="2">
        <v>20</v>
      </c>
      <c r="L743" s="2">
        <v>0</v>
      </c>
      <c r="M743" s="2">
        <v>105225.97</v>
      </c>
      <c r="N743">
        <f t="shared" si="14"/>
        <v>303090.5699999996</v>
      </c>
      <c r="O743" s="9" t="s">
        <v>5</v>
      </c>
    </row>
    <row r="744" spans="1:15" x14ac:dyDescent="0.2">
      <c r="A744">
        <v>41</v>
      </c>
      <c r="B744">
        <v>5</v>
      </c>
      <c r="C744">
        <v>7</v>
      </c>
      <c r="D744" s="2">
        <v>2</v>
      </c>
      <c r="E744" s="2">
        <v>3</v>
      </c>
      <c r="F744" s="2" t="s">
        <v>5</v>
      </c>
      <c r="G744" s="2">
        <v>354.20000000030399</v>
      </c>
      <c r="H744" s="2" t="s">
        <v>8</v>
      </c>
      <c r="I744" s="2">
        <v>1010568</v>
      </c>
      <c r="J744" s="2">
        <v>1000</v>
      </c>
      <c r="K744" s="2">
        <v>20</v>
      </c>
      <c r="L744" s="2">
        <v>0</v>
      </c>
      <c r="M744" s="2">
        <v>134226.76999999999</v>
      </c>
      <c r="N744">
        <f t="shared" si="14"/>
        <v>1145148.9700000002</v>
      </c>
      <c r="O744" s="9" t="s">
        <v>4</v>
      </c>
    </row>
    <row r="745" spans="1:15" x14ac:dyDescent="0.2">
      <c r="A745">
        <v>42</v>
      </c>
      <c r="B745">
        <v>5</v>
      </c>
      <c r="C745">
        <v>4</v>
      </c>
      <c r="D745" s="2">
        <v>2</v>
      </c>
      <c r="E745" s="2">
        <v>1</v>
      </c>
      <c r="F745" s="2" t="s">
        <v>5</v>
      </c>
      <c r="G745" s="2">
        <v>129.800000000202</v>
      </c>
      <c r="H745" s="2" t="s">
        <v>8</v>
      </c>
      <c r="I745" s="2">
        <v>33082.000000000298</v>
      </c>
      <c r="J745" s="2">
        <v>1000</v>
      </c>
      <c r="K745" s="2">
        <v>20</v>
      </c>
      <c r="L745" s="2">
        <v>0</v>
      </c>
      <c r="M745" s="2">
        <v>112286.77</v>
      </c>
      <c r="N745">
        <f t="shared" si="14"/>
        <v>145498.5700000005</v>
      </c>
      <c r="O745" s="9" t="s">
        <v>5</v>
      </c>
    </row>
    <row r="746" spans="1:15" x14ac:dyDescent="0.2">
      <c r="A746">
        <v>43</v>
      </c>
      <c r="B746">
        <v>5</v>
      </c>
      <c r="C746">
        <v>5</v>
      </c>
      <c r="D746" s="2">
        <v>2</v>
      </c>
      <c r="E746" s="2">
        <v>1</v>
      </c>
      <c r="F746" s="2" t="s">
        <v>5</v>
      </c>
      <c r="G746" s="2">
        <v>157.00000000009601</v>
      </c>
      <c r="H746" s="2" t="s">
        <v>8</v>
      </c>
      <c r="I746" s="2">
        <v>50701.000000000102</v>
      </c>
      <c r="J746" s="2">
        <v>1000</v>
      </c>
      <c r="K746" s="2">
        <v>20</v>
      </c>
      <c r="L746" s="2">
        <v>0</v>
      </c>
      <c r="M746" s="2">
        <v>105386.37</v>
      </c>
      <c r="N746">
        <f t="shared" si="14"/>
        <v>156244.3700000002</v>
      </c>
      <c r="O746" s="9" t="s">
        <v>5</v>
      </c>
    </row>
    <row r="747" spans="1:15" x14ac:dyDescent="0.2">
      <c r="A747">
        <v>44</v>
      </c>
      <c r="B747">
        <v>5</v>
      </c>
      <c r="C747">
        <v>5</v>
      </c>
      <c r="D747" s="2">
        <v>2</v>
      </c>
      <c r="E747" s="2">
        <v>2</v>
      </c>
      <c r="F747" s="2" t="s">
        <v>5</v>
      </c>
      <c r="G747" s="2">
        <v>156.599999999685</v>
      </c>
      <c r="H747" s="2" t="s">
        <v>8</v>
      </c>
      <c r="I747" s="2">
        <v>66129.000000000102</v>
      </c>
      <c r="J747" s="2">
        <v>1000</v>
      </c>
      <c r="K747" s="2">
        <v>20</v>
      </c>
      <c r="L747" s="2">
        <v>0</v>
      </c>
      <c r="M747" s="2">
        <v>106226.37</v>
      </c>
      <c r="N747">
        <f t="shared" si="14"/>
        <v>172511.9699999998</v>
      </c>
      <c r="O747" s="9" t="s">
        <v>5</v>
      </c>
    </row>
    <row r="748" spans="1:15" x14ac:dyDescent="0.2">
      <c r="A748">
        <v>45</v>
      </c>
      <c r="B748">
        <v>5</v>
      </c>
      <c r="C748">
        <v>5</v>
      </c>
      <c r="D748" s="2">
        <v>2</v>
      </c>
      <c r="E748" s="2">
        <v>3</v>
      </c>
      <c r="F748" s="2" t="s">
        <v>5</v>
      </c>
      <c r="G748" s="2">
        <v>211.00000000018301</v>
      </c>
      <c r="H748" s="2" t="s">
        <v>8</v>
      </c>
      <c r="I748" s="2">
        <v>256781.99999999901</v>
      </c>
      <c r="J748" s="2">
        <v>1000</v>
      </c>
      <c r="K748" s="2">
        <v>20</v>
      </c>
      <c r="L748" s="2">
        <v>0</v>
      </c>
      <c r="M748" s="2">
        <v>108225.97</v>
      </c>
      <c r="N748">
        <f t="shared" si="14"/>
        <v>365218.96999999916</v>
      </c>
      <c r="O748" s="9" t="s">
        <v>5</v>
      </c>
    </row>
    <row r="749" spans="1:15" x14ac:dyDescent="0.2">
      <c r="A749">
        <v>46</v>
      </c>
      <c r="B749">
        <v>5</v>
      </c>
      <c r="C749">
        <v>6</v>
      </c>
      <c r="D749" s="2">
        <v>2</v>
      </c>
      <c r="E749" s="2">
        <v>1</v>
      </c>
      <c r="F749" s="2" t="s">
        <v>5</v>
      </c>
      <c r="G749" s="2">
        <v>189.400000000006</v>
      </c>
      <c r="H749" s="2" t="s">
        <v>8</v>
      </c>
      <c r="I749" s="2">
        <v>193839</v>
      </c>
      <c r="J749" s="2">
        <v>1000</v>
      </c>
      <c r="K749" s="2">
        <v>20</v>
      </c>
      <c r="L749" s="2">
        <v>0</v>
      </c>
      <c r="M749" s="2">
        <v>110787.17</v>
      </c>
      <c r="N749">
        <f t="shared" si="14"/>
        <v>304815.57</v>
      </c>
      <c r="O749" s="9" t="s">
        <v>5</v>
      </c>
    </row>
    <row r="750" spans="1:15" x14ac:dyDescent="0.2">
      <c r="A750">
        <v>47</v>
      </c>
      <c r="B750">
        <v>5</v>
      </c>
      <c r="C750">
        <v>6</v>
      </c>
      <c r="D750" s="2">
        <v>2</v>
      </c>
      <c r="E750" s="2">
        <v>2</v>
      </c>
      <c r="F750" s="2" t="s">
        <v>5</v>
      </c>
      <c r="G750" s="2">
        <v>193.80000000026601</v>
      </c>
      <c r="H750" s="2" t="s">
        <v>8</v>
      </c>
      <c r="I750" s="2">
        <v>113693.999999999</v>
      </c>
      <c r="J750" s="2">
        <v>1000</v>
      </c>
      <c r="K750" s="2">
        <v>20</v>
      </c>
      <c r="L750" s="2">
        <v>0</v>
      </c>
      <c r="M750" s="2">
        <v>106366.37</v>
      </c>
      <c r="N750">
        <f t="shared" si="14"/>
        <v>220254.16999999926</v>
      </c>
      <c r="O750" s="9" t="s">
        <v>5</v>
      </c>
    </row>
    <row r="751" spans="1:15" x14ac:dyDescent="0.2">
      <c r="A751">
        <v>48</v>
      </c>
      <c r="B751">
        <v>5</v>
      </c>
      <c r="C751">
        <v>6</v>
      </c>
      <c r="D751" s="2">
        <v>2</v>
      </c>
      <c r="E751" s="2">
        <v>3</v>
      </c>
      <c r="F751" s="2" t="s">
        <v>5</v>
      </c>
      <c r="G751" s="2">
        <v>249.79999999992199</v>
      </c>
      <c r="H751" s="2" t="s">
        <v>8</v>
      </c>
      <c r="I751" s="2">
        <v>251965</v>
      </c>
      <c r="J751" s="2">
        <v>1000</v>
      </c>
      <c r="K751" s="2">
        <v>20</v>
      </c>
      <c r="L751" s="2">
        <v>0</v>
      </c>
      <c r="M751" s="2">
        <v>149327.17000000001</v>
      </c>
      <c r="N751">
        <f t="shared" si="14"/>
        <v>401541.97</v>
      </c>
      <c r="O751" s="9" t="s">
        <v>5</v>
      </c>
    </row>
    <row r="752" spans="1:15" x14ac:dyDescent="0.2">
      <c r="A752">
        <v>49</v>
      </c>
      <c r="B752">
        <v>5</v>
      </c>
      <c r="C752">
        <v>6</v>
      </c>
      <c r="D752" s="2">
        <v>2</v>
      </c>
      <c r="E752" s="2">
        <v>1</v>
      </c>
      <c r="F752" s="2" t="s">
        <v>5</v>
      </c>
      <c r="G752" s="2">
        <v>183.19999999931699</v>
      </c>
      <c r="H752" s="2" t="s">
        <v>8</v>
      </c>
      <c r="I752" s="2">
        <v>102215.999999999</v>
      </c>
      <c r="J752" s="2">
        <v>1000</v>
      </c>
      <c r="K752" s="2">
        <v>20</v>
      </c>
      <c r="L752" s="2">
        <v>0</v>
      </c>
      <c r="M752" s="2">
        <v>120105.97</v>
      </c>
      <c r="N752">
        <f t="shared" si="14"/>
        <v>222505.1699999983</v>
      </c>
      <c r="O752" s="9" t="s">
        <v>5</v>
      </c>
    </row>
    <row r="753" spans="1:15" x14ac:dyDescent="0.2">
      <c r="A753">
        <v>50</v>
      </c>
      <c r="B753">
        <v>5</v>
      </c>
      <c r="C753">
        <v>6</v>
      </c>
      <c r="D753" s="2">
        <v>2</v>
      </c>
      <c r="E753" s="2">
        <v>2</v>
      </c>
      <c r="F753" s="2" t="s">
        <v>5</v>
      </c>
      <c r="G753" s="2">
        <v>190.800000000024</v>
      </c>
      <c r="H753" s="2" t="s">
        <v>8</v>
      </c>
      <c r="I753" s="2">
        <v>146021.99999999901</v>
      </c>
      <c r="J753" s="2">
        <v>1000</v>
      </c>
      <c r="K753" s="2">
        <v>20</v>
      </c>
      <c r="L753" s="2">
        <v>0</v>
      </c>
      <c r="M753" s="2">
        <v>103106.37</v>
      </c>
      <c r="N753">
        <f t="shared" si="14"/>
        <v>249319.16999999902</v>
      </c>
      <c r="O753" s="9" t="s">
        <v>5</v>
      </c>
    </row>
    <row r="754" spans="1:15" x14ac:dyDescent="0.2">
      <c r="A754">
        <v>51</v>
      </c>
      <c r="B754">
        <v>5</v>
      </c>
      <c r="C754">
        <v>6</v>
      </c>
      <c r="D754" s="2">
        <v>2</v>
      </c>
      <c r="E754" s="2">
        <v>3</v>
      </c>
      <c r="F754" s="2" t="s">
        <v>5</v>
      </c>
      <c r="G754" s="2">
        <v>252.19999999990301</v>
      </c>
      <c r="H754" s="2" t="s">
        <v>8</v>
      </c>
      <c r="I754" s="2">
        <v>203922</v>
      </c>
      <c r="J754" s="2">
        <v>1000</v>
      </c>
      <c r="K754" s="2">
        <v>20</v>
      </c>
      <c r="L754" s="2">
        <v>0</v>
      </c>
      <c r="M754" s="2">
        <v>118325.17</v>
      </c>
      <c r="N754">
        <f t="shared" si="14"/>
        <v>322499.36999999988</v>
      </c>
      <c r="O754" s="9" t="s">
        <v>4</v>
      </c>
    </row>
    <row r="755" spans="1:15" x14ac:dyDescent="0.2">
      <c r="A755">
        <v>52</v>
      </c>
      <c r="B755">
        <v>5</v>
      </c>
      <c r="C755">
        <v>7</v>
      </c>
      <c r="D755" s="2">
        <v>2</v>
      </c>
      <c r="E755" s="2">
        <v>1</v>
      </c>
      <c r="F755" s="2" t="s">
        <v>5</v>
      </c>
      <c r="G755" s="2">
        <v>219.40000000029201</v>
      </c>
      <c r="H755" s="2" t="s">
        <v>8</v>
      </c>
      <c r="I755" s="2">
        <v>251747</v>
      </c>
      <c r="J755" s="2">
        <v>1000</v>
      </c>
      <c r="K755" s="2">
        <v>20</v>
      </c>
      <c r="L755" s="2">
        <v>0</v>
      </c>
      <c r="M755" s="2">
        <v>103865.97</v>
      </c>
      <c r="N755">
        <f t="shared" si="14"/>
        <v>355832.37000000029</v>
      </c>
      <c r="O755" s="9" t="s">
        <v>5</v>
      </c>
    </row>
    <row r="756" spans="1:15" x14ac:dyDescent="0.2">
      <c r="A756">
        <v>53</v>
      </c>
      <c r="B756">
        <v>5</v>
      </c>
      <c r="C756">
        <v>7</v>
      </c>
      <c r="D756" s="2">
        <v>2</v>
      </c>
      <c r="E756" s="2">
        <v>2</v>
      </c>
      <c r="F756" s="2" t="s">
        <v>5</v>
      </c>
      <c r="G756" s="2">
        <v>218.80000000038501</v>
      </c>
      <c r="H756" s="2" t="s">
        <v>8</v>
      </c>
      <c r="I756" s="2">
        <v>209296.99999999901</v>
      </c>
      <c r="J756" s="2">
        <v>1000</v>
      </c>
      <c r="K756" s="2">
        <v>20</v>
      </c>
      <c r="L756" s="2">
        <v>0</v>
      </c>
      <c r="M756" s="2">
        <v>121785.97</v>
      </c>
      <c r="N756">
        <f t="shared" si="14"/>
        <v>331301.76999999944</v>
      </c>
      <c r="O756" s="9" t="s">
        <v>5</v>
      </c>
    </row>
    <row r="757" spans="1:15" x14ac:dyDescent="0.2">
      <c r="A757">
        <v>54</v>
      </c>
      <c r="B757">
        <v>5</v>
      </c>
      <c r="C757">
        <v>7</v>
      </c>
      <c r="D757" s="2">
        <v>2</v>
      </c>
      <c r="E757" s="2">
        <v>3</v>
      </c>
      <c r="F757" s="2" t="s">
        <v>5</v>
      </c>
      <c r="G757" s="2">
        <v>306.40000000019501</v>
      </c>
      <c r="H757" s="2" t="s">
        <v>8</v>
      </c>
      <c r="I757" s="2">
        <v>515255</v>
      </c>
      <c r="J757" s="2">
        <v>1000</v>
      </c>
      <c r="K757" s="2">
        <v>20</v>
      </c>
      <c r="L757" s="2">
        <v>0</v>
      </c>
      <c r="M757" s="2">
        <v>125084.77</v>
      </c>
      <c r="N757">
        <f t="shared" si="14"/>
        <v>640646.17000000016</v>
      </c>
      <c r="O757" s="9" t="s">
        <v>5</v>
      </c>
    </row>
    <row r="758" spans="1:15" x14ac:dyDescent="0.2">
      <c r="A758">
        <v>55</v>
      </c>
      <c r="B758">
        <v>5</v>
      </c>
      <c r="C758">
        <v>5</v>
      </c>
      <c r="D758" s="2">
        <v>2</v>
      </c>
      <c r="E758" s="2">
        <v>1</v>
      </c>
      <c r="F758" s="2" t="s">
        <v>5</v>
      </c>
      <c r="G758" s="2">
        <v>140.60000000064599</v>
      </c>
      <c r="H758" s="2" t="s">
        <v>8</v>
      </c>
      <c r="I758" s="2">
        <v>51733.999999999702</v>
      </c>
      <c r="J758" s="2">
        <v>1000</v>
      </c>
      <c r="K758" s="2">
        <v>20</v>
      </c>
      <c r="L758" s="2">
        <v>0</v>
      </c>
      <c r="M758" s="2">
        <v>111666.37</v>
      </c>
      <c r="N758">
        <f t="shared" si="14"/>
        <v>163540.97000000035</v>
      </c>
      <c r="O758" s="9" t="s">
        <v>5</v>
      </c>
    </row>
    <row r="759" spans="1:15" x14ac:dyDescent="0.2">
      <c r="A759">
        <v>56</v>
      </c>
      <c r="B759">
        <v>5</v>
      </c>
      <c r="C759">
        <v>5</v>
      </c>
      <c r="D759" s="2">
        <v>2</v>
      </c>
      <c r="E759" s="2">
        <v>2</v>
      </c>
      <c r="F759" s="2" t="s">
        <v>5</v>
      </c>
      <c r="G759" s="2">
        <v>137.60000000004899</v>
      </c>
      <c r="H759" s="2" t="s">
        <v>8</v>
      </c>
      <c r="I759" s="2">
        <v>57291.000000001099</v>
      </c>
      <c r="J759" s="2">
        <v>1000</v>
      </c>
      <c r="K759" s="2">
        <v>20</v>
      </c>
      <c r="L759" s="2">
        <v>0</v>
      </c>
      <c r="M759" s="2">
        <v>98146.37</v>
      </c>
      <c r="N759">
        <f t="shared" si="14"/>
        <v>155574.97000000114</v>
      </c>
      <c r="O759" s="9" t="s">
        <v>5</v>
      </c>
    </row>
    <row r="760" spans="1:15" x14ac:dyDescent="0.2">
      <c r="A760">
        <v>57</v>
      </c>
      <c r="B760">
        <v>5</v>
      </c>
      <c r="C760">
        <v>5</v>
      </c>
      <c r="D760" s="2">
        <v>2</v>
      </c>
      <c r="E760" s="2">
        <v>3</v>
      </c>
      <c r="F760" s="2" t="s">
        <v>5</v>
      </c>
      <c r="G760" s="2">
        <v>183.39999999987799</v>
      </c>
      <c r="H760" s="2" t="s">
        <v>8</v>
      </c>
      <c r="I760" s="2">
        <v>96692.000000000902</v>
      </c>
      <c r="J760" s="2">
        <v>1000</v>
      </c>
      <c r="K760" s="2">
        <v>20</v>
      </c>
      <c r="L760" s="2">
        <v>0</v>
      </c>
      <c r="M760" s="2">
        <v>143086.37</v>
      </c>
      <c r="N760">
        <f t="shared" si="14"/>
        <v>239961.77000000078</v>
      </c>
      <c r="O760" s="9" t="s">
        <v>4</v>
      </c>
    </row>
    <row r="761" spans="1:15" x14ac:dyDescent="0.2">
      <c r="A761">
        <v>58</v>
      </c>
      <c r="B761">
        <v>5</v>
      </c>
      <c r="C761">
        <v>6</v>
      </c>
      <c r="D761" s="2">
        <v>2</v>
      </c>
      <c r="E761" s="2">
        <v>1</v>
      </c>
      <c r="F761" s="2" t="s">
        <v>5</v>
      </c>
      <c r="G761" s="2">
        <v>215.599999999228</v>
      </c>
      <c r="H761" s="2" t="s">
        <v>8</v>
      </c>
      <c r="I761" s="2">
        <v>86040.000000000597</v>
      </c>
      <c r="J761" s="2">
        <v>1000</v>
      </c>
      <c r="K761" s="2">
        <v>20</v>
      </c>
      <c r="L761" s="2">
        <v>0</v>
      </c>
      <c r="M761" s="2">
        <v>115086.37</v>
      </c>
      <c r="N761">
        <f t="shared" si="14"/>
        <v>201341.96999999983</v>
      </c>
      <c r="O761" s="9" t="s">
        <v>5</v>
      </c>
    </row>
    <row r="762" spans="1:15" x14ac:dyDescent="0.2">
      <c r="A762">
        <v>59</v>
      </c>
      <c r="B762">
        <v>5</v>
      </c>
      <c r="C762">
        <v>6</v>
      </c>
      <c r="D762" s="2">
        <v>2</v>
      </c>
      <c r="E762" s="2">
        <v>2</v>
      </c>
      <c r="F762" s="2" t="s">
        <v>5</v>
      </c>
      <c r="G762" s="2">
        <v>212.39999999984599</v>
      </c>
      <c r="H762" s="2" t="s">
        <v>8</v>
      </c>
      <c r="I762" s="2">
        <v>68540.000000000495</v>
      </c>
      <c r="J762" s="2">
        <v>1000</v>
      </c>
      <c r="K762" s="2">
        <v>20</v>
      </c>
      <c r="L762" s="2">
        <v>0</v>
      </c>
      <c r="M762" s="2">
        <v>95966.37</v>
      </c>
      <c r="N762">
        <f t="shared" si="14"/>
        <v>164718.77000000034</v>
      </c>
      <c r="O762" s="9" t="s">
        <v>5</v>
      </c>
    </row>
    <row r="763" spans="1:15" x14ac:dyDescent="0.2">
      <c r="A763">
        <v>60</v>
      </c>
      <c r="B763">
        <v>5</v>
      </c>
      <c r="C763">
        <v>6</v>
      </c>
      <c r="D763" s="2">
        <v>2</v>
      </c>
      <c r="E763" s="2">
        <v>3</v>
      </c>
      <c r="F763" s="2" t="s">
        <v>5</v>
      </c>
      <c r="G763" s="2">
        <v>288.40000000016602</v>
      </c>
      <c r="H763" s="2" t="s">
        <v>8</v>
      </c>
      <c r="I763" s="2">
        <v>278874.99999999901</v>
      </c>
      <c r="J763" s="2">
        <v>1000</v>
      </c>
      <c r="K763" s="2">
        <v>20</v>
      </c>
      <c r="L763" s="2">
        <v>0</v>
      </c>
      <c r="M763" s="2">
        <v>108087.17</v>
      </c>
      <c r="N763">
        <f t="shared" si="14"/>
        <v>387250.56999999913</v>
      </c>
      <c r="O763" s="9" t="s">
        <v>4</v>
      </c>
    </row>
    <row r="764" spans="1:15" x14ac:dyDescent="0.2">
      <c r="A764">
        <v>61</v>
      </c>
      <c r="B764">
        <v>5</v>
      </c>
      <c r="C764">
        <v>7</v>
      </c>
      <c r="D764" s="2">
        <v>2</v>
      </c>
      <c r="E764" s="2">
        <v>1</v>
      </c>
      <c r="F764" s="2" t="s">
        <v>5</v>
      </c>
      <c r="G764" s="2">
        <v>230.60000000043601</v>
      </c>
      <c r="H764" s="2" t="s">
        <v>8</v>
      </c>
      <c r="I764" s="2">
        <v>161028</v>
      </c>
      <c r="J764" s="2">
        <v>1000</v>
      </c>
      <c r="K764" s="2">
        <v>20</v>
      </c>
      <c r="L764" s="2">
        <v>0</v>
      </c>
      <c r="M764" s="2">
        <v>146825.97</v>
      </c>
      <c r="N764">
        <f t="shared" si="14"/>
        <v>308084.57000000041</v>
      </c>
      <c r="O764" s="9" t="s">
        <v>5</v>
      </c>
    </row>
    <row r="765" spans="1:15" x14ac:dyDescent="0.2">
      <c r="A765">
        <v>62</v>
      </c>
      <c r="B765">
        <v>5</v>
      </c>
      <c r="C765">
        <v>7</v>
      </c>
      <c r="D765" s="2">
        <v>2</v>
      </c>
      <c r="E765" s="2">
        <v>2</v>
      </c>
      <c r="F765" s="2" t="s">
        <v>5</v>
      </c>
      <c r="G765" s="2">
        <v>233.80000000017299</v>
      </c>
      <c r="H765" s="2" t="s">
        <v>8</v>
      </c>
      <c r="I765" s="2">
        <v>123650</v>
      </c>
      <c r="J765" s="2">
        <v>1000</v>
      </c>
      <c r="K765" s="2">
        <v>20</v>
      </c>
      <c r="L765" s="2">
        <v>0</v>
      </c>
      <c r="M765" s="2">
        <v>121326.77</v>
      </c>
      <c r="N765">
        <f t="shared" si="14"/>
        <v>245210.57000000018</v>
      </c>
      <c r="O765" s="9" t="s">
        <v>5</v>
      </c>
    </row>
    <row r="766" spans="1:15" x14ac:dyDescent="0.2">
      <c r="A766">
        <v>63</v>
      </c>
      <c r="B766">
        <v>5</v>
      </c>
      <c r="C766">
        <v>7</v>
      </c>
      <c r="D766" s="2">
        <v>2</v>
      </c>
      <c r="E766" s="2">
        <v>3</v>
      </c>
      <c r="F766" s="2" t="s">
        <v>5</v>
      </c>
      <c r="G766" s="2">
        <v>359.799999999666</v>
      </c>
      <c r="H766" s="2" t="s">
        <v>8</v>
      </c>
      <c r="I766" s="2">
        <v>395599.00000000099</v>
      </c>
      <c r="J766" s="2">
        <v>1000</v>
      </c>
      <c r="K766" s="2">
        <v>20</v>
      </c>
      <c r="L766" s="2">
        <v>0</v>
      </c>
      <c r="M766" s="2">
        <v>116647.17</v>
      </c>
      <c r="N766">
        <f t="shared" si="14"/>
        <v>512605.97000000061</v>
      </c>
      <c r="O766" s="9" t="s">
        <v>4</v>
      </c>
    </row>
    <row r="767" spans="1:15" x14ac:dyDescent="0.2">
      <c r="A767">
        <v>64</v>
      </c>
      <c r="B767">
        <v>5</v>
      </c>
      <c r="C767">
        <v>8</v>
      </c>
      <c r="D767" s="2">
        <v>2</v>
      </c>
      <c r="E767" s="2">
        <v>1</v>
      </c>
      <c r="F767" s="2" t="s">
        <v>5</v>
      </c>
      <c r="G767" s="2">
        <v>274.00000000028501</v>
      </c>
      <c r="H767" s="2" t="s">
        <v>8</v>
      </c>
      <c r="I767" s="2">
        <v>279384</v>
      </c>
      <c r="J767" s="2">
        <v>1000</v>
      </c>
      <c r="K767" s="2">
        <v>20</v>
      </c>
      <c r="L767" s="2">
        <v>0</v>
      </c>
      <c r="M767" s="2">
        <v>106727.17</v>
      </c>
      <c r="N767">
        <f t="shared" si="14"/>
        <v>386385.17000000027</v>
      </c>
      <c r="O767" s="9" t="s">
        <v>5</v>
      </c>
    </row>
    <row r="768" spans="1:15" x14ac:dyDescent="0.2">
      <c r="A768">
        <v>65</v>
      </c>
      <c r="B768">
        <v>5</v>
      </c>
      <c r="C768">
        <v>8</v>
      </c>
      <c r="D768" s="2">
        <v>2</v>
      </c>
      <c r="E768" s="2">
        <v>2</v>
      </c>
      <c r="F768" s="2" t="s">
        <v>5</v>
      </c>
      <c r="G768" s="2">
        <v>271.20000000024902</v>
      </c>
      <c r="H768" s="2" t="s">
        <v>8</v>
      </c>
      <c r="I768" s="2">
        <v>345789</v>
      </c>
      <c r="J768" s="2">
        <v>1000</v>
      </c>
      <c r="K768" s="2">
        <v>20</v>
      </c>
      <c r="L768" s="2">
        <v>0</v>
      </c>
      <c r="M768" s="2">
        <v>123066.77</v>
      </c>
      <c r="N768">
        <f t="shared" si="14"/>
        <v>469126.97000000026</v>
      </c>
      <c r="O768" s="9" t="s">
        <v>5</v>
      </c>
    </row>
    <row r="769" spans="1:15" x14ac:dyDescent="0.2">
      <c r="A769">
        <v>66</v>
      </c>
      <c r="B769">
        <v>5</v>
      </c>
      <c r="C769">
        <v>8</v>
      </c>
      <c r="D769" s="2">
        <v>2</v>
      </c>
      <c r="E769" s="2">
        <v>3</v>
      </c>
      <c r="F769" s="2" t="s">
        <v>5</v>
      </c>
      <c r="G769" s="2">
        <v>390.99999999976399</v>
      </c>
      <c r="H769" s="2" t="s">
        <v>8</v>
      </c>
      <c r="I769" s="2">
        <v>1149315</v>
      </c>
      <c r="J769" s="2">
        <v>1000</v>
      </c>
      <c r="K769" s="2">
        <v>20</v>
      </c>
      <c r="L769" s="2">
        <v>0</v>
      </c>
      <c r="M769" s="2">
        <v>124705.97</v>
      </c>
      <c r="N769">
        <f t="shared" si="14"/>
        <v>1274411.9699999997</v>
      </c>
      <c r="O769" s="9" t="s">
        <v>4</v>
      </c>
    </row>
    <row r="770" spans="1:15" x14ac:dyDescent="0.2">
      <c r="A770">
        <v>67</v>
      </c>
      <c r="B770">
        <v>5</v>
      </c>
      <c r="C770">
        <v>7</v>
      </c>
      <c r="D770" s="2">
        <v>2</v>
      </c>
      <c r="E770" s="2">
        <v>1</v>
      </c>
      <c r="F770" s="2" t="s">
        <v>5</v>
      </c>
      <c r="G770" s="2">
        <v>210.20000000007099</v>
      </c>
      <c r="H770" s="2" t="s">
        <v>8</v>
      </c>
      <c r="I770" s="2">
        <v>176762</v>
      </c>
      <c r="J770" s="2">
        <v>1000</v>
      </c>
      <c r="K770" s="2">
        <v>20</v>
      </c>
      <c r="L770" s="2">
        <v>0</v>
      </c>
      <c r="M770" s="2">
        <v>117725.97</v>
      </c>
      <c r="N770">
        <f t="shared" si="14"/>
        <v>294698.17000000004</v>
      </c>
      <c r="O770" s="9" t="s">
        <v>5</v>
      </c>
    </row>
    <row r="771" spans="1:15" x14ac:dyDescent="0.2">
      <c r="A771">
        <v>68</v>
      </c>
      <c r="B771">
        <v>5</v>
      </c>
      <c r="C771">
        <v>7</v>
      </c>
      <c r="D771" s="2">
        <v>2</v>
      </c>
      <c r="E771" s="2">
        <v>2</v>
      </c>
      <c r="F771" s="2" t="s">
        <v>5</v>
      </c>
      <c r="G771" s="2">
        <v>210.00000000022101</v>
      </c>
      <c r="H771" s="2" t="s">
        <v>8</v>
      </c>
      <c r="I771" s="2">
        <v>175160</v>
      </c>
      <c r="J771" s="2">
        <v>1000</v>
      </c>
      <c r="K771" s="2">
        <v>20</v>
      </c>
      <c r="L771" s="2">
        <v>0</v>
      </c>
      <c r="M771" s="2">
        <v>101805.17</v>
      </c>
      <c r="N771">
        <f t="shared" si="14"/>
        <v>277175.17000000022</v>
      </c>
      <c r="O771" s="9" t="s">
        <v>5</v>
      </c>
    </row>
    <row r="772" spans="1:15" x14ac:dyDescent="0.2">
      <c r="A772">
        <v>69</v>
      </c>
      <c r="B772">
        <v>5</v>
      </c>
      <c r="C772">
        <v>7</v>
      </c>
      <c r="D772" s="2">
        <v>2</v>
      </c>
      <c r="E772" s="2">
        <v>3</v>
      </c>
      <c r="F772" s="2" t="s">
        <v>5</v>
      </c>
      <c r="G772" s="2">
        <v>292.59999999986502</v>
      </c>
      <c r="H772" s="2" t="s">
        <v>8</v>
      </c>
      <c r="I772" s="2">
        <v>386187</v>
      </c>
      <c r="J772" s="2">
        <v>1000</v>
      </c>
      <c r="K772" s="2">
        <v>20</v>
      </c>
      <c r="L772" s="2">
        <v>0</v>
      </c>
      <c r="M772" s="2">
        <v>97425.17</v>
      </c>
      <c r="N772">
        <f t="shared" si="14"/>
        <v>483904.76999999984</v>
      </c>
      <c r="O772" s="9" t="s">
        <v>5</v>
      </c>
    </row>
    <row r="773" spans="1:15" x14ac:dyDescent="0.2">
      <c r="A773">
        <v>28</v>
      </c>
      <c r="B773">
        <v>5</v>
      </c>
      <c r="C773">
        <v>4</v>
      </c>
      <c r="D773" s="2">
        <v>2</v>
      </c>
      <c r="E773" s="2">
        <v>1</v>
      </c>
      <c r="F773" s="2" t="s">
        <v>5</v>
      </c>
      <c r="G773" s="2">
        <v>541.19999999961999</v>
      </c>
      <c r="H773" s="2" t="s">
        <v>8</v>
      </c>
      <c r="I773" s="2">
        <v>37176.000000000502</v>
      </c>
      <c r="J773" s="2">
        <v>2000</v>
      </c>
      <c r="K773" s="2">
        <v>20</v>
      </c>
      <c r="L773" s="2">
        <v>0</v>
      </c>
      <c r="M773" s="2">
        <v>190849.17</v>
      </c>
      <c r="N773">
        <f t="shared" si="14"/>
        <v>228566.37000000014</v>
      </c>
      <c r="O773" s="9" t="s">
        <v>5</v>
      </c>
    </row>
    <row r="774" spans="1:15" x14ac:dyDescent="0.2">
      <c r="A774">
        <v>29</v>
      </c>
      <c r="B774">
        <v>5</v>
      </c>
      <c r="C774">
        <v>5</v>
      </c>
      <c r="D774" s="2">
        <v>2</v>
      </c>
      <c r="E774" s="2">
        <v>2</v>
      </c>
      <c r="F774" s="2" t="s">
        <v>5</v>
      </c>
      <c r="G774" s="2">
        <v>547.39999999959798</v>
      </c>
      <c r="H774" s="2" t="s">
        <v>8</v>
      </c>
      <c r="I774" s="2">
        <v>71896.000000000597</v>
      </c>
      <c r="J774" s="2">
        <v>2000</v>
      </c>
      <c r="K774" s="2">
        <v>20</v>
      </c>
      <c r="L774" s="2">
        <v>0</v>
      </c>
      <c r="M774" s="2">
        <v>217327.97</v>
      </c>
      <c r="N774">
        <f t="shared" si="14"/>
        <v>289771.37000000023</v>
      </c>
      <c r="O774" s="9" t="s">
        <v>5</v>
      </c>
    </row>
    <row r="775" spans="1:15" x14ac:dyDescent="0.2">
      <c r="A775">
        <v>30</v>
      </c>
      <c r="B775">
        <v>5</v>
      </c>
      <c r="C775">
        <v>5</v>
      </c>
      <c r="D775" s="2">
        <v>2</v>
      </c>
      <c r="E775" s="2">
        <v>3</v>
      </c>
      <c r="F775" s="2" t="s">
        <v>5</v>
      </c>
      <c r="G775" s="2">
        <v>598.60000000000502</v>
      </c>
      <c r="H775" s="2" t="s">
        <v>8</v>
      </c>
      <c r="I775" s="2">
        <v>251473</v>
      </c>
      <c r="J775" s="2">
        <v>2000</v>
      </c>
      <c r="K775" s="2">
        <v>20</v>
      </c>
      <c r="L775" s="2">
        <v>0</v>
      </c>
      <c r="M775" s="2">
        <v>221969.57</v>
      </c>
      <c r="N775">
        <f t="shared" si="14"/>
        <v>474041.17000000004</v>
      </c>
      <c r="O775" s="9" t="s">
        <v>4</v>
      </c>
    </row>
    <row r="776" spans="1:15" x14ac:dyDescent="0.2">
      <c r="A776">
        <v>31</v>
      </c>
      <c r="B776">
        <v>5</v>
      </c>
      <c r="C776">
        <v>5</v>
      </c>
      <c r="D776" s="2">
        <v>2</v>
      </c>
      <c r="E776" s="2">
        <v>1</v>
      </c>
      <c r="F776" s="2" t="s">
        <v>5</v>
      </c>
      <c r="G776" s="2">
        <v>351.19999999970702</v>
      </c>
      <c r="H776" s="2" t="s">
        <v>8</v>
      </c>
      <c r="I776" s="2">
        <v>68826.999999999796</v>
      </c>
      <c r="J776" s="2">
        <v>2000</v>
      </c>
      <c r="K776" s="2">
        <v>20</v>
      </c>
      <c r="L776" s="2">
        <v>0</v>
      </c>
      <c r="M776" s="2">
        <v>175608.77</v>
      </c>
      <c r="N776">
        <f t="shared" si="14"/>
        <v>244786.96999999951</v>
      </c>
      <c r="O776" s="9" t="s">
        <v>5</v>
      </c>
    </row>
    <row r="777" spans="1:15" x14ac:dyDescent="0.2">
      <c r="A777">
        <v>32</v>
      </c>
      <c r="B777">
        <v>5</v>
      </c>
      <c r="C777">
        <v>5</v>
      </c>
      <c r="D777" s="2">
        <v>2</v>
      </c>
      <c r="E777" s="2">
        <v>2</v>
      </c>
      <c r="F777" s="2" t="s">
        <v>5</v>
      </c>
      <c r="G777" s="2">
        <v>356.00000000002302</v>
      </c>
      <c r="H777" s="2" t="s">
        <v>8</v>
      </c>
      <c r="I777" s="2">
        <v>64877.000000000102</v>
      </c>
      <c r="J777" s="2">
        <v>2000</v>
      </c>
      <c r="K777" s="2">
        <v>20</v>
      </c>
      <c r="L777" s="2">
        <v>0</v>
      </c>
      <c r="M777" s="2">
        <v>189488.77</v>
      </c>
      <c r="N777">
        <f t="shared" si="14"/>
        <v>254721.77000000011</v>
      </c>
      <c r="O777" s="9" t="s">
        <v>5</v>
      </c>
    </row>
    <row r="778" spans="1:15" x14ac:dyDescent="0.2">
      <c r="A778">
        <v>33</v>
      </c>
      <c r="B778">
        <v>5</v>
      </c>
      <c r="C778">
        <v>5</v>
      </c>
      <c r="D778" s="2">
        <v>2</v>
      </c>
      <c r="E778" s="2">
        <v>3</v>
      </c>
      <c r="F778" s="2" t="s">
        <v>5</v>
      </c>
      <c r="G778" s="2">
        <v>485.39999999981399</v>
      </c>
      <c r="H778" s="2" t="s">
        <v>8</v>
      </c>
      <c r="I778" s="2">
        <v>255639</v>
      </c>
      <c r="J778" s="2">
        <v>2000</v>
      </c>
      <c r="K778" s="2">
        <v>20</v>
      </c>
      <c r="L778" s="2">
        <v>0</v>
      </c>
      <c r="M778" s="2">
        <v>265808.37</v>
      </c>
      <c r="N778">
        <f t="shared" si="14"/>
        <v>521932.76999999979</v>
      </c>
      <c r="O778" s="9" t="s">
        <v>5</v>
      </c>
    </row>
    <row r="779" spans="1:15" x14ac:dyDescent="0.2">
      <c r="A779">
        <v>34</v>
      </c>
      <c r="B779">
        <v>5</v>
      </c>
      <c r="C779">
        <v>5</v>
      </c>
      <c r="D779" s="2">
        <v>2</v>
      </c>
      <c r="E779" s="2">
        <v>1</v>
      </c>
      <c r="F779" s="2" t="s">
        <v>5</v>
      </c>
      <c r="G779" s="2">
        <v>307.60000000000798</v>
      </c>
      <c r="H779" s="2" t="s">
        <v>8</v>
      </c>
      <c r="I779" s="2">
        <v>49771.999999999898</v>
      </c>
      <c r="J779" s="2">
        <v>2000</v>
      </c>
      <c r="K779" s="2">
        <v>20</v>
      </c>
      <c r="L779" s="2">
        <v>0</v>
      </c>
      <c r="M779" s="2">
        <v>269528.37</v>
      </c>
      <c r="N779">
        <f t="shared" si="14"/>
        <v>319607.96999999991</v>
      </c>
      <c r="O779" s="9" t="s">
        <v>5</v>
      </c>
    </row>
    <row r="780" spans="1:15" x14ac:dyDescent="0.2">
      <c r="A780">
        <v>35</v>
      </c>
      <c r="B780">
        <v>5</v>
      </c>
      <c r="C780">
        <v>6</v>
      </c>
      <c r="D780" s="2">
        <v>2</v>
      </c>
      <c r="E780" s="2">
        <v>1</v>
      </c>
      <c r="F780" s="2" t="s">
        <v>5</v>
      </c>
      <c r="G780" s="2">
        <v>378.80000000036802</v>
      </c>
      <c r="H780" s="2" t="s">
        <v>8</v>
      </c>
      <c r="I780" s="2">
        <v>110241</v>
      </c>
      <c r="J780" s="2">
        <v>2000</v>
      </c>
      <c r="K780" s="2">
        <v>20</v>
      </c>
      <c r="L780" s="2">
        <v>0</v>
      </c>
      <c r="M780" s="2">
        <v>224728.37</v>
      </c>
      <c r="N780">
        <f t="shared" si="14"/>
        <v>335348.17000000039</v>
      </c>
      <c r="O780" s="9" t="s">
        <v>5</v>
      </c>
    </row>
    <row r="781" spans="1:15" x14ac:dyDescent="0.2">
      <c r="A781">
        <v>36</v>
      </c>
      <c r="B781">
        <v>5</v>
      </c>
      <c r="C781">
        <v>6</v>
      </c>
      <c r="D781" s="2">
        <v>2</v>
      </c>
      <c r="E781" s="2">
        <v>2</v>
      </c>
      <c r="F781" s="2" t="s">
        <v>5</v>
      </c>
      <c r="G781" s="2">
        <v>225.399999999709</v>
      </c>
      <c r="H781" s="2" t="s">
        <v>8</v>
      </c>
      <c r="I781" s="2">
        <v>111119</v>
      </c>
      <c r="J781" s="2">
        <v>2000</v>
      </c>
      <c r="K781" s="2">
        <v>20</v>
      </c>
      <c r="L781" s="2">
        <v>0</v>
      </c>
      <c r="M781" s="2">
        <v>224968.37</v>
      </c>
      <c r="N781">
        <f t="shared" si="14"/>
        <v>336312.76999999967</v>
      </c>
      <c r="O781" s="9" t="s">
        <v>5</v>
      </c>
    </row>
    <row r="782" spans="1:15" x14ac:dyDescent="0.2">
      <c r="A782">
        <v>37</v>
      </c>
      <c r="B782">
        <v>5</v>
      </c>
      <c r="C782">
        <v>6</v>
      </c>
      <c r="D782" s="2">
        <v>2</v>
      </c>
      <c r="E782" s="2">
        <v>3</v>
      </c>
      <c r="F782" s="2" t="s">
        <v>5</v>
      </c>
      <c r="G782" s="2">
        <v>317.40000000049002</v>
      </c>
      <c r="H782" s="2" t="s">
        <v>8</v>
      </c>
      <c r="I782" s="2">
        <v>450438.99999999901</v>
      </c>
      <c r="J782" s="2">
        <v>2000</v>
      </c>
      <c r="K782" s="2">
        <v>20</v>
      </c>
      <c r="L782" s="2">
        <v>0</v>
      </c>
      <c r="M782" s="2">
        <v>210768.77</v>
      </c>
      <c r="N782">
        <f t="shared" si="14"/>
        <v>661525.16999999946</v>
      </c>
      <c r="O782" s="9" t="s">
        <v>4</v>
      </c>
    </row>
    <row r="783" spans="1:15" x14ac:dyDescent="0.2">
      <c r="A783">
        <v>38</v>
      </c>
      <c r="B783">
        <v>5</v>
      </c>
      <c r="C783">
        <v>6</v>
      </c>
      <c r="D783" s="2">
        <v>2</v>
      </c>
      <c r="E783" s="2">
        <v>1</v>
      </c>
      <c r="F783" s="2" t="s">
        <v>5</v>
      </c>
      <c r="G783" s="2">
        <v>206.39999999971801</v>
      </c>
      <c r="H783" s="2" t="s">
        <v>8</v>
      </c>
      <c r="I783" s="2">
        <v>136472</v>
      </c>
      <c r="J783" s="2">
        <v>2000</v>
      </c>
      <c r="K783" s="2">
        <v>20</v>
      </c>
      <c r="L783" s="2">
        <v>0</v>
      </c>
      <c r="M783" s="2">
        <v>187888.37</v>
      </c>
      <c r="N783">
        <f t="shared" si="14"/>
        <v>324566.76999999973</v>
      </c>
      <c r="O783" s="9" t="s">
        <v>5</v>
      </c>
    </row>
    <row r="784" spans="1:15" x14ac:dyDescent="0.2">
      <c r="A784">
        <v>39</v>
      </c>
      <c r="B784">
        <v>5</v>
      </c>
      <c r="C784">
        <v>7</v>
      </c>
      <c r="D784" s="2">
        <v>2</v>
      </c>
      <c r="E784" s="2">
        <v>1</v>
      </c>
      <c r="F784" s="2" t="s">
        <v>5</v>
      </c>
      <c r="G784" s="2">
        <v>257.600000000124</v>
      </c>
      <c r="H784" s="2" t="s">
        <v>8</v>
      </c>
      <c r="I784" s="2">
        <v>207379</v>
      </c>
      <c r="J784" s="2">
        <v>2000</v>
      </c>
      <c r="K784" s="2">
        <v>20</v>
      </c>
      <c r="L784" s="2">
        <v>0</v>
      </c>
      <c r="M784" s="2">
        <v>262528.37</v>
      </c>
      <c r="N784">
        <f t="shared" si="14"/>
        <v>470164.97000000009</v>
      </c>
      <c r="O784" s="9" t="s">
        <v>5</v>
      </c>
    </row>
    <row r="785" spans="1:15" x14ac:dyDescent="0.2">
      <c r="A785">
        <v>40</v>
      </c>
      <c r="B785">
        <v>5</v>
      </c>
      <c r="C785">
        <v>7</v>
      </c>
      <c r="D785" s="2">
        <v>2</v>
      </c>
      <c r="E785" s="2">
        <v>2</v>
      </c>
      <c r="F785" s="2" t="s">
        <v>5</v>
      </c>
      <c r="G785" s="2">
        <v>242.59999999962599</v>
      </c>
      <c r="H785" s="2" t="s">
        <v>8</v>
      </c>
      <c r="I785" s="2">
        <v>197622</v>
      </c>
      <c r="J785" s="2">
        <v>2000</v>
      </c>
      <c r="K785" s="2">
        <v>20</v>
      </c>
      <c r="L785" s="2">
        <v>0</v>
      </c>
      <c r="M785" s="2">
        <v>194529.57</v>
      </c>
      <c r="N785">
        <f t="shared" si="14"/>
        <v>392394.16999999963</v>
      </c>
      <c r="O785" s="9" t="s">
        <v>5</v>
      </c>
    </row>
    <row r="786" spans="1:15" x14ac:dyDescent="0.2">
      <c r="A786">
        <v>41</v>
      </c>
      <c r="B786">
        <v>5</v>
      </c>
      <c r="C786">
        <v>7</v>
      </c>
      <c r="D786" s="2">
        <v>2</v>
      </c>
      <c r="E786" s="2">
        <v>3</v>
      </c>
      <c r="F786" s="2" t="s">
        <v>5</v>
      </c>
      <c r="G786" s="2">
        <v>354.20000000030399</v>
      </c>
      <c r="H786" s="2" t="s">
        <v>8</v>
      </c>
      <c r="I786" s="2">
        <v>1010568</v>
      </c>
      <c r="J786" s="2">
        <v>2000</v>
      </c>
      <c r="K786" s="2">
        <v>20</v>
      </c>
      <c r="L786" s="2">
        <v>0</v>
      </c>
      <c r="M786" s="2">
        <v>252528.77</v>
      </c>
      <c r="N786">
        <f t="shared" si="14"/>
        <v>1263450.9700000002</v>
      </c>
      <c r="O786" s="9" t="s">
        <v>4</v>
      </c>
    </row>
    <row r="787" spans="1:15" x14ac:dyDescent="0.2">
      <c r="A787">
        <v>42</v>
      </c>
      <c r="B787">
        <v>5</v>
      </c>
      <c r="C787">
        <v>4</v>
      </c>
      <c r="D787" s="2">
        <v>2</v>
      </c>
      <c r="E787" s="2">
        <v>1</v>
      </c>
      <c r="F787" s="2" t="s">
        <v>5</v>
      </c>
      <c r="G787" s="2">
        <v>129.800000000202</v>
      </c>
      <c r="H787" s="2" t="s">
        <v>8</v>
      </c>
      <c r="I787" s="2">
        <v>33082.000000000298</v>
      </c>
      <c r="J787" s="2">
        <v>2000</v>
      </c>
      <c r="K787" s="2">
        <v>20</v>
      </c>
      <c r="L787" s="2">
        <v>0</v>
      </c>
      <c r="M787" s="2">
        <v>208649.17</v>
      </c>
      <c r="N787">
        <f t="shared" si="14"/>
        <v>241860.9700000005</v>
      </c>
      <c r="O787" s="9" t="s">
        <v>5</v>
      </c>
    </row>
    <row r="788" spans="1:15" x14ac:dyDescent="0.2">
      <c r="A788">
        <v>43</v>
      </c>
      <c r="B788">
        <v>5</v>
      </c>
      <c r="C788">
        <v>5</v>
      </c>
      <c r="D788" s="2">
        <v>2</v>
      </c>
      <c r="E788" s="2">
        <v>1</v>
      </c>
      <c r="F788" s="2" t="s">
        <v>5</v>
      </c>
      <c r="G788" s="2">
        <v>157.00000000009601</v>
      </c>
      <c r="H788" s="2" t="s">
        <v>8</v>
      </c>
      <c r="I788" s="2">
        <v>50701.000000000102</v>
      </c>
      <c r="J788" s="2">
        <v>2000</v>
      </c>
      <c r="K788" s="2">
        <v>20</v>
      </c>
      <c r="L788" s="2">
        <v>0</v>
      </c>
      <c r="M788" s="2">
        <v>194849.97</v>
      </c>
      <c r="N788">
        <f t="shared" si="14"/>
        <v>245707.9700000002</v>
      </c>
      <c r="O788" s="9" t="s">
        <v>5</v>
      </c>
    </row>
    <row r="789" spans="1:15" x14ac:dyDescent="0.2">
      <c r="A789">
        <v>44</v>
      </c>
      <c r="B789">
        <v>5</v>
      </c>
      <c r="C789">
        <v>5</v>
      </c>
      <c r="D789" s="2">
        <v>2</v>
      </c>
      <c r="E789" s="2">
        <v>2</v>
      </c>
      <c r="F789" s="2" t="s">
        <v>5</v>
      </c>
      <c r="G789" s="2">
        <v>156.599999999685</v>
      </c>
      <c r="H789" s="2" t="s">
        <v>8</v>
      </c>
      <c r="I789" s="2">
        <v>66129.000000000102</v>
      </c>
      <c r="J789" s="2">
        <v>2000</v>
      </c>
      <c r="K789" s="2">
        <v>20</v>
      </c>
      <c r="L789" s="2">
        <v>0</v>
      </c>
      <c r="M789" s="2">
        <v>196528.77</v>
      </c>
      <c r="N789">
        <f t="shared" si="14"/>
        <v>262814.36999999976</v>
      </c>
      <c r="O789" s="9" t="s">
        <v>5</v>
      </c>
    </row>
    <row r="790" spans="1:15" x14ac:dyDescent="0.2">
      <c r="A790">
        <v>45</v>
      </c>
      <c r="B790">
        <v>5</v>
      </c>
      <c r="C790">
        <v>5</v>
      </c>
      <c r="D790" s="2">
        <v>2</v>
      </c>
      <c r="E790" s="2">
        <v>3</v>
      </c>
      <c r="F790" s="2" t="s">
        <v>5</v>
      </c>
      <c r="G790" s="2">
        <v>211.00000000018301</v>
      </c>
      <c r="H790" s="2" t="s">
        <v>8</v>
      </c>
      <c r="I790" s="2">
        <v>256781.99999999901</v>
      </c>
      <c r="J790" s="2">
        <v>2000</v>
      </c>
      <c r="K790" s="2">
        <v>20</v>
      </c>
      <c r="L790" s="2">
        <v>0</v>
      </c>
      <c r="M790" s="2">
        <v>200528.37</v>
      </c>
      <c r="N790">
        <f t="shared" si="14"/>
        <v>457521.36999999918</v>
      </c>
      <c r="O790" s="9" t="s">
        <v>4</v>
      </c>
    </row>
    <row r="791" spans="1:15" x14ac:dyDescent="0.2">
      <c r="A791">
        <v>46</v>
      </c>
      <c r="B791">
        <v>5</v>
      </c>
      <c r="C791">
        <v>6</v>
      </c>
      <c r="D791" s="2">
        <v>2</v>
      </c>
      <c r="E791" s="2">
        <v>1</v>
      </c>
      <c r="F791" s="2" t="s">
        <v>5</v>
      </c>
      <c r="G791" s="2">
        <v>189.400000000006</v>
      </c>
      <c r="H791" s="2" t="s">
        <v>8</v>
      </c>
      <c r="I791" s="2">
        <v>193839</v>
      </c>
      <c r="J791" s="2">
        <v>2000</v>
      </c>
      <c r="K791" s="2">
        <v>20</v>
      </c>
      <c r="L791" s="2">
        <v>0</v>
      </c>
      <c r="M791" s="2">
        <v>205649.57</v>
      </c>
      <c r="N791">
        <f t="shared" si="14"/>
        <v>399677.97</v>
      </c>
      <c r="O791" s="9" t="s">
        <v>5</v>
      </c>
    </row>
    <row r="792" spans="1:15" x14ac:dyDescent="0.2">
      <c r="A792">
        <v>47</v>
      </c>
      <c r="B792">
        <v>5</v>
      </c>
      <c r="C792">
        <v>6</v>
      </c>
      <c r="D792" s="2">
        <v>2</v>
      </c>
      <c r="E792" s="2">
        <v>2</v>
      </c>
      <c r="F792" s="2" t="s">
        <v>5</v>
      </c>
      <c r="G792" s="2">
        <v>193.80000000026601</v>
      </c>
      <c r="H792" s="2" t="s">
        <v>8</v>
      </c>
      <c r="I792" s="2">
        <v>113693.999999999</v>
      </c>
      <c r="J792" s="2">
        <v>2000</v>
      </c>
      <c r="K792" s="2">
        <v>20</v>
      </c>
      <c r="L792" s="2">
        <v>0</v>
      </c>
      <c r="M792" s="2">
        <v>196808.77</v>
      </c>
      <c r="N792">
        <f t="shared" si="14"/>
        <v>310696.56999999925</v>
      </c>
      <c r="O792" s="9" t="s">
        <v>5</v>
      </c>
    </row>
    <row r="793" spans="1:15" x14ac:dyDescent="0.2">
      <c r="A793">
        <v>48</v>
      </c>
      <c r="B793">
        <v>5</v>
      </c>
      <c r="C793">
        <v>6</v>
      </c>
      <c r="D793" s="2">
        <v>2</v>
      </c>
      <c r="E793" s="2">
        <v>3</v>
      </c>
      <c r="F793" s="2" t="s">
        <v>5</v>
      </c>
      <c r="G793" s="2">
        <v>249.79999999992199</v>
      </c>
      <c r="H793" s="2" t="s">
        <v>8</v>
      </c>
      <c r="I793" s="2">
        <v>251965</v>
      </c>
      <c r="J793" s="2">
        <v>2000</v>
      </c>
      <c r="K793" s="2">
        <v>20</v>
      </c>
      <c r="L793" s="2">
        <v>0</v>
      </c>
      <c r="M793" s="2">
        <v>282729.96999999997</v>
      </c>
      <c r="N793">
        <f t="shared" si="14"/>
        <v>534944.7699999999</v>
      </c>
      <c r="O793" s="9" t="s">
        <v>4</v>
      </c>
    </row>
    <row r="794" spans="1:15" x14ac:dyDescent="0.2">
      <c r="A794">
        <v>49</v>
      </c>
      <c r="B794">
        <v>5</v>
      </c>
      <c r="C794">
        <v>6</v>
      </c>
      <c r="D794" s="2">
        <v>2</v>
      </c>
      <c r="E794" s="2">
        <v>1</v>
      </c>
      <c r="F794" s="2" t="s">
        <v>5</v>
      </c>
      <c r="G794" s="2">
        <v>183.19999999931699</v>
      </c>
      <c r="H794" s="2" t="s">
        <v>8</v>
      </c>
      <c r="I794" s="2">
        <v>102215.999999999</v>
      </c>
      <c r="J794" s="2">
        <v>2000</v>
      </c>
      <c r="K794" s="2">
        <v>20</v>
      </c>
      <c r="L794" s="2">
        <v>0</v>
      </c>
      <c r="M794" s="2">
        <v>224289.57</v>
      </c>
      <c r="N794">
        <f t="shared" si="14"/>
        <v>326688.76999999833</v>
      </c>
      <c r="O794" s="9" t="s">
        <v>5</v>
      </c>
    </row>
    <row r="795" spans="1:15" x14ac:dyDescent="0.2">
      <c r="A795">
        <v>50</v>
      </c>
      <c r="B795">
        <v>5</v>
      </c>
      <c r="C795">
        <v>6</v>
      </c>
      <c r="D795" s="2">
        <v>2</v>
      </c>
      <c r="E795" s="2">
        <v>2</v>
      </c>
      <c r="F795" s="2" t="s">
        <v>5</v>
      </c>
      <c r="G795" s="2">
        <v>190.800000000024</v>
      </c>
      <c r="H795" s="2" t="s">
        <v>8</v>
      </c>
      <c r="I795" s="2">
        <v>146021.99999999901</v>
      </c>
      <c r="J795" s="2">
        <v>2000</v>
      </c>
      <c r="K795" s="2">
        <v>20</v>
      </c>
      <c r="L795" s="2">
        <v>0</v>
      </c>
      <c r="M795" s="2">
        <v>190288.77</v>
      </c>
      <c r="N795">
        <f t="shared" ref="N795:N858" si="15">G795+I795+M795</f>
        <v>336501.56999999902</v>
      </c>
      <c r="O795" s="9" t="s">
        <v>5</v>
      </c>
    </row>
    <row r="796" spans="1:15" x14ac:dyDescent="0.2">
      <c r="A796">
        <v>51</v>
      </c>
      <c r="B796">
        <v>5</v>
      </c>
      <c r="C796">
        <v>6</v>
      </c>
      <c r="D796" s="2">
        <v>2</v>
      </c>
      <c r="E796" s="2">
        <v>3</v>
      </c>
      <c r="F796" s="2" t="s">
        <v>5</v>
      </c>
      <c r="G796" s="2">
        <v>252.19999999990301</v>
      </c>
      <c r="H796" s="2" t="s">
        <v>8</v>
      </c>
      <c r="I796" s="2">
        <v>203922</v>
      </c>
      <c r="J796" s="2">
        <v>2000</v>
      </c>
      <c r="K796" s="2">
        <v>20</v>
      </c>
      <c r="L796" s="2">
        <v>0</v>
      </c>
      <c r="M796" s="2">
        <v>220727.97</v>
      </c>
      <c r="N796">
        <f t="shared" si="15"/>
        <v>424902.16999999993</v>
      </c>
      <c r="O796" s="9" t="s">
        <v>5</v>
      </c>
    </row>
    <row r="797" spans="1:15" x14ac:dyDescent="0.2">
      <c r="A797">
        <v>52</v>
      </c>
      <c r="B797">
        <v>5</v>
      </c>
      <c r="C797">
        <v>7</v>
      </c>
      <c r="D797" s="2">
        <v>2</v>
      </c>
      <c r="E797" s="2">
        <v>1</v>
      </c>
      <c r="F797" s="2" t="s">
        <v>5</v>
      </c>
      <c r="G797" s="2">
        <v>219.40000000029201</v>
      </c>
      <c r="H797" s="2" t="s">
        <v>8</v>
      </c>
      <c r="I797" s="2">
        <v>251747</v>
      </c>
      <c r="J797" s="2">
        <v>2000</v>
      </c>
      <c r="K797" s="2">
        <v>20</v>
      </c>
      <c r="L797" s="2">
        <v>0</v>
      </c>
      <c r="M797" s="2">
        <v>191808.37</v>
      </c>
      <c r="N797">
        <f t="shared" si="15"/>
        <v>443774.77000000025</v>
      </c>
      <c r="O797" s="9" t="s">
        <v>5</v>
      </c>
    </row>
    <row r="798" spans="1:15" x14ac:dyDescent="0.2">
      <c r="A798">
        <v>53</v>
      </c>
      <c r="B798">
        <v>5</v>
      </c>
      <c r="C798">
        <v>7</v>
      </c>
      <c r="D798" s="2">
        <v>2</v>
      </c>
      <c r="E798" s="2">
        <v>2</v>
      </c>
      <c r="F798" s="2" t="s">
        <v>5</v>
      </c>
      <c r="G798" s="2">
        <v>218.80000000038501</v>
      </c>
      <c r="H798" s="2" t="s">
        <v>8</v>
      </c>
      <c r="I798" s="2">
        <v>209296.99999999901</v>
      </c>
      <c r="J798" s="2">
        <v>2000</v>
      </c>
      <c r="K798" s="2">
        <v>20</v>
      </c>
      <c r="L798" s="2">
        <v>0</v>
      </c>
      <c r="M798" s="2">
        <v>227648.77</v>
      </c>
      <c r="N798">
        <f t="shared" si="15"/>
        <v>437164.56999999937</v>
      </c>
      <c r="O798" s="9" t="s">
        <v>5</v>
      </c>
    </row>
    <row r="799" spans="1:15" x14ac:dyDescent="0.2">
      <c r="A799">
        <v>54</v>
      </c>
      <c r="B799">
        <v>5</v>
      </c>
      <c r="C799">
        <v>7</v>
      </c>
      <c r="D799" s="2">
        <v>2</v>
      </c>
      <c r="E799" s="2">
        <v>3</v>
      </c>
      <c r="F799" s="2" t="s">
        <v>5</v>
      </c>
      <c r="G799" s="2">
        <v>306.40000000019501</v>
      </c>
      <c r="H799" s="2" t="s">
        <v>8</v>
      </c>
      <c r="I799" s="2">
        <v>515255</v>
      </c>
      <c r="J799" s="2">
        <v>2000</v>
      </c>
      <c r="K799" s="2">
        <v>20</v>
      </c>
      <c r="L799" s="2">
        <v>0</v>
      </c>
      <c r="M799" s="2">
        <v>234247.17</v>
      </c>
      <c r="N799">
        <f t="shared" si="15"/>
        <v>749808.57000000018</v>
      </c>
      <c r="O799" s="9" t="s">
        <v>4</v>
      </c>
    </row>
    <row r="800" spans="1:15" x14ac:dyDescent="0.2">
      <c r="A800">
        <v>55</v>
      </c>
      <c r="B800">
        <v>5</v>
      </c>
      <c r="C800">
        <v>5</v>
      </c>
      <c r="D800" s="2">
        <v>2</v>
      </c>
      <c r="E800" s="2">
        <v>1</v>
      </c>
      <c r="F800" s="2" t="s">
        <v>5</v>
      </c>
      <c r="G800" s="2">
        <v>140.60000000064599</v>
      </c>
      <c r="H800" s="2" t="s">
        <v>8</v>
      </c>
      <c r="I800" s="2">
        <v>51733.999999999702</v>
      </c>
      <c r="J800" s="2">
        <v>2000</v>
      </c>
      <c r="K800" s="2">
        <v>20</v>
      </c>
      <c r="L800" s="2">
        <v>0</v>
      </c>
      <c r="M800" s="2">
        <v>207408.77</v>
      </c>
      <c r="N800">
        <f t="shared" si="15"/>
        <v>259283.37000000034</v>
      </c>
      <c r="O800" s="9" t="s">
        <v>5</v>
      </c>
    </row>
    <row r="801" spans="1:15" x14ac:dyDescent="0.2">
      <c r="A801">
        <v>56</v>
      </c>
      <c r="B801">
        <v>5</v>
      </c>
      <c r="C801">
        <v>5</v>
      </c>
      <c r="D801" s="2">
        <v>2</v>
      </c>
      <c r="E801" s="2">
        <v>2</v>
      </c>
      <c r="F801" s="2" t="s">
        <v>5</v>
      </c>
      <c r="G801" s="2">
        <v>137.60000000004899</v>
      </c>
      <c r="H801" s="2" t="s">
        <v>8</v>
      </c>
      <c r="I801" s="2">
        <v>57291.000000001099</v>
      </c>
      <c r="J801" s="2">
        <v>2000</v>
      </c>
      <c r="K801" s="2">
        <v>20</v>
      </c>
      <c r="L801" s="2">
        <v>0</v>
      </c>
      <c r="M801" s="2">
        <v>180368.77</v>
      </c>
      <c r="N801">
        <f t="shared" si="15"/>
        <v>237797.37000000113</v>
      </c>
      <c r="O801" s="9" t="s">
        <v>5</v>
      </c>
    </row>
    <row r="802" spans="1:15" x14ac:dyDescent="0.2">
      <c r="A802">
        <v>57</v>
      </c>
      <c r="B802">
        <v>5</v>
      </c>
      <c r="C802">
        <v>5</v>
      </c>
      <c r="D802" s="2">
        <v>2</v>
      </c>
      <c r="E802" s="2">
        <v>3</v>
      </c>
      <c r="F802" s="2" t="s">
        <v>5</v>
      </c>
      <c r="G802" s="2">
        <v>183.39999999987799</v>
      </c>
      <c r="H802" s="2" t="s">
        <v>8</v>
      </c>
      <c r="I802" s="2">
        <v>96692.000000000902</v>
      </c>
      <c r="J802" s="2">
        <v>2000</v>
      </c>
      <c r="K802" s="2">
        <v>20</v>
      </c>
      <c r="L802" s="2">
        <v>0</v>
      </c>
      <c r="M802" s="2">
        <v>270249.17</v>
      </c>
      <c r="N802">
        <f t="shared" si="15"/>
        <v>367124.57000000076</v>
      </c>
      <c r="O802" s="9" t="s">
        <v>5</v>
      </c>
    </row>
    <row r="803" spans="1:15" x14ac:dyDescent="0.2">
      <c r="A803">
        <v>58</v>
      </c>
      <c r="B803">
        <v>5</v>
      </c>
      <c r="C803">
        <v>6</v>
      </c>
      <c r="D803" s="2">
        <v>2</v>
      </c>
      <c r="E803" s="2">
        <v>1</v>
      </c>
      <c r="F803" s="2" t="s">
        <v>5</v>
      </c>
      <c r="G803" s="2">
        <v>215.599999999228</v>
      </c>
      <c r="H803" s="2" t="s">
        <v>8</v>
      </c>
      <c r="I803" s="2">
        <v>86040.000000000597</v>
      </c>
      <c r="J803" s="2">
        <v>2000</v>
      </c>
      <c r="K803" s="2">
        <v>20</v>
      </c>
      <c r="L803" s="2">
        <v>0</v>
      </c>
      <c r="M803" s="2">
        <v>214248.77</v>
      </c>
      <c r="N803">
        <f t="shared" si="15"/>
        <v>300504.36999999982</v>
      </c>
      <c r="O803" s="9" t="s">
        <v>5</v>
      </c>
    </row>
    <row r="804" spans="1:15" x14ac:dyDescent="0.2">
      <c r="A804">
        <v>59</v>
      </c>
      <c r="B804">
        <v>5</v>
      </c>
      <c r="C804">
        <v>6</v>
      </c>
      <c r="D804" s="2">
        <v>2</v>
      </c>
      <c r="E804" s="2">
        <v>2</v>
      </c>
      <c r="F804" s="2" t="s">
        <v>5</v>
      </c>
      <c r="G804" s="2">
        <v>212.39999999984599</v>
      </c>
      <c r="H804" s="2" t="s">
        <v>8</v>
      </c>
      <c r="I804" s="2">
        <v>68540.000000000495</v>
      </c>
      <c r="J804" s="2">
        <v>2000</v>
      </c>
      <c r="K804" s="2">
        <v>20</v>
      </c>
      <c r="L804" s="2">
        <v>0</v>
      </c>
      <c r="M804" s="2">
        <v>176008.37</v>
      </c>
      <c r="N804">
        <f t="shared" si="15"/>
        <v>244760.77000000034</v>
      </c>
      <c r="O804" s="9" t="s">
        <v>5</v>
      </c>
    </row>
    <row r="805" spans="1:15" x14ac:dyDescent="0.2">
      <c r="A805">
        <v>60</v>
      </c>
      <c r="B805">
        <v>5</v>
      </c>
      <c r="C805">
        <v>6</v>
      </c>
      <c r="D805" s="2">
        <v>2</v>
      </c>
      <c r="E805" s="2">
        <v>3</v>
      </c>
      <c r="F805" s="2" t="s">
        <v>5</v>
      </c>
      <c r="G805" s="2">
        <v>288.40000000016602</v>
      </c>
      <c r="H805" s="2" t="s">
        <v>8</v>
      </c>
      <c r="I805" s="2">
        <v>278874.99999999901</v>
      </c>
      <c r="J805" s="2">
        <v>2000</v>
      </c>
      <c r="K805" s="2">
        <v>20</v>
      </c>
      <c r="L805" s="2">
        <v>0</v>
      </c>
      <c r="M805" s="2">
        <v>200249.97</v>
      </c>
      <c r="N805">
        <f t="shared" si="15"/>
        <v>479413.36999999918</v>
      </c>
      <c r="O805" s="9" t="s">
        <v>4</v>
      </c>
    </row>
    <row r="806" spans="1:15" x14ac:dyDescent="0.2">
      <c r="A806">
        <v>61</v>
      </c>
      <c r="B806">
        <v>5</v>
      </c>
      <c r="C806">
        <v>7</v>
      </c>
      <c r="D806" s="2">
        <v>2</v>
      </c>
      <c r="E806" s="2">
        <v>1</v>
      </c>
      <c r="F806" s="2" t="s">
        <v>5</v>
      </c>
      <c r="G806" s="2">
        <v>230.60000000043601</v>
      </c>
      <c r="H806" s="2" t="s">
        <v>8</v>
      </c>
      <c r="I806" s="2">
        <v>161028</v>
      </c>
      <c r="J806" s="2">
        <v>2000</v>
      </c>
      <c r="K806" s="2">
        <v>20</v>
      </c>
      <c r="L806" s="2">
        <v>0</v>
      </c>
      <c r="M806" s="2">
        <v>277728.77</v>
      </c>
      <c r="N806">
        <f t="shared" si="15"/>
        <v>438987.37000000046</v>
      </c>
      <c r="O806" s="9" t="s">
        <v>5</v>
      </c>
    </row>
    <row r="807" spans="1:15" x14ac:dyDescent="0.2">
      <c r="A807">
        <v>62</v>
      </c>
      <c r="B807">
        <v>5</v>
      </c>
      <c r="C807">
        <v>7</v>
      </c>
      <c r="D807" s="2">
        <v>2</v>
      </c>
      <c r="E807" s="2">
        <v>2</v>
      </c>
      <c r="F807" s="2" t="s">
        <v>5</v>
      </c>
      <c r="G807" s="2">
        <v>233.80000000017299</v>
      </c>
      <c r="H807" s="2" t="s">
        <v>8</v>
      </c>
      <c r="I807" s="2">
        <v>123650</v>
      </c>
      <c r="J807" s="2">
        <v>2000</v>
      </c>
      <c r="K807" s="2">
        <v>20</v>
      </c>
      <c r="L807" s="2">
        <v>0</v>
      </c>
      <c r="M807" s="2">
        <v>226729.57</v>
      </c>
      <c r="N807">
        <f t="shared" si="15"/>
        <v>350613.37000000017</v>
      </c>
      <c r="O807" s="9" t="s">
        <v>5</v>
      </c>
    </row>
    <row r="808" spans="1:15" x14ac:dyDescent="0.2">
      <c r="A808">
        <v>63</v>
      </c>
      <c r="B808">
        <v>5</v>
      </c>
      <c r="C808">
        <v>7</v>
      </c>
      <c r="D808" s="2">
        <v>2</v>
      </c>
      <c r="E808" s="2">
        <v>3</v>
      </c>
      <c r="F808" s="2" t="s">
        <v>5</v>
      </c>
      <c r="G808" s="2">
        <v>359.799999999666</v>
      </c>
      <c r="H808" s="2" t="s">
        <v>8</v>
      </c>
      <c r="I808" s="2">
        <v>395599.00000000099</v>
      </c>
      <c r="J808" s="2">
        <v>2000</v>
      </c>
      <c r="K808" s="2">
        <v>20</v>
      </c>
      <c r="L808" s="2">
        <v>0</v>
      </c>
      <c r="M808" s="2">
        <v>217369.57</v>
      </c>
      <c r="N808">
        <f t="shared" si="15"/>
        <v>613328.37000000058</v>
      </c>
      <c r="O808" s="9" t="s">
        <v>4</v>
      </c>
    </row>
    <row r="809" spans="1:15" x14ac:dyDescent="0.2">
      <c r="A809">
        <v>64</v>
      </c>
      <c r="B809">
        <v>5</v>
      </c>
      <c r="C809">
        <v>8</v>
      </c>
      <c r="D809" s="2">
        <v>2</v>
      </c>
      <c r="E809" s="2">
        <v>1</v>
      </c>
      <c r="F809" s="2" t="s">
        <v>5</v>
      </c>
      <c r="G809" s="2">
        <v>274.00000000028501</v>
      </c>
      <c r="H809" s="2" t="s">
        <v>8</v>
      </c>
      <c r="I809" s="2">
        <v>279384</v>
      </c>
      <c r="J809" s="2">
        <v>2000</v>
      </c>
      <c r="K809" s="2">
        <v>20</v>
      </c>
      <c r="L809" s="2">
        <v>0</v>
      </c>
      <c r="M809" s="2">
        <v>197529.97</v>
      </c>
      <c r="N809">
        <f t="shared" si="15"/>
        <v>477187.97000000032</v>
      </c>
      <c r="O809" s="9" t="s">
        <v>5</v>
      </c>
    </row>
    <row r="810" spans="1:15" x14ac:dyDescent="0.2">
      <c r="A810">
        <v>65</v>
      </c>
      <c r="B810">
        <v>5</v>
      </c>
      <c r="C810">
        <v>8</v>
      </c>
      <c r="D810" s="2">
        <v>2</v>
      </c>
      <c r="E810" s="2">
        <v>2</v>
      </c>
      <c r="F810" s="2" t="s">
        <v>5</v>
      </c>
      <c r="G810" s="2">
        <v>271.20000000024902</v>
      </c>
      <c r="H810" s="2" t="s">
        <v>8</v>
      </c>
      <c r="I810" s="2">
        <v>345789</v>
      </c>
      <c r="J810" s="2">
        <v>2000</v>
      </c>
      <c r="K810" s="2">
        <v>20</v>
      </c>
      <c r="L810" s="2">
        <v>0</v>
      </c>
      <c r="M810" s="2">
        <v>230209.17</v>
      </c>
      <c r="N810">
        <f t="shared" si="15"/>
        <v>576269.37000000023</v>
      </c>
      <c r="O810" s="9" t="s">
        <v>5</v>
      </c>
    </row>
    <row r="811" spans="1:15" x14ac:dyDescent="0.2">
      <c r="A811">
        <v>66</v>
      </c>
      <c r="B811">
        <v>5</v>
      </c>
      <c r="C811">
        <v>8</v>
      </c>
      <c r="D811" s="2">
        <v>2</v>
      </c>
      <c r="E811" s="2">
        <v>3</v>
      </c>
      <c r="F811" s="2" t="s">
        <v>5</v>
      </c>
      <c r="G811" s="2">
        <v>390.99999999976399</v>
      </c>
      <c r="H811" s="2" t="s">
        <v>8</v>
      </c>
      <c r="I811" s="2">
        <v>1149315</v>
      </c>
      <c r="J811" s="2">
        <v>2000</v>
      </c>
      <c r="K811" s="2">
        <v>20</v>
      </c>
      <c r="L811" s="2">
        <v>0</v>
      </c>
      <c r="M811" s="2">
        <v>233488.77</v>
      </c>
      <c r="N811">
        <f t="shared" si="15"/>
        <v>1383194.7699999998</v>
      </c>
      <c r="O811" s="9" t="s">
        <v>4</v>
      </c>
    </row>
    <row r="812" spans="1:15" x14ac:dyDescent="0.2">
      <c r="A812">
        <v>67</v>
      </c>
      <c r="B812">
        <v>5</v>
      </c>
      <c r="C812">
        <v>7</v>
      </c>
      <c r="D812" s="2">
        <v>2</v>
      </c>
      <c r="E812" s="2">
        <v>1</v>
      </c>
      <c r="F812" s="2" t="s">
        <v>5</v>
      </c>
      <c r="G812" s="2">
        <v>210.20000000007099</v>
      </c>
      <c r="H812" s="2" t="s">
        <v>8</v>
      </c>
      <c r="I812" s="2">
        <v>176762</v>
      </c>
      <c r="J812" s="2">
        <v>2000</v>
      </c>
      <c r="K812" s="2">
        <v>20</v>
      </c>
      <c r="L812" s="2">
        <v>0</v>
      </c>
      <c r="M812" s="2">
        <v>219529.17</v>
      </c>
      <c r="N812">
        <f t="shared" si="15"/>
        <v>396501.37000000011</v>
      </c>
      <c r="O812" s="9" t="s">
        <v>5</v>
      </c>
    </row>
    <row r="813" spans="1:15" x14ac:dyDescent="0.2">
      <c r="A813">
        <v>68</v>
      </c>
      <c r="B813">
        <v>5</v>
      </c>
      <c r="C813">
        <v>7</v>
      </c>
      <c r="D813" s="2">
        <v>2</v>
      </c>
      <c r="E813" s="2">
        <v>2</v>
      </c>
      <c r="F813" s="2" t="s">
        <v>5</v>
      </c>
      <c r="G813" s="2">
        <v>210.00000000022101</v>
      </c>
      <c r="H813" s="2" t="s">
        <v>8</v>
      </c>
      <c r="I813" s="2">
        <v>175160</v>
      </c>
      <c r="J813" s="2">
        <v>2000</v>
      </c>
      <c r="K813" s="2">
        <v>20</v>
      </c>
      <c r="L813" s="2">
        <v>0</v>
      </c>
      <c r="M813" s="2">
        <v>187687.97</v>
      </c>
      <c r="N813">
        <f t="shared" si="15"/>
        <v>363057.9700000002</v>
      </c>
      <c r="O813" s="9" t="s">
        <v>5</v>
      </c>
    </row>
    <row r="814" spans="1:15" x14ac:dyDescent="0.2">
      <c r="A814">
        <v>69</v>
      </c>
      <c r="B814">
        <v>5</v>
      </c>
      <c r="C814">
        <v>7</v>
      </c>
      <c r="D814" s="2">
        <v>2</v>
      </c>
      <c r="E814" s="2">
        <v>3</v>
      </c>
      <c r="F814" s="2" t="s">
        <v>5</v>
      </c>
      <c r="G814" s="2">
        <v>292.59999999986502</v>
      </c>
      <c r="H814" s="2" t="s">
        <v>8</v>
      </c>
      <c r="I814" s="2">
        <v>386187</v>
      </c>
      <c r="J814" s="2">
        <v>2000</v>
      </c>
      <c r="K814" s="2">
        <v>20</v>
      </c>
      <c r="L814" s="2">
        <v>0</v>
      </c>
      <c r="M814" s="2">
        <v>178927.17</v>
      </c>
      <c r="N814">
        <f t="shared" si="15"/>
        <v>565406.7699999999</v>
      </c>
      <c r="O814" s="9" t="s">
        <v>4</v>
      </c>
    </row>
    <row r="815" spans="1:15" x14ac:dyDescent="0.2">
      <c r="A815">
        <v>28</v>
      </c>
      <c r="B815">
        <v>5</v>
      </c>
      <c r="C815">
        <v>4</v>
      </c>
      <c r="D815" s="2">
        <v>2</v>
      </c>
      <c r="E815" s="2">
        <v>1</v>
      </c>
      <c r="F815" s="2" t="s">
        <v>5</v>
      </c>
      <c r="G815" s="2">
        <v>541.19999999961999</v>
      </c>
      <c r="H815" s="2" t="s">
        <v>8</v>
      </c>
      <c r="I815" s="2">
        <v>37176.000000000502</v>
      </c>
      <c r="J815" s="2">
        <v>3000</v>
      </c>
      <c r="K815" s="2">
        <v>20</v>
      </c>
      <c r="L815" s="2">
        <v>0</v>
      </c>
      <c r="M815" s="2">
        <v>278309.17</v>
      </c>
      <c r="N815">
        <f t="shared" si="15"/>
        <v>316026.37000000011</v>
      </c>
      <c r="O815" s="9" t="s">
        <v>5</v>
      </c>
    </row>
    <row r="816" spans="1:15" x14ac:dyDescent="0.2">
      <c r="A816">
        <v>29</v>
      </c>
      <c r="B816">
        <v>5</v>
      </c>
      <c r="C816">
        <v>5</v>
      </c>
      <c r="D816" s="2">
        <v>2</v>
      </c>
      <c r="E816" s="2">
        <v>2</v>
      </c>
      <c r="F816" s="2" t="s">
        <v>5</v>
      </c>
      <c r="G816" s="2">
        <v>547.39999999959798</v>
      </c>
      <c r="H816" s="2" t="s">
        <v>8</v>
      </c>
      <c r="I816" s="2">
        <v>71896.000000000597</v>
      </c>
      <c r="J816" s="2">
        <v>3000</v>
      </c>
      <c r="K816" s="2">
        <v>20</v>
      </c>
      <c r="L816" s="2">
        <v>0</v>
      </c>
      <c r="M816" s="2">
        <v>318027.96999999997</v>
      </c>
      <c r="N816">
        <f t="shared" si="15"/>
        <v>390471.37000000017</v>
      </c>
      <c r="O816" s="9" t="s">
        <v>5</v>
      </c>
    </row>
    <row r="817" spans="1:15" x14ac:dyDescent="0.2">
      <c r="A817">
        <v>30</v>
      </c>
      <c r="B817">
        <v>5</v>
      </c>
      <c r="C817">
        <v>5</v>
      </c>
      <c r="D817" s="2">
        <v>2</v>
      </c>
      <c r="E817" s="2">
        <v>3</v>
      </c>
      <c r="F817" s="2" t="s">
        <v>5</v>
      </c>
      <c r="G817" s="2">
        <v>598.60000000000502</v>
      </c>
      <c r="H817" s="2" t="s">
        <v>8</v>
      </c>
      <c r="I817" s="2">
        <v>251473</v>
      </c>
      <c r="J817" s="2">
        <v>3000</v>
      </c>
      <c r="K817" s="2">
        <v>20</v>
      </c>
      <c r="L817" s="2">
        <v>0</v>
      </c>
      <c r="M817" s="2">
        <v>324989.57</v>
      </c>
      <c r="N817">
        <f t="shared" si="15"/>
        <v>577061.17000000004</v>
      </c>
      <c r="O817" s="9" t="s">
        <v>5</v>
      </c>
    </row>
    <row r="818" spans="1:15" x14ac:dyDescent="0.2">
      <c r="A818">
        <v>31</v>
      </c>
      <c r="B818">
        <v>5</v>
      </c>
      <c r="C818">
        <v>5</v>
      </c>
      <c r="D818" s="2">
        <v>2</v>
      </c>
      <c r="E818" s="2">
        <v>1</v>
      </c>
      <c r="F818" s="2" t="s">
        <v>5</v>
      </c>
      <c r="G818" s="2">
        <v>351.19999999970702</v>
      </c>
      <c r="H818" s="2" t="s">
        <v>8</v>
      </c>
      <c r="I818" s="2">
        <v>68826.999999999796</v>
      </c>
      <c r="J818" s="2">
        <v>3000</v>
      </c>
      <c r="K818" s="2">
        <v>20</v>
      </c>
      <c r="L818" s="2">
        <v>0</v>
      </c>
      <c r="M818" s="2">
        <v>255448.77</v>
      </c>
      <c r="N818">
        <f t="shared" si="15"/>
        <v>324626.96999999951</v>
      </c>
      <c r="O818" s="9" t="s">
        <v>5</v>
      </c>
    </row>
    <row r="819" spans="1:15" x14ac:dyDescent="0.2">
      <c r="A819">
        <v>32</v>
      </c>
      <c r="B819">
        <v>5</v>
      </c>
      <c r="C819">
        <v>5</v>
      </c>
      <c r="D819" s="2">
        <v>2</v>
      </c>
      <c r="E819" s="2">
        <v>2</v>
      </c>
      <c r="F819" s="2" t="s">
        <v>5</v>
      </c>
      <c r="G819" s="2">
        <v>356.00000000002302</v>
      </c>
      <c r="H819" s="2" t="s">
        <v>8</v>
      </c>
      <c r="I819" s="2">
        <v>64877.000000000102</v>
      </c>
      <c r="J819" s="2">
        <v>3000</v>
      </c>
      <c r="K819" s="2">
        <v>20</v>
      </c>
      <c r="L819" s="2">
        <v>0</v>
      </c>
      <c r="M819" s="2">
        <v>276268.77</v>
      </c>
      <c r="N819">
        <f t="shared" si="15"/>
        <v>341501.77000000014</v>
      </c>
      <c r="O819" s="9" t="s">
        <v>5</v>
      </c>
    </row>
    <row r="820" spans="1:15" x14ac:dyDescent="0.2">
      <c r="A820">
        <v>33</v>
      </c>
      <c r="B820">
        <v>5</v>
      </c>
      <c r="C820">
        <v>5</v>
      </c>
      <c r="D820" s="2">
        <v>2</v>
      </c>
      <c r="E820" s="2">
        <v>3</v>
      </c>
      <c r="F820" s="2" t="s">
        <v>5</v>
      </c>
      <c r="G820" s="2">
        <v>485.39999999981399</v>
      </c>
      <c r="H820" s="2" t="s">
        <v>8</v>
      </c>
      <c r="I820" s="2">
        <v>255639</v>
      </c>
      <c r="J820" s="2">
        <v>3000</v>
      </c>
      <c r="K820" s="2">
        <v>20</v>
      </c>
      <c r="L820" s="2">
        <v>0</v>
      </c>
      <c r="M820" s="2">
        <v>390748.37</v>
      </c>
      <c r="N820">
        <f t="shared" si="15"/>
        <v>646872.76999999979</v>
      </c>
      <c r="O820" s="9" t="s">
        <v>5</v>
      </c>
    </row>
    <row r="821" spans="1:15" x14ac:dyDescent="0.2">
      <c r="A821">
        <v>34</v>
      </c>
      <c r="B821">
        <v>5</v>
      </c>
      <c r="C821">
        <v>5</v>
      </c>
      <c r="D821" s="2">
        <v>2</v>
      </c>
      <c r="E821" s="2">
        <v>1</v>
      </c>
      <c r="F821" s="2" t="s">
        <v>5</v>
      </c>
      <c r="G821" s="2">
        <v>307.60000000000798</v>
      </c>
      <c r="H821" s="2" t="s">
        <v>8</v>
      </c>
      <c r="I821" s="2">
        <v>49771.999999999898</v>
      </c>
      <c r="J821" s="2">
        <v>3000</v>
      </c>
      <c r="K821" s="2">
        <v>20</v>
      </c>
      <c r="L821" s="2">
        <v>0</v>
      </c>
      <c r="M821" s="2">
        <v>396328.37</v>
      </c>
      <c r="N821">
        <f t="shared" si="15"/>
        <v>446407.96999999991</v>
      </c>
      <c r="O821" s="9" t="s">
        <v>5</v>
      </c>
    </row>
    <row r="822" spans="1:15" x14ac:dyDescent="0.2">
      <c r="A822">
        <v>35</v>
      </c>
      <c r="B822">
        <v>5</v>
      </c>
      <c r="C822">
        <v>6</v>
      </c>
      <c r="D822" s="2">
        <v>2</v>
      </c>
      <c r="E822" s="2">
        <v>1</v>
      </c>
      <c r="F822" s="2" t="s">
        <v>5</v>
      </c>
      <c r="G822" s="2">
        <v>378.80000000036802</v>
      </c>
      <c r="H822" s="2" t="s">
        <v>8</v>
      </c>
      <c r="I822" s="2">
        <v>110241</v>
      </c>
      <c r="J822" s="2">
        <v>3000</v>
      </c>
      <c r="K822" s="2">
        <v>20</v>
      </c>
      <c r="L822" s="2">
        <v>0</v>
      </c>
      <c r="M822" s="2">
        <v>329128.37</v>
      </c>
      <c r="N822">
        <f t="shared" si="15"/>
        <v>439748.17000000039</v>
      </c>
      <c r="O822" s="9" t="s">
        <v>5</v>
      </c>
    </row>
    <row r="823" spans="1:15" x14ac:dyDescent="0.2">
      <c r="A823">
        <v>36</v>
      </c>
      <c r="B823">
        <v>5</v>
      </c>
      <c r="C823">
        <v>6</v>
      </c>
      <c r="D823" s="2">
        <v>2</v>
      </c>
      <c r="E823" s="2">
        <v>2</v>
      </c>
      <c r="F823" s="2" t="s">
        <v>5</v>
      </c>
      <c r="G823" s="2">
        <v>225.399999999709</v>
      </c>
      <c r="H823" s="2" t="s">
        <v>8</v>
      </c>
      <c r="I823" s="2">
        <v>111119</v>
      </c>
      <c r="J823" s="2">
        <v>3000</v>
      </c>
      <c r="K823" s="2">
        <v>20</v>
      </c>
      <c r="L823" s="2">
        <v>0</v>
      </c>
      <c r="M823" s="2">
        <v>329488.37</v>
      </c>
      <c r="N823">
        <f t="shared" si="15"/>
        <v>440832.76999999967</v>
      </c>
      <c r="O823" s="9" t="s">
        <v>5</v>
      </c>
    </row>
    <row r="824" spans="1:15" x14ac:dyDescent="0.2">
      <c r="A824">
        <v>37</v>
      </c>
      <c r="B824">
        <v>5</v>
      </c>
      <c r="C824">
        <v>6</v>
      </c>
      <c r="D824" s="2">
        <v>2</v>
      </c>
      <c r="E824" s="2">
        <v>3</v>
      </c>
      <c r="F824" s="2" t="s">
        <v>5</v>
      </c>
      <c r="G824" s="2">
        <v>317.40000000049002</v>
      </c>
      <c r="H824" s="2" t="s">
        <v>8</v>
      </c>
      <c r="I824" s="2">
        <v>450438.99999999901</v>
      </c>
      <c r="J824" s="2">
        <v>3000</v>
      </c>
      <c r="K824" s="2">
        <v>20</v>
      </c>
      <c r="L824" s="2">
        <v>0</v>
      </c>
      <c r="M824" s="2">
        <v>308188.77</v>
      </c>
      <c r="N824">
        <f t="shared" si="15"/>
        <v>758945.16999999946</v>
      </c>
      <c r="O824" s="9" t="s">
        <v>4</v>
      </c>
    </row>
    <row r="825" spans="1:15" x14ac:dyDescent="0.2">
      <c r="A825">
        <v>38</v>
      </c>
      <c r="B825">
        <v>5</v>
      </c>
      <c r="C825">
        <v>6</v>
      </c>
      <c r="D825" s="2">
        <v>2</v>
      </c>
      <c r="E825" s="2">
        <v>1</v>
      </c>
      <c r="F825" s="2" t="s">
        <v>5</v>
      </c>
      <c r="G825" s="2">
        <v>206.39999999971801</v>
      </c>
      <c r="H825" s="2" t="s">
        <v>8</v>
      </c>
      <c r="I825" s="2">
        <v>136472</v>
      </c>
      <c r="J825" s="2">
        <v>3000</v>
      </c>
      <c r="K825" s="2">
        <v>20</v>
      </c>
      <c r="L825" s="2">
        <v>0</v>
      </c>
      <c r="M825" s="2">
        <v>273868.37</v>
      </c>
      <c r="N825">
        <f t="shared" si="15"/>
        <v>410546.76999999973</v>
      </c>
      <c r="O825" s="9" t="s">
        <v>5</v>
      </c>
    </row>
    <row r="826" spans="1:15" x14ac:dyDescent="0.2">
      <c r="A826">
        <v>39</v>
      </c>
      <c r="B826">
        <v>5</v>
      </c>
      <c r="C826">
        <v>7</v>
      </c>
      <c r="D826" s="2">
        <v>2</v>
      </c>
      <c r="E826" s="2">
        <v>1</v>
      </c>
      <c r="F826" s="2" t="s">
        <v>5</v>
      </c>
      <c r="G826" s="2">
        <v>257.600000000124</v>
      </c>
      <c r="H826" s="2" t="s">
        <v>8</v>
      </c>
      <c r="I826" s="2">
        <v>207379</v>
      </c>
      <c r="J826" s="2">
        <v>3000</v>
      </c>
      <c r="K826" s="2">
        <v>20</v>
      </c>
      <c r="L826" s="2">
        <v>0</v>
      </c>
      <c r="M826" s="2">
        <v>385828.37</v>
      </c>
      <c r="N826">
        <f t="shared" si="15"/>
        <v>593464.97000000009</v>
      </c>
      <c r="O826" s="9" t="s">
        <v>5</v>
      </c>
    </row>
    <row r="827" spans="1:15" x14ac:dyDescent="0.2">
      <c r="A827">
        <v>40</v>
      </c>
      <c r="B827">
        <v>5</v>
      </c>
      <c r="C827">
        <v>7</v>
      </c>
      <c r="D827" s="2">
        <v>2</v>
      </c>
      <c r="E827" s="2">
        <v>2</v>
      </c>
      <c r="F827" s="2" t="s">
        <v>5</v>
      </c>
      <c r="G827" s="2">
        <v>242.59999999962599</v>
      </c>
      <c r="H827" s="2" t="s">
        <v>8</v>
      </c>
      <c r="I827" s="2">
        <v>197622</v>
      </c>
      <c r="J827" s="2">
        <v>3000</v>
      </c>
      <c r="K827" s="2">
        <v>20</v>
      </c>
      <c r="L827" s="2">
        <v>0</v>
      </c>
      <c r="M827" s="2">
        <v>283829.57</v>
      </c>
      <c r="N827">
        <f t="shared" si="15"/>
        <v>481694.16999999963</v>
      </c>
      <c r="O827" s="9" t="s">
        <v>5</v>
      </c>
    </row>
    <row r="828" spans="1:15" x14ac:dyDescent="0.2">
      <c r="A828">
        <v>41</v>
      </c>
      <c r="B828">
        <v>5</v>
      </c>
      <c r="C828">
        <v>7</v>
      </c>
      <c r="D828" s="2">
        <v>2</v>
      </c>
      <c r="E828" s="2">
        <v>3</v>
      </c>
      <c r="F828" s="2" t="s">
        <v>5</v>
      </c>
      <c r="G828" s="2">
        <v>354.20000000030399</v>
      </c>
      <c r="H828" s="2" t="s">
        <v>8</v>
      </c>
      <c r="I828" s="2">
        <v>1010568</v>
      </c>
      <c r="J828" s="2">
        <v>3000</v>
      </c>
      <c r="K828" s="2">
        <v>20</v>
      </c>
      <c r="L828" s="2">
        <v>0</v>
      </c>
      <c r="M828" s="2">
        <v>370828.77</v>
      </c>
      <c r="N828">
        <f t="shared" si="15"/>
        <v>1381750.9700000002</v>
      </c>
      <c r="O828" s="9" t="s">
        <v>4</v>
      </c>
    </row>
    <row r="829" spans="1:15" x14ac:dyDescent="0.2">
      <c r="A829">
        <v>42</v>
      </c>
      <c r="B829">
        <v>5</v>
      </c>
      <c r="C829">
        <v>4</v>
      </c>
      <c r="D829" s="2">
        <v>2</v>
      </c>
      <c r="E829" s="2">
        <v>1</v>
      </c>
      <c r="F829" s="2" t="s">
        <v>5</v>
      </c>
      <c r="G829" s="2">
        <v>129.800000000202</v>
      </c>
      <c r="H829" s="2" t="s">
        <v>8</v>
      </c>
      <c r="I829" s="2">
        <v>33082.000000000298</v>
      </c>
      <c r="J829" s="2">
        <v>3000</v>
      </c>
      <c r="K829" s="2">
        <v>20</v>
      </c>
      <c r="L829" s="2">
        <v>0</v>
      </c>
      <c r="M829" s="2">
        <v>305009.17</v>
      </c>
      <c r="N829">
        <f t="shared" si="15"/>
        <v>338220.9700000005</v>
      </c>
      <c r="O829" s="9" t="s">
        <v>5</v>
      </c>
    </row>
    <row r="830" spans="1:15" x14ac:dyDescent="0.2">
      <c r="A830">
        <v>43</v>
      </c>
      <c r="B830">
        <v>5</v>
      </c>
      <c r="C830">
        <v>5</v>
      </c>
      <c r="D830" s="2">
        <v>2</v>
      </c>
      <c r="E830" s="2">
        <v>1</v>
      </c>
      <c r="F830" s="2" t="s">
        <v>5</v>
      </c>
      <c r="G830" s="2">
        <v>157.00000000009601</v>
      </c>
      <c r="H830" s="2" t="s">
        <v>8</v>
      </c>
      <c r="I830" s="2">
        <v>50701.000000000102</v>
      </c>
      <c r="J830" s="2">
        <v>3000</v>
      </c>
      <c r="K830" s="2">
        <v>20</v>
      </c>
      <c r="L830" s="2">
        <v>0</v>
      </c>
      <c r="M830" s="2">
        <v>284309.96999999997</v>
      </c>
      <c r="N830">
        <f t="shared" si="15"/>
        <v>335167.97000000015</v>
      </c>
      <c r="O830" s="9" t="s">
        <v>5</v>
      </c>
    </row>
    <row r="831" spans="1:15" x14ac:dyDescent="0.2">
      <c r="A831">
        <v>44</v>
      </c>
      <c r="B831">
        <v>5</v>
      </c>
      <c r="C831">
        <v>5</v>
      </c>
      <c r="D831" s="2">
        <v>2</v>
      </c>
      <c r="E831" s="2">
        <v>2</v>
      </c>
      <c r="F831" s="2" t="s">
        <v>5</v>
      </c>
      <c r="G831" s="2">
        <v>156.599999999685</v>
      </c>
      <c r="H831" s="2" t="s">
        <v>8</v>
      </c>
      <c r="I831" s="2">
        <v>66129.000000000102</v>
      </c>
      <c r="J831" s="2">
        <v>3000</v>
      </c>
      <c r="K831" s="2">
        <v>20</v>
      </c>
      <c r="L831" s="2">
        <v>0</v>
      </c>
      <c r="M831" s="2">
        <v>286828.77</v>
      </c>
      <c r="N831">
        <f t="shared" si="15"/>
        <v>353114.36999999982</v>
      </c>
      <c r="O831" s="9" t="s">
        <v>5</v>
      </c>
    </row>
    <row r="832" spans="1:15" x14ac:dyDescent="0.2">
      <c r="A832">
        <v>45</v>
      </c>
      <c r="B832">
        <v>5</v>
      </c>
      <c r="C832">
        <v>5</v>
      </c>
      <c r="D832" s="2">
        <v>2</v>
      </c>
      <c r="E832" s="2">
        <v>3</v>
      </c>
      <c r="F832" s="2" t="s">
        <v>5</v>
      </c>
      <c r="G832" s="2">
        <v>211.00000000018301</v>
      </c>
      <c r="H832" s="2" t="s">
        <v>8</v>
      </c>
      <c r="I832" s="2">
        <v>256781.99999999901</v>
      </c>
      <c r="J832" s="2">
        <v>3000</v>
      </c>
      <c r="K832" s="2">
        <v>20</v>
      </c>
      <c r="L832" s="2">
        <v>0</v>
      </c>
      <c r="M832" s="2">
        <v>292828.37</v>
      </c>
      <c r="N832">
        <f t="shared" si="15"/>
        <v>549821.36999999918</v>
      </c>
      <c r="O832" s="9" t="s">
        <v>5</v>
      </c>
    </row>
    <row r="833" spans="1:15" x14ac:dyDescent="0.2">
      <c r="A833">
        <v>46</v>
      </c>
      <c r="B833">
        <v>5</v>
      </c>
      <c r="C833">
        <v>6</v>
      </c>
      <c r="D833" s="2">
        <v>2</v>
      </c>
      <c r="E833" s="2">
        <v>1</v>
      </c>
      <c r="F833" s="2" t="s">
        <v>5</v>
      </c>
      <c r="G833" s="2">
        <v>189.400000000006</v>
      </c>
      <c r="H833" s="2" t="s">
        <v>8</v>
      </c>
      <c r="I833" s="2">
        <v>193839</v>
      </c>
      <c r="J833" s="2">
        <v>3000</v>
      </c>
      <c r="K833" s="2">
        <v>20</v>
      </c>
      <c r="L833" s="2">
        <v>0</v>
      </c>
      <c r="M833" s="2">
        <v>300509.57</v>
      </c>
      <c r="N833">
        <f t="shared" si="15"/>
        <v>494537.97</v>
      </c>
      <c r="O833" s="9" t="s">
        <v>5</v>
      </c>
    </row>
    <row r="834" spans="1:15" x14ac:dyDescent="0.2">
      <c r="A834">
        <v>47</v>
      </c>
      <c r="B834">
        <v>5</v>
      </c>
      <c r="C834">
        <v>6</v>
      </c>
      <c r="D834" s="2">
        <v>2</v>
      </c>
      <c r="E834" s="2">
        <v>2</v>
      </c>
      <c r="F834" s="2" t="s">
        <v>5</v>
      </c>
      <c r="G834" s="2">
        <v>193.80000000026601</v>
      </c>
      <c r="H834" s="2" t="s">
        <v>8</v>
      </c>
      <c r="I834" s="2">
        <v>113693.999999999</v>
      </c>
      <c r="J834" s="2">
        <v>3000</v>
      </c>
      <c r="K834" s="2">
        <v>20</v>
      </c>
      <c r="L834" s="2">
        <v>0</v>
      </c>
      <c r="M834" s="2">
        <v>287248.77</v>
      </c>
      <c r="N834">
        <f t="shared" si="15"/>
        <v>401136.56999999925</v>
      </c>
      <c r="O834" s="9" t="s">
        <v>5</v>
      </c>
    </row>
    <row r="835" spans="1:15" x14ac:dyDescent="0.2">
      <c r="A835">
        <v>48</v>
      </c>
      <c r="B835">
        <v>5</v>
      </c>
      <c r="C835">
        <v>6</v>
      </c>
      <c r="D835" s="2">
        <v>2</v>
      </c>
      <c r="E835" s="2">
        <v>3</v>
      </c>
      <c r="F835" s="2" t="s">
        <v>5</v>
      </c>
      <c r="G835" s="2">
        <v>249.79999999992199</v>
      </c>
      <c r="H835" s="2" t="s">
        <v>8</v>
      </c>
      <c r="I835" s="2">
        <v>251965</v>
      </c>
      <c r="J835" s="2">
        <v>3000</v>
      </c>
      <c r="K835" s="2">
        <v>20</v>
      </c>
      <c r="L835" s="2">
        <v>0</v>
      </c>
      <c r="M835" s="2">
        <v>416129.97</v>
      </c>
      <c r="N835">
        <f t="shared" si="15"/>
        <v>668344.7699999999</v>
      </c>
      <c r="O835" s="9" t="s">
        <v>5</v>
      </c>
    </row>
    <row r="836" spans="1:15" x14ac:dyDescent="0.2">
      <c r="A836">
        <v>49</v>
      </c>
      <c r="B836">
        <v>5</v>
      </c>
      <c r="C836">
        <v>6</v>
      </c>
      <c r="D836" s="2">
        <v>2</v>
      </c>
      <c r="E836" s="2">
        <v>1</v>
      </c>
      <c r="F836" s="2" t="s">
        <v>5</v>
      </c>
      <c r="G836" s="2">
        <v>183.19999999931699</v>
      </c>
      <c r="H836" s="2" t="s">
        <v>8</v>
      </c>
      <c r="I836" s="2">
        <v>102215.999999999</v>
      </c>
      <c r="J836" s="2">
        <v>3000</v>
      </c>
      <c r="K836" s="2">
        <v>20</v>
      </c>
      <c r="L836" s="2">
        <v>0</v>
      </c>
      <c r="M836" s="2">
        <v>328469.57</v>
      </c>
      <c r="N836">
        <f t="shared" si="15"/>
        <v>430868.76999999833</v>
      </c>
      <c r="O836" s="9" t="s">
        <v>5</v>
      </c>
    </row>
    <row r="837" spans="1:15" x14ac:dyDescent="0.2">
      <c r="A837">
        <v>50</v>
      </c>
      <c r="B837">
        <v>5</v>
      </c>
      <c r="C837">
        <v>6</v>
      </c>
      <c r="D837" s="2">
        <v>2</v>
      </c>
      <c r="E837" s="2">
        <v>2</v>
      </c>
      <c r="F837" s="2" t="s">
        <v>5</v>
      </c>
      <c r="G837" s="2">
        <v>190.800000000024</v>
      </c>
      <c r="H837" s="2" t="s">
        <v>8</v>
      </c>
      <c r="I837" s="2">
        <v>146021.99999999901</v>
      </c>
      <c r="J837" s="2">
        <v>3000</v>
      </c>
      <c r="K837" s="2">
        <v>20</v>
      </c>
      <c r="L837" s="2">
        <v>0</v>
      </c>
      <c r="M837" s="2">
        <v>277468.77</v>
      </c>
      <c r="N837">
        <f t="shared" si="15"/>
        <v>423681.56999999902</v>
      </c>
      <c r="O837" s="9" t="s">
        <v>5</v>
      </c>
    </row>
    <row r="838" spans="1:15" x14ac:dyDescent="0.2">
      <c r="A838">
        <v>51</v>
      </c>
      <c r="B838">
        <v>5</v>
      </c>
      <c r="C838">
        <v>6</v>
      </c>
      <c r="D838" s="2">
        <v>2</v>
      </c>
      <c r="E838" s="2">
        <v>3</v>
      </c>
      <c r="F838" s="2" t="s">
        <v>5</v>
      </c>
      <c r="G838" s="2">
        <v>252.19999999990301</v>
      </c>
      <c r="H838" s="2" t="s">
        <v>8</v>
      </c>
      <c r="I838" s="2">
        <v>203922</v>
      </c>
      <c r="J838" s="2">
        <v>3000</v>
      </c>
      <c r="K838" s="2">
        <v>20</v>
      </c>
      <c r="L838" s="2">
        <v>0</v>
      </c>
      <c r="M838" s="2">
        <v>323127.96999999997</v>
      </c>
      <c r="N838">
        <f t="shared" si="15"/>
        <v>527302.16999999993</v>
      </c>
      <c r="O838" s="9" t="s">
        <v>4</v>
      </c>
    </row>
    <row r="839" spans="1:15" x14ac:dyDescent="0.2">
      <c r="A839">
        <v>52</v>
      </c>
      <c r="B839">
        <v>5</v>
      </c>
      <c r="C839">
        <v>7</v>
      </c>
      <c r="D839" s="2">
        <v>2</v>
      </c>
      <c r="E839" s="2">
        <v>1</v>
      </c>
      <c r="F839" s="2" t="s">
        <v>5</v>
      </c>
      <c r="G839" s="2">
        <v>219.40000000029201</v>
      </c>
      <c r="H839" s="2" t="s">
        <v>8</v>
      </c>
      <c r="I839" s="2">
        <v>251747</v>
      </c>
      <c r="J839" s="2">
        <v>3000</v>
      </c>
      <c r="K839" s="2">
        <v>20</v>
      </c>
      <c r="L839" s="2">
        <v>0</v>
      </c>
      <c r="M839" s="2">
        <v>279748.37</v>
      </c>
      <c r="N839">
        <f t="shared" si="15"/>
        <v>531714.77000000025</v>
      </c>
      <c r="O839" s="9" t="s">
        <v>5</v>
      </c>
    </row>
    <row r="840" spans="1:15" x14ac:dyDescent="0.2">
      <c r="A840">
        <v>53</v>
      </c>
      <c r="B840">
        <v>5</v>
      </c>
      <c r="C840">
        <v>7</v>
      </c>
      <c r="D840" s="2">
        <v>2</v>
      </c>
      <c r="E840" s="2">
        <v>2</v>
      </c>
      <c r="F840" s="2" t="s">
        <v>5</v>
      </c>
      <c r="G840" s="2">
        <v>218.80000000038501</v>
      </c>
      <c r="H840" s="2" t="s">
        <v>8</v>
      </c>
      <c r="I840" s="2">
        <v>209296.99999999901</v>
      </c>
      <c r="J840" s="2">
        <v>3000</v>
      </c>
      <c r="K840" s="2">
        <v>20</v>
      </c>
      <c r="L840" s="2">
        <v>0</v>
      </c>
      <c r="M840" s="2">
        <v>333508.77</v>
      </c>
      <c r="N840">
        <f t="shared" si="15"/>
        <v>543024.56999999937</v>
      </c>
      <c r="O840" s="9" t="s">
        <v>5</v>
      </c>
    </row>
    <row r="841" spans="1:15" x14ac:dyDescent="0.2">
      <c r="A841">
        <v>54</v>
      </c>
      <c r="B841">
        <v>5</v>
      </c>
      <c r="C841">
        <v>7</v>
      </c>
      <c r="D841" s="2">
        <v>2</v>
      </c>
      <c r="E841" s="2">
        <v>3</v>
      </c>
      <c r="F841" s="2" t="s">
        <v>5</v>
      </c>
      <c r="G841" s="2">
        <v>306.40000000019501</v>
      </c>
      <c r="H841" s="2" t="s">
        <v>8</v>
      </c>
      <c r="I841" s="2">
        <v>515255</v>
      </c>
      <c r="J841" s="2">
        <v>3000</v>
      </c>
      <c r="K841" s="2">
        <v>20</v>
      </c>
      <c r="L841" s="2">
        <v>0</v>
      </c>
      <c r="M841" s="2">
        <v>343407.17</v>
      </c>
      <c r="N841">
        <f t="shared" si="15"/>
        <v>858968.57000000018</v>
      </c>
      <c r="O841" s="9" t="s">
        <v>4</v>
      </c>
    </row>
    <row r="842" spans="1:15" x14ac:dyDescent="0.2">
      <c r="A842">
        <v>55</v>
      </c>
      <c r="B842">
        <v>5</v>
      </c>
      <c r="C842">
        <v>5</v>
      </c>
      <c r="D842" s="2">
        <v>2</v>
      </c>
      <c r="E842" s="2">
        <v>1</v>
      </c>
      <c r="F842" s="2" t="s">
        <v>5</v>
      </c>
      <c r="G842" s="2">
        <v>140.60000000064599</v>
      </c>
      <c r="H842" s="2" t="s">
        <v>8</v>
      </c>
      <c r="I842" s="2">
        <v>51733.999999999702</v>
      </c>
      <c r="J842" s="2">
        <v>3000</v>
      </c>
      <c r="K842" s="2">
        <v>20</v>
      </c>
      <c r="L842" s="2">
        <v>0</v>
      </c>
      <c r="M842" s="2">
        <v>303148.77</v>
      </c>
      <c r="N842">
        <f t="shared" si="15"/>
        <v>355023.37000000034</v>
      </c>
      <c r="O842" s="9" t="s">
        <v>5</v>
      </c>
    </row>
    <row r="843" spans="1:15" x14ac:dyDescent="0.2">
      <c r="A843">
        <v>56</v>
      </c>
      <c r="B843">
        <v>5</v>
      </c>
      <c r="C843">
        <v>5</v>
      </c>
      <c r="D843" s="2">
        <v>2</v>
      </c>
      <c r="E843" s="2">
        <v>2</v>
      </c>
      <c r="F843" s="2" t="s">
        <v>5</v>
      </c>
      <c r="G843" s="2">
        <v>137.60000000004899</v>
      </c>
      <c r="H843" s="2" t="s">
        <v>8</v>
      </c>
      <c r="I843" s="2">
        <v>57291.000000001099</v>
      </c>
      <c r="J843" s="2">
        <v>3000</v>
      </c>
      <c r="K843" s="2">
        <v>20</v>
      </c>
      <c r="L843" s="2">
        <v>0</v>
      </c>
      <c r="M843" s="2">
        <v>262588.77</v>
      </c>
      <c r="N843">
        <f t="shared" si="15"/>
        <v>320017.37000000116</v>
      </c>
      <c r="O843" s="9" t="s">
        <v>5</v>
      </c>
    </row>
    <row r="844" spans="1:15" x14ac:dyDescent="0.2">
      <c r="A844">
        <v>57</v>
      </c>
      <c r="B844">
        <v>5</v>
      </c>
      <c r="C844">
        <v>5</v>
      </c>
      <c r="D844" s="2">
        <v>2</v>
      </c>
      <c r="E844" s="2">
        <v>3</v>
      </c>
      <c r="F844" s="2" t="s">
        <v>5</v>
      </c>
      <c r="G844" s="2">
        <v>183.39999999987799</v>
      </c>
      <c r="H844" s="2" t="s">
        <v>8</v>
      </c>
      <c r="I844" s="2">
        <v>96692.000000000902</v>
      </c>
      <c r="J844" s="2">
        <v>3000</v>
      </c>
      <c r="K844" s="2">
        <v>20</v>
      </c>
      <c r="L844" s="2">
        <v>0</v>
      </c>
      <c r="M844" s="2">
        <v>397409.17</v>
      </c>
      <c r="N844">
        <f t="shared" si="15"/>
        <v>494284.57000000076</v>
      </c>
      <c r="O844" s="9" t="s">
        <v>5</v>
      </c>
    </row>
    <row r="845" spans="1:15" x14ac:dyDescent="0.2">
      <c r="A845">
        <v>58</v>
      </c>
      <c r="B845">
        <v>5</v>
      </c>
      <c r="C845">
        <v>6</v>
      </c>
      <c r="D845" s="2">
        <v>2</v>
      </c>
      <c r="E845" s="2">
        <v>1</v>
      </c>
      <c r="F845" s="2" t="s">
        <v>5</v>
      </c>
      <c r="G845" s="2">
        <v>215.599999999228</v>
      </c>
      <c r="H845" s="2" t="s">
        <v>8</v>
      </c>
      <c r="I845" s="2">
        <v>86040.000000000597</v>
      </c>
      <c r="J845" s="2">
        <v>3000</v>
      </c>
      <c r="K845" s="2">
        <v>20</v>
      </c>
      <c r="L845" s="2">
        <v>0</v>
      </c>
      <c r="M845" s="2">
        <v>313408.77</v>
      </c>
      <c r="N845">
        <f t="shared" si="15"/>
        <v>399664.36999999988</v>
      </c>
      <c r="O845" s="9" t="s">
        <v>5</v>
      </c>
    </row>
    <row r="846" spans="1:15" x14ac:dyDescent="0.2">
      <c r="A846">
        <v>59</v>
      </c>
      <c r="B846">
        <v>5</v>
      </c>
      <c r="C846">
        <v>6</v>
      </c>
      <c r="D846" s="2">
        <v>2</v>
      </c>
      <c r="E846" s="2">
        <v>2</v>
      </c>
      <c r="F846" s="2" t="s">
        <v>5</v>
      </c>
      <c r="G846" s="2">
        <v>212.39999999984599</v>
      </c>
      <c r="H846" s="2" t="s">
        <v>8</v>
      </c>
      <c r="I846" s="2">
        <v>68540.000000000495</v>
      </c>
      <c r="J846" s="2">
        <v>3000</v>
      </c>
      <c r="K846" s="2">
        <v>20</v>
      </c>
      <c r="L846" s="2">
        <v>0</v>
      </c>
      <c r="M846" s="2">
        <v>256048.37</v>
      </c>
      <c r="N846">
        <f t="shared" si="15"/>
        <v>324800.77000000037</v>
      </c>
      <c r="O846" s="9" t="s">
        <v>5</v>
      </c>
    </row>
    <row r="847" spans="1:15" x14ac:dyDescent="0.2">
      <c r="A847">
        <v>60</v>
      </c>
      <c r="B847">
        <v>5</v>
      </c>
      <c r="C847">
        <v>6</v>
      </c>
      <c r="D847" s="2">
        <v>2</v>
      </c>
      <c r="E847" s="2">
        <v>3</v>
      </c>
      <c r="F847" s="2" t="s">
        <v>5</v>
      </c>
      <c r="G847" s="2">
        <v>288.40000000016602</v>
      </c>
      <c r="H847" s="2" t="s">
        <v>8</v>
      </c>
      <c r="I847" s="2">
        <v>278874.99999999901</v>
      </c>
      <c r="J847" s="2">
        <v>3000</v>
      </c>
      <c r="K847" s="2">
        <v>20</v>
      </c>
      <c r="L847" s="2">
        <v>0</v>
      </c>
      <c r="M847" s="2">
        <v>292409.96999999997</v>
      </c>
      <c r="N847">
        <f t="shared" si="15"/>
        <v>571573.36999999918</v>
      </c>
      <c r="O847" s="9" t="s">
        <v>4</v>
      </c>
    </row>
    <row r="848" spans="1:15" x14ac:dyDescent="0.2">
      <c r="A848">
        <v>61</v>
      </c>
      <c r="B848">
        <v>5</v>
      </c>
      <c r="C848">
        <v>7</v>
      </c>
      <c r="D848" s="2">
        <v>2</v>
      </c>
      <c r="E848" s="2">
        <v>1</v>
      </c>
      <c r="F848" s="2" t="s">
        <v>5</v>
      </c>
      <c r="G848" s="2">
        <v>230.60000000043601</v>
      </c>
      <c r="H848" s="2" t="s">
        <v>8</v>
      </c>
      <c r="I848" s="2">
        <v>161028</v>
      </c>
      <c r="J848" s="2">
        <v>3000</v>
      </c>
      <c r="K848" s="2">
        <v>20</v>
      </c>
      <c r="L848" s="2">
        <v>0</v>
      </c>
      <c r="M848" s="2">
        <v>408628.77</v>
      </c>
      <c r="N848">
        <f t="shared" si="15"/>
        <v>569887.37000000046</v>
      </c>
      <c r="O848" s="9" t="s">
        <v>5</v>
      </c>
    </row>
    <row r="849" spans="1:15" x14ac:dyDescent="0.2">
      <c r="A849">
        <v>62</v>
      </c>
      <c r="B849">
        <v>5</v>
      </c>
      <c r="C849">
        <v>7</v>
      </c>
      <c r="D849" s="2">
        <v>2</v>
      </c>
      <c r="E849" s="2">
        <v>2</v>
      </c>
      <c r="F849" s="2" t="s">
        <v>5</v>
      </c>
      <c r="G849" s="2">
        <v>233.80000000017299</v>
      </c>
      <c r="H849" s="2" t="s">
        <v>8</v>
      </c>
      <c r="I849" s="2">
        <v>123650</v>
      </c>
      <c r="J849" s="2">
        <v>3000</v>
      </c>
      <c r="K849" s="2">
        <v>20</v>
      </c>
      <c r="L849" s="2">
        <v>0</v>
      </c>
      <c r="M849" s="2">
        <v>332129.57</v>
      </c>
      <c r="N849">
        <f t="shared" si="15"/>
        <v>456013.37000000017</v>
      </c>
      <c r="O849" s="9" t="s">
        <v>5</v>
      </c>
    </row>
    <row r="850" spans="1:15" x14ac:dyDescent="0.2">
      <c r="A850">
        <v>63</v>
      </c>
      <c r="B850">
        <v>5</v>
      </c>
      <c r="C850">
        <v>7</v>
      </c>
      <c r="D850" s="2">
        <v>2</v>
      </c>
      <c r="E850" s="2">
        <v>3</v>
      </c>
      <c r="F850" s="2" t="s">
        <v>5</v>
      </c>
      <c r="G850" s="2">
        <v>359.799999999666</v>
      </c>
      <c r="H850" s="2" t="s">
        <v>8</v>
      </c>
      <c r="I850" s="2">
        <v>395599.00000000099</v>
      </c>
      <c r="J850" s="2">
        <v>3000</v>
      </c>
      <c r="K850" s="2">
        <v>20</v>
      </c>
      <c r="L850" s="2">
        <v>0</v>
      </c>
      <c r="M850" s="2">
        <v>318089.57</v>
      </c>
      <c r="N850">
        <f t="shared" si="15"/>
        <v>714048.37000000058</v>
      </c>
      <c r="O850" s="9" t="s">
        <v>4</v>
      </c>
    </row>
    <row r="851" spans="1:15" x14ac:dyDescent="0.2">
      <c r="A851">
        <v>64</v>
      </c>
      <c r="B851">
        <v>5</v>
      </c>
      <c r="C851">
        <v>8</v>
      </c>
      <c r="D851" s="2">
        <v>2</v>
      </c>
      <c r="E851" s="2">
        <v>1</v>
      </c>
      <c r="F851" s="2" t="s">
        <v>5</v>
      </c>
      <c r="G851" s="2">
        <v>274.00000000028501</v>
      </c>
      <c r="H851" s="2" t="s">
        <v>8</v>
      </c>
      <c r="I851" s="2">
        <v>279384</v>
      </c>
      <c r="J851" s="2">
        <v>3000</v>
      </c>
      <c r="K851" s="2">
        <v>20</v>
      </c>
      <c r="L851" s="2">
        <v>0</v>
      </c>
      <c r="M851" s="2">
        <v>288329.96999999997</v>
      </c>
      <c r="N851">
        <f t="shared" si="15"/>
        <v>567987.9700000002</v>
      </c>
      <c r="O851" s="9" t="s">
        <v>5</v>
      </c>
    </row>
    <row r="852" spans="1:15" x14ac:dyDescent="0.2">
      <c r="A852">
        <v>65</v>
      </c>
      <c r="B852">
        <v>5</v>
      </c>
      <c r="C852">
        <v>8</v>
      </c>
      <c r="D852" s="2">
        <v>2</v>
      </c>
      <c r="E852" s="2">
        <v>2</v>
      </c>
      <c r="F852" s="2" t="s">
        <v>5</v>
      </c>
      <c r="G852" s="2">
        <v>271.20000000024902</v>
      </c>
      <c r="H852" s="2" t="s">
        <v>8</v>
      </c>
      <c r="I852" s="2">
        <v>345789</v>
      </c>
      <c r="J852" s="2">
        <v>3000</v>
      </c>
      <c r="K852" s="2">
        <v>20</v>
      </c>
      <c r="L852" s="2">
        <v>0</v>
      </c>
      <c r="M852" s="2">
        <v>337349.17</v>
      </c>
      <c r="N852">
        <f t="shared" si="15"/>
        <v>683409.37000000023</v>
      </c>
      <c r="O852" s="9" t="s">
        <v>5</v>
      </c>
    </row>
    <row r="853" spans="1:15" x14ac:dyDescent="0.2">
      <c r="A853">
        <v>66</v>
      </c>
      <c r="B853">
        <v>5</v>
      </c>
      <c r="C853">
        <v>8</v>
      </c>
      <c r="D853" s="2">
        <v>2</v>
      </c>
      <c r="E853" s="2">
        <v>3</v>
      </c>
      <c r="F853" s="2" t="s">
        <v>5</v>
      </c>
      <c r="G853" s="2">
        <v>390.99999999976399</v>
      </c>
      <c r="H853" s="2" t="s">
        <v>8</v>
      </c>
      <c r="I853" s="2">
        <v>1149315</v>
      </c>
      <c r="J853" s="2">
        <v>3000</v>
      </c>
      <c r="K853" s="2">
        <v>20</v>
      </c>
      <c r="L853" s="2">
        <v>0</v>
      </c>
      <c r="M853" s="2">
        <v>342268.77</v>
      </c>
      <c r="N853">
        <f t="shared" si="15"/>
        <v>1491974.7699999998</v>
      </c>
      <c r="O853" s="9" t="s">
        <v>4</v>
      </c>
    </row>
    <row r="854" spans="1:15" x14ac:dyDescent="0.2">
      <c r="A854">
        <v>67</v>
      </c>
      <c r="B854">
        <v>5</v>
      </c>
      <c r="C854">
        <v>7</v>
      </c>
      <c r="D854" s="2">
        <v>2</v>
      </c>
      <c r="E854" s="2">
        <v>1</v>
      </c>
      <c r="F854" s="2" t="s">
        <v>5</v>
      </c>
      <c r="G854" s="2">
        <v>210.20000000007099</v>
      </c>
      <c r="H854" s="2" t="s">
        <v>8</v>
      </c>
      <c r="I854" s="2">
        <v>176762</v>
      </c>
      <c r="J854" s="2">
        <v>3000</v>
      </c>
      <c r="K854" s="2">
        <v>20</v>
      </c>
      <c r="L854" s="2">
        <v>0</v>
      </c>
      <c r="M854" s="2">
        <v>321329.17</v>
      </c>
      <c r="N854">
        <f t="shared" si="15"/>
        <v>498301.37000000005</v>
      </c>
      <c r="O854" s="9" t="s">
        <v>5</v>
      </c>
    </row>
    <row r="855" spans="1:15" x14ac:dyDescent="0.2">
      <c r="A855">
        <v>68</v>
      </c>
      <c r="B855">
        <v>5</v>
      </c>
      <c r="C855">
        <v>7</v>
      </c>
      <c r="D855" s="2">
        <v>2</v>
      </c>
      <c r="E855" s="2">
        <v>2</v>
      </c>
      <c r="F855" s="2" t="s">
        <v>5</v>
      </c>
      <c r="G855" s="2">
        <v>210.00000000022101</v>
      </c>
      <c r="H855" s="2" t="s">
        <v>8</v>
      </c>
      <c r="I855" s="2">
        <v>175160</v>
      </c>
      <c r="J855" s="2">
        <v>3000</v>
      </c>
      <c r="K855" s="2">
        <v>20</v>
      </c>
      <c r="L855" s="2">
        <v>0</v>
      </c>
      <c r="M855" s="2">
        <v>273567.96999999997</v>
      </c>
      <c r="N855">
        <f t="shared" si="15"/>
        <v>448937.9700000002</v>
      </c>
      <c r="O855" s="9" t="s">
        <v>5</v>
      </c>
    </row>
    <row r="856" spans="1:15" x14ac:dyDescent="0.2">
      <c r="A856">
        <v>69</v>
      </c>
      <c r="B856">
        <v>5</v>
      </c>
      <c r="C856">
        <v>7</v>
      </c>
      <c r="D856" s="2">
        <v>2</v>
      </c>
      <c r="E856" s="2">
        <v>3</v>
      </c>
      <c r="F856" s="2" t="s">
        <v>5</v>
      </c>
      <c r="G856" s="2">
        <v>292.59999999986502</v>
      </c>
      <c r="H856" s="2" t="s">
        <v>8</v>
      </c>
      <c r="I856" s="2">
        <v>386187</v>
      </c>
      <c r="J856" s="2">
        <v>3000</v>
      </c>
      <c r="K856" s="2">
        <v>20</v>
      </c>
      <c r="L856" s="2">
        <v>0</v>
      </c>
      <c r="M856" s="2">
        <v>260427.17</v>
      </c>
      <c r="N856">
        <f t="shared" si="15"/>
        <v>646906.7699999999</v>
      </c>
      <c r="O856" s="9" t="s">
        <v>4</v>
      </c>
    </row>
    <row r="857" spans="1:15" x14ac:dyDescent="0.2">
      <c r="A857">
        <v>28</v>
      </c>
      <c r="B857">
        <v>5</v>
      </c>
      <c r="C857">
        <v>4</v>
      </c>
      <c r="D857" s="2">
        <v>2</v>
      </c>
      <c r="E857" s="2">
        <v>1</v>
      </c>
      <c r="F857" s="2" t="s">
        <v>5</v>
      </c>
      <c r="G857" s="2">
        <v>541.19999999961999</v>
      </c>
      <c r="H857" s="2" t="s">
        <v>8</v>
      </c>
      <c r="I857" s="2">
        <v>37176.000000000502</v>
      </c>
      <c r="J857" s="2">
        <v>5000</v>
      </c>
      <c r="K857" s="2">
        <v>20</v>
      </c>
      <c r="L857" s="2">
        <v>0</v>
      </c>
      <c r="M857" s="2">
        <v>453224.77</v>
      </c>
      <c r="N857">
        <f t="shared" si="15"/>
        <v>490941.97000000015</v>
      </c>
      <c r="O857" s="9" t="s">
        <v>5</v>
      </c>
    </row>
    <row r="858" spans="1:15" x14ac:dyDescent="0.2">
      <c r="A858">
        <v>29</v>
      </c>
      <c r="B858">
        <v>5</v>
      </c>
      <c r="C858">
        <v>5</v>
      </c>
      <c r="D858" s="2">
        <v>2</v>
      </c>
      <c r="E858" s="2">
        <v>2</v>
      </c>
      <c r="F858" s="2" t="s">
        <v>5</v>
      </c>
      <c r="G858" s="2">
        <v>547.39999999959798</v>
      </c>
      <c r="H858" s="2" t="s">
        <v>8</v>
      </c>
      <c r="I858" s="2">
        <v>71896.000000000597</v>
      </c>
      <c r="J858" s="2">
        <v>5000</v>
      </c>
      <c r="K858" s="2">
        <v>20</v>
      </c>
      <c r="L858" s="2">
        <v>0</v>
      </c>
      <c r="M858" s="2">
        <v>519424.77</v>
      </c>
      <c r="N858">
        <f t="shared" si="15"/>
        <v>591868.17000000016</v>
      </c>
      <c r="O858" s="9" t="s">
        <v>5</v>
      </c>
    </row>
    <row r="859" spans="1:15" x14ac:dyDescent="0.2">
      <c r="A859">
        <v>30</v>
      </c>
      <c r="B859">
        <v>5</v>
      </c>
      <c r="C859">
        <v>5</v>
      </c>
      <c r="D859" s="2">
        <v>2</v>
      </c>
      <c r="E859" s="2">
        <v>3</v>
      </c>
      <c r="F859" s="2" t="s">
        <v>5</v>
      </c>
      <c r="G859" s="2">
        <v>598.60000000000502</v>
      </c>
      <c r="H859" s="2" t="s">
        <v>8</v>
      </c>
      <c r="I859" s="2">
        <v>251473</v>
      </c>
      <c r="J859" s="2">
        <v>5000</v>
      </c>
      <c r="K859" s="2">
        <v>20</v>
      </c>
      <c r="L859" s="2">
        <v>0</v>
      </c>
      <c r="M859" s="2">
        <v>531025.56999999995</v>
      </c>
      <c r="N859">
        <f t="shared" ref="N859:N964" si="16">G859+I859+M859</f>
        <v>783097.16999999993</v>
      </c>
      <c r="O859" s="9" t="s">
        <v>4</v>
      </c>
    </row>
    <row r="860" spans="1:15" x14ac:dyDescent="0.2">
      <c r="A860">
        <v>31</v>
      </c>
      <c r="B860">
        <v>5</v>
      </c>
      <c r="C860">
        <v>5</v>
      </c>
      <c r="D860" s="2">
        <v>2</v>
      </c>
      <c r="E860" s="2">
        <v>1</v>
      </c>
      <c r="F860" s="2" t="s">
        <v>5</v>
      </c>
      <c r="G860" s="2">
        <v>351.19999999970702</v>
      </c>
      <c r="H860" s="2" t="s">
        <v>8</v>
      </c>
      <c r="I860" s="2">
        <v>68826.999999999796</v>
      </c>
      <c r="J860" s="2">
        <v>5000</v>
      </c>
      <c r="K860" s="2">
        <v>20</v>
      </c>
      <c r="L860" s="2">
        <v>0</v>
      </c>
      <c r="M860" s="2">
        <v>415124.77</v>
      </c>
      <c r="N860">
        <f t="shared" si="16"/>
        <v>484302.96999999951</v>
      </c>
      <c r="O860" s="9" t="s">
        <v>5</v>
      </c>
    </row>
    <row r="861" spans="1:15" x14ac:dyDescent="0.2">
      <c r="A861">
        <v>32</v>
      </c>
      <c r="B861">
        <v>5</v>
      </c>
      <c r="C861">
        <v>5</v>
      </c>
      <c r="D861" s="2">
        <v>2</v>
      </c>
      <c r="E861" s="2">
        <v>2</v>
      </c>
      <c r="F861" s="2" t="s">
        <v>5</v>
      </c>
      <c r="G861" s="2">
        <v>356.00000000002302</v>
      </c>
      <c r="H861" s="2" t="s">
        <v>8</v>
      </c>
      <c r="I861" s="2">
        <v>64877.000000000102</v>
      </c>
      <c r="J861" s="2">
        <v>5000</v>
      </c>
      <c r="K861" s="2">
        <v>20</v>
      </c>
      <c r="L861" s="2">
        <v>0</v>
      </c>
      <c r="M861" s="2">
        <v>449825.17</v>
      </c>
      <c r="N861">
        <f t="shared" si="16"/>
        <v>515058.1700000001</v>
      </c>
      <c r="O861" s="9" t="s">
        <v>5</v>
      </c>
    </row>
    <row r="862" spans="1:15" x14ac:dyDescent="0.2">
      <c r="A862">
        <v>33</v>
      </c>
      <c r="B862">
        <v>5</v>
      </c>
      <c r="C862">
        <v>5</v>
      </c>
      <c r="D862" s="2">
        <v>2</v>
      </c>
      <c r="E862" s="2">
        <v>3</v>
      </c>
      <c r="F862" s="2" t="s">
        <v>5</v>
      </c>
      <c r="G862" s="2">
        <v>485.39999999981399</v>
      </c>
      <c r="H862" s="2" t="s">
        <v>8</v>
      </c>
      <c r="I862" s="2">
        <v>255639</v>
      </c>
      <c r="J862" s="2">
        <v>5000</v>
      </c>
      <c r="K862" s="2">
        <v>20</v>
      </c>
      <c r="L862" s="2">
        <v>0</v>
      </c>
      <c r="M862" s="2">
        <v>640624.77</v>
      </c>
      <c r="N862">
        <f t="shared" si="16"/>
        <v>896749.16999999981</v>
      </c>
      <c r="O862" s="9" t="s">
        <v>5</v>
      </c>
    </row>
    <row r="863" spans="1:15" x14ac:dyDescent="0.2">
      <c r="A863">
        <v>34</v>
      </c>
      <c r="B863">
        <v>5</v>
      </c>
      <c r="C863">
        <v>5</v>
      </c>
      <c r="D863" s="2">
        <v>2</v>
      </c>
      <c r="E863" s="2">
        <v>1</v>
      </c>
      <c r="F863" s="2" t="s">
        <v>5</v>
      </c>
      <c r="G863" s="2">
        <v>307.60000000000798</v>
      </c>
      <c r="H863" s="2" t="s">
        <v>8</v>
      </c>
      <c r="I863" s="2">
        <v>49771.999999999898</v>
      </c>
      <c r="J863" s="2">
        <v>5000</v>
      </c>
      <c r="K863" s="2">
        <v>20</v>
      </c>
      <c r="L863" s="2">
        <v>0</v>
      </c>
      <c r="M863" s="2">
        <v>649924.77</v>
      </c>
      <c r="N863">
        <f t="shared" si="16"/>
        <v>700004.36999999988</v>
      </c>
      <c r="O863" s="9" t="s">
        <v>5</v>
      </c>
    </row>
    <row r="864" spans="1:15" x14ac:dyDescent="0.2">
      <c r="A864">
        <v>35</v>
      </c>
      <c r="B864">
        <v>5</v>
      </c>
      <c r="C864">
        <v>6</v>
      </c>
      <c r="D864" s="2">
        <v>2</v>
      </c>
      <c r="E864" s="2">
        <v>1</v>
      </c>
      <c r="F864" s="2" t="s">
        <v>5</v>
      </c>
      <c r="G864" s="2">
        <v>378.80000000036802</v>
      </c>
      <c r="H864" s="2" t="s">
        <v>8</v>
      </c>
      <c r="I864" s="2">
        <v>110241</v>
      </c>
      <c r="J864" s="2">
        <v>5000</v>
      </c>
      <c r="K864" s="2">
        <v>20</v>
      </c>
      <c r="L864" s="2">
        <v>0</v>
      </c>
      <c r="M864" s="2">
        <v>537925.17000000004</v>
      </c>
      <c r="N864">
        <f t="shared" si="16"/>
        <v>648544.97000000044</v>
      </c>
      <c r="O864" s="9" t="s">
        <v>5</v>
      </c>
    </row>
    <row r="865" spans="1:15" x14ac:dyDescent="0.2">
      <c r="A865">
        <v>36</v>
      </c>
      <c r="B865">
        <v>5</v>
      </c>
      <c r="C865">
        <v>6</v>
      </c>
      <c r="D865" s="2">
        <v>2</v>
      </c>
      <c r="E865" s="2">
        <v>2</v>
      </c>
      <c r="F865" s="2" t="s">
        <v>5</v>
      </c>
      <c r="G865" s="2">
        <v>225.399999999709</v>
      </c>
      <c r="H865" s="2" t="s">
        <v>8</v>
      </c>
      <c r="I865" s="2">
        <v>111119</v>
      </c>
      <c r="J865" s="2">
        <v>5000</v>
      </c>
      <c r="K865" s="2">
        <v>20</v>
      </c>
      <c r="L865" s="2">
        <v>0</v>
      </c>
      <c r="M865" s="2">
        <v>538525.17000000004</v>
      </c>
      <c r="N865">
        <f t="shared" si="16"/>
        <v>649869.56999999972</v>
      </c>
      <c r="O865" s="9" t="s">
        <v>5</v>
      </c>
    </row>
    <row r="866" spans="1:15" x14ac:dyDescent="0.2">
      <c r="A866">
        <v>37</v>
      </c>
      <c r="B866">
        <v>5</v>
      </c>
      <c r="C866">
        <v>6</v>
      </c>
      <c r="D866" s="2">
        <v>2</v>
      </c>
      <c r="E866" s="2">
        <v>3</v>
      </c>
      <c r="F866" s="2" t="s">
        <v>5</v>
      </c>
      <c r="G866" s="2">
        <v>317.40000000049002</v>
      </c>
      <c r="H866" s="2" t="s">
        <v>8</v>
      </c>
      <c r="I866" s="2">
        <v>450438.99999999901</v>
      </c>
      <c r="J866" s="2">
        <v>5000</v>
      </c>
      <c r="K866" s="2">
        <v>20</v>
      </c>
      <c r="L866" s="2">
        <v>0</v>
      </c>
      <c r="M866" s="2">
        <v>503024.37</v>
      </c>
      <c r="N866">
        <f t="shared" si="16"/>
        <v>953780.76999999955</v>
      </c>
      <c r="O866" s="9" t="s">
        <v>4</v>
      </c>
    </row>
    <row r="867" spans="1:15" x14ac:dyDescent="0.2">
      <c r="A867">
        <v>38</v>
      </c>
      <c r="B867">
        <v>5</v>
      </c>
      <c r="C867">
        <v>6</v>
      </c>
      <c r="D867" s="2">
        <v>2</v>
      </c>
      <c r="E867" s="2">
        <v>1</v>
      </c>
      <c r="F867" s="2" t="s">
        <v>5</v>
      </c>
      <c r="G867" s="2">
        <v>206.39999999971801</v>
      </c>
      <c r="H867" s="2" t="s">
        <v>8</v>
      </c>
      <c r="I867" s="2">
        <v>136472</v>
      </c>
      <c r="J867" s="2">
        <v>5000</v>
      </c>
      <c r="K867" s="2">
        <v>20</v>
      </c>
      <c r="L867" s="2">
        <v>0</v>
      </c>
      <c r="M867" s="2">
        <v>445825.17</v>
      </c>
      <c r="N867">
        <f t="shared" si="16"/>
        <v>582503.56999999972</v>
      </c>
      <c r="O867" s="9" t="s">
        <v>5</v>
      </c>
    </row>
    <row r="868" spans="1:15" x14ac:dyDescent="0.2">
      <c r="A868">
        <v>39</v>
      </c>
      <c r="B868">
        <v>5</v>
      </c>
      <c r="C868">
        <v>7</v>
      </c>
      <c r="D868" s="2">
        <v>2</v>
      </c>
      <c r="E868" s="2">
        <v>1</v>
      </c>
      <c r="F868" s="2" t="s">
        <v>5</v>
      </c>
      <c r="G868" s="2">
        <v>257.600000000124</v>
      </c>
      <c r="H868" s="2" t="s">
        <v>8</v>
      </c>
      <c r="I868" s="2">
        <v>207379</v>
      </c>
      <c r="J868" s="2">
        <v>5000</v>
      </c>
      <c r="K868" s="2">
        <v>20</v>
      </c>
      <c r="L868" s="2">
        <v>0</v>
      </c>
      <c r="M868" s="2">
        <v>632424.37</v>
      </c>
      <c r="N868">
        <f t="shared" si="16"/>
        <v>840060.97000000009</v>
      </c>
      <c r="O868" s="9" t="s">
        <v>5</v>
      </c>
    </row>
    <row r="869" spans="1:15" x14ac:dyDescent="0.2">
      <c r="A869">
        <v>40</v>
      </c>
      <c r="B869">
        <v>5</v>
      </c>
      <c r="C869">
        <v>7</v>
      </c>
      <c r="D869" s="2">
        <v>2</v>
      </c>
      <c r="E869" s="2">
        <v>2</v>
      </c>
      <c r="F869" s="2" t="s">
        <v>5</v>
      </c>
      <c r="G869" s="2">
        <v>242.59999999962599</v>
      </c>
      <c r="H869" s="2" t="s">
        <v>8</v>
      </c>
      <c r="I869" s="2">
        <v>197622</v>
      </c>
      <c r="J869" s="2">
        <v>5000</v>
      </c>
      <c r="K869" s="2">
        <v>20</v>
      </c>
      <c r="L869" s="2">
        <v>0</v>
      </c>
      <c r="M869" s="2">
        <v>462425.17</v>
      </c>
      <c r="N869">
        <f t="shared" si="16"/>
        <v>660289.76999999955</v>
      </c>
      <c r="O869" s="9" t="s">
        <v>5</v>
      </c>
    </row>
    <row r="870" spans="1:15" x14ac:dyDescent="0.2">
      <c r="A870">
        <v>41</v>
      </c>
      <c r="B870">
        <v>5</v>
      </c>
      <c r="C870">
        <v>7</v>
      </c>
      <c r="D870" s="2">
        <v>2</v>
      </c>
      <c r="E870" s="2">
        <v>3</v>
      </c>
      <c r="F870" s="2" t="s">
        <v>5</v>
      </c>
      <c r="G870" s="2">
        <v>354.20000000030399</v>
      </c>
      <c r="H870" s="2" t="s">
        <v>8</v>
      </c>
      <c r="I870" s="2">
        <v>1010568</v>
      </c>
      <c r="J870" s="2">
        <v>5000</v>
      </c>
      <c r="K870" s="2">
        <v>20</v>
      </c>
      <c r="L870" s="2">
        <v>0</v>
      </c>
      <c r="M870" s="2">
        <v>607425.56999999995</v>
      </c>
      <c r="N870">
        <f t="shared" si="16"/>
        <v>1618347.7700000003</v>
      </c>
      <c r="O870" s="9" t="s">
        <v>4</v>
      </c>
    </row>
    <row r="871" spans="1:15" x14ac:dyDescent="0.2">
      <c r="A871">
        <v>42</v>
      </c>
      <c r="B871">
        <v>5</v>
      </c>
      <c r="C871">
        <v>4</v>
      </c>
      <c r="D871" s="2">
        <v>2</v>
      </c>
      <c r="E871" s="2">
        <v>1</v>
      </c>
      <c r="F871" s="2" t="s">
        <v>5</v>
      </c>
      <c r="G871" s="2">
        <v>129.800000000202</v>
      </c>
      <c r="H871" s="2" t="s">
        <v>8</v>
      </c>
      <c r="I871" s="2">
        <v>33082.000000000298</v>
      </c>
      <c r="J871" s="2">
        <v>5000</v>
      </c>
      <c r="K871" s="2">
        <v>20</v>
      </c>
      <c r="L871" s="2">
        <v>0</v>
      </c>
      <c r="M871" s="2">
        <v>497725.57</v>
      </c>
      <c r="N871">
        <f t="shared" si="16"/>
        <v>530937.37000000046</v>
      </c>
      <c r="O871" s="9" t="s">
        <v>5</v>
      </c>
    </row>
    <row r="872" spans="1:15" x14ac:dyDescent="0.2">
      <c r="A872">
        <v>43</v>
      </c>
      <c r="B872">
        <v>5</v>
      </c>
      <c r="C872">
        <v>5</v>
      </c>
      <c r="D872" s="2">
        <v>2</v>
      </c>
      <c r="E872" s="2">
        <v>1</v>
      </c>
      <c r="F872" s="2" t="s">
        <v>5</v>
      </c>
      <c r="G872" s="2">
        <v>157.00000000009601</v>
      </c>
      <c r="H872" s="2" t="s">
        <v>8</v>
      </c>
      <c r="I872" s="2">
        <v>50701.000000000102</v>
      </c>
      <c r="J872" s="2">
        <v>5000</v>
      </c>
      <c r="K872" s="2">
        <v>20</v>
      </c>
      <c r="L872" s="2">
        <v>0</v>
      </c>
      <c r="M872" s="2">
        <v>463225.57</v>
      </c>
      <c r="N872">
        <f t="shared" si="16"/>
        <v>514083.57000000018</v>
      </c>
      <c r="O872" s="9" t="s">
        <v>5</v>
      </c>
    </row>
    <row r="873" spans="1:15" x14ac:dyDescent="0.2">
      <c r="A873">
        <v>44</v>
      </c>
      <c r="B873">
        <v>5</v>
      </c>
      <c r="C873">
        <v>5</v>
      </c>
      <c r="D873" s="2">
        <v>2</v>
      </c>
      <c r="E873" s="2">
        <v>2</v>
      </c>
      <c r="F873" s="2" t="s">
        <v>5</v>
      </c>
      <c r="G873" s="2">
        <v>156.599999999685</v>
      </c>
      <c r="H873" s="2" t="s">
        <v>8</v>
      </c>
      <c r="I873" s="2">
        <v>66129.000000000102</v>
      </c>
      <c r="J873" s="2">
        <v>5000</v>
      </c>
      <c r="K873" s="2">
        <v>20</v>
      </c>
      <c r="L873" s="2">
        <v>0</v>
      </c>
      <c r="M873" s="2">
        <v>467425.17</v>
      </c>
      <c r="N873">
        <f t="shared" si="16"/>
        <v>533710.76999999979</v>
      </c>
      <c r="O873" s="9" t="s">
        <v>5</v>
      </c>
    </row>
    <row r="874" spans="1:15" x14ac:dyDescent="0.2">
      <c r="A874">
        <v>45</v>
      </c>
      <c r="B874">
        <v>5</v>
      </c>
      <c r="C874">
        <v>5</v>
      </c>
      <c r="D874" s="2">
        <v>2</v>
      </c>
      <c r="E874" s="2">
        <v>3</v>
      </c>
      <c r="F874" s="2" t="s">
        <v>5</v>
      </c>
      <c r="G874" s="2">
        <v>211.00000000018301</v>
      </c>
      <c r="H874" s="2" t="s">
        <v>8</v>
      </c>
      <c r="I874" s="2">
        <v>256781.99999999901</v>
      </c>
      <c r="J874" s="2">
        <v>5000</v>
      </c>
      <c r="K874" s="2">
        <v>20</v>
      </c>
      <c r="L874" s="2">
        <v>0</v>
      </c>
      <c r="M874" s="2">
        <v>477425.57</v>
      </c>
      <c r="N874">
        <f t="shared" si="16"/>
        <v>734418.56999999913</v>
      </c>
      <c r="O874" s="9" t="s">
        <v>5</v>
      </c>
    </row>
    <row r="875" spans="1:15" x14ac:dyDescent="0.2">
      <c r="A875">
        <v>46</v>
      </c>
      <c r="B875">
        <v>5</v>
      </c>
      <c r="C875">
        <v>6</v>
      </c>
      <c r="D875" s="2">
        <v>2</v>
      </c>
      <c r="E875" s="2">
        <v>1</v>
      </c>
      <c r="F875" s="2" t="s">
        <v>5</v>
      </c>
      <c r="G875" s="2">
        <v>189.400000000006</v>
      </c>
      <c r="H875" s="2" t="s">
        <v>8</v>
      </c>
      <c r="I875" s="2">
        <v>193839</v>
      </c>
      <c r="J875" s="2">
        <v>5000</v>
      </c>
      <c r="K875" s="2">
        <v>20</v>
      </c>
      <c r="L875" s="2">
        <v>0</v>
      </c>
      <c r="M875" s="2">
        <v>490226.37</v>
      </c>
      <c r="N875">
        <f t="shared" si="16"/>
        <v>684254.77</v>
      </c>
      <c r="O875" s="9" t="s">
        <v>5</v>
      </c>
    </row>
    <row r="876" spans="1:15" x14ac:dyDescent="0.2">
      <c r="A876">
        <v>47</v>
      </c>
      <c r="B876">
        <v>5</v>
      </c>
      <c r="C876">
        <v>6</v>
      </c>
      <c r="D876" s="2">
        <v>2</v>
      </c>
      <c r="E876" s="2">
        <v>2</v>
      </c>
      <c r="F876" s="2" t="s">
        <v>5</v>
      </c>
      <c r="G876" s="2">
        <v>193.80000000026601</v>
      </c>
      <c r="H876" s="2" t="s">
        <v>8</v>
      </c>
      <c r="I876" s="2">
        <v>113693.999999999</v>
      </c>
      <c r="J876" s="2">
        <v>5000</v>
      </c>
      <c r="K876" s="2">
        <v>20</v>
      </c>
      <c r="L876" s="2">
        <v>0</v>
      </c>
      <c r="M876" s="2">
        <v>468125.57</v>
      </c>
      <c r="N876">
        <f t="shared" si="16"/>
        <v>582013.3699999993</v>
      </c>
      <c r="O876" s="9" t="s">
        <v>5</v>
      </c>
    </row>
    <row r="877" spans="1:15" x14ac:dyDescent="0.2">
      <c r="A877">
        <v>48</v>
      </c>
      <c r="B877">
        <v>5</v>
      </c>
      <c r="C877">
        <v>6</v>
      </c>
      <c r="D877" s="2">
        <v>2</v>
      </c>
      <c r="E877" s="2">
        <v>3</v>
      </c>
      <c r="F877" s="2" t="s">
        <v>5</v>
      </c>
      <c r="G877" s="2">
        <v>249.79999999992199</v>
      </c>
      <c r="H877" s="2" t="s">
        <v>8</v>
      </c>
      <c r="I877" s="2">
        <v>251965</v>
      </c>
      <c r="J877" s="2">
        <v>5000</v>
      </c>
      <c r="K877" s="2">
        <v>20</v>
      </c>
      <c r="L877" s="2">
        <v>0</v>
      </c>
      <c r="M877" s="2">
        <v>682925.97</v>
      </c>
      <c r="N877">
        <f t="shared" si="16"/>
        <v>935140.7699999999</v>
      </c>
      <c r="O877" s="9" t="s">
        <v>5</v>
      </c>
    </row>
    <row r="878" spans="1:15" x14ac:dyDescent="0.2">
      <c r="A878">
        <v>49</v>
      </c>
      <c r="B878">
        <v>5</v>
      </c>
      <c r="C878">
        <v>6</v>
      </c>
      <c r="D878" s="2">
        <v>2</v>
      </c>
      <c r="E878" s="2">
        <v>1</v>
      </c>
      <c r="F878" s="2" t="s">
        <v>5</v>
      </c>
      <c r="G878" s="2">
        <v>183.19999999931699</v>
      </c>
      <c r="H878" s="2" t="s">
        <v>8</v>
      </c>
      <c r="I878" s="2">
        <v>102215.999999999</v>
      </c>
      <c r="J878" s="2">
        <v>5000</v>
      </c>
      <c r="K878" s="2">
        <v>20</v>
      </c>
      <c r="L878" s="2">
        <v>0</v>
      </c>
      <c r="M878" s="2">
        <v>536825.17000000004</v>
      </c>
      <c r="N878">
        <f t="shared" si="16"/>
        <v>639224.36999999837</v>
      </c>
      <c r="O878" s="9" t="s">
        <v>5</v>
      </c>
    </row>
    <row r="879" spans="1:15" x14ac:dyDescent="0.2">
      <c r="A879">
        <v>50</v>
      </c>
      <c r="B879">
        <v>5</v>
      </c>
      <c r="C879">
        <v>6</v>
      </c>
      <c r="D879" s="2">
        <v>2</v>
      </c>
      <c r="E879" s="2">
        <v>2</v>
      </c>
      <c r="F879" s="2" t="s">
        <v>5</v>
      </c>
      <c r="G879" s="2">
        <v>190.800000000024</v>
      </c>
      <c r="H879" s="2" t="s">
        <v>8</v>
      </c>
      <c r="I879" s="2">
        <v>146021.99999999901</v>
      </c>
      <c r="J879" s="2">
        <v>5000</v>
      </c>
      <c r="K879" s="2">
        <v>20</v>
      </c>
      <c r="L879" s="2">
        <v>0</v>
      </c>
      <c r="M879" s="2">
        <v>451825.57</v>
      </c>
      <c r="N879">
        <f t="shared" si="16"/>
        <v>598038.36999999906</v>
      </c>
      <c r="O879" s="9" t="s">
        <v>5</v>
      </c>
    </row>
    <row r="880" spans="1:15" x14ac:dyDescent="0.2">
      <c r="A880">
        <v>51</v>
      </c>
      <c r="B880">
        <v>5</v>
      </c>
      <c r="C880">
        <v>6</v>
      </c>
      <c r="D880" s="2">
        <v>2</v>
      </c>
      <c r="E880" s="2">
        <v>3</v>
      </c>
      <c r="F880" s="2" t="s">
        <v>5</v>
      </c>
      <c r="G880" s="2">
        <v>252.19999999990301</v>
      </c>
      <c r="H880" s="2" t="s">
        <v>8</v>
      </c>
      <c r="I880" s="2">
        <v>203922</v>
      </c>
      <c r="J880" s="2">
        <v>5000</v>
      </c>
      <c r="K880" s="2">
        <v>20</v>
      </c>
      <c r="L880" s="2">
        <v>0</v>
      </c>
      <c r="M880" s="2">
        <v>527924.37</v>
      </c>
      <c r="N880">
        <f t="shared" si="16"/>
        <v>732098.56999999983</v>
      </c>
      <c r="O880" s="9" t="s">
        <v>5</v>
      </c>
    </row>
    <row r="881" spans="1:15" x14ac:dyDescent="0.2">
      <c r="A881">
        <v>52</v>
      </c>
      <c r="B881">
        <v>5</v>
      </c>
      <c r="C881">
        <v>7</v>
      </c>
      <c r="D881" s="2">
        <v>2</v>
      </c>
      <c r="E881" s="2">
        <v>1</v>
      </c>
      <c r="F881" s="2" t="s">
        <v>5</v>
      </c>
      <c r="G881" s="2">
        <v>219.40000000029201</v>
      </c>
      <c r="H881" s="2" t="s">
        <v>8</v>
      </c>
      <c r="I881" s="2">
        <v>251747</v>
      </c>
      <c r="J881" s="2">
        <v>5000</v>
      </c>
      <c r="K881" s="2">
        <v>20</v>
      </c>
      <c r="L881" s="2">
        <v>0</v>
      </c>
      <c r="M881" s="2">
        <v>455625.17</v>
      </c>
      <c r="N881">
        <f t="shared" si="16"/>
        <v>707591.5700000003</v>
      </c>
      <c r="O881" s="9" t="s">
        <v>5</v>
      </c>
    </row>
    <row r="882" spans="1:15" x14ac:dyDescent="0.2">
      <c r="A882">
        <v>53</v>
      </c>
      <c r="B882">
        <v>5</v>
      </c>
      <c r="C882">
        <v>7</v>
      </c>
      <c r="D882" s="2">
        <v>2</v>
      </c>
      <c r="E882" s="2">
        <v>2</v>
      </c>
      <c r="F882" s="2" t="s">
        <v>5</v>
      </c>
      <c r="G882" s="2">
        <v>218.80000000038501</v>
      </c>
      <c r="H882" s="2" t="s">
        <v>8</v>
      </c>
      <c r="I882" s="2">
        <v>209296.99999999901</v>
      </c>
      <c r="J882" s="2">
        <v>5000</v>
      </c>
      <c r="K882" s="2">
        <v>20</v>
      </c>
      <c r="L882" s="2">
        <v>0</v>
      </c>
      <c r="M882" s="2">
        <v>545225.17000000004</v>
      </c>
      <c r="N882">
        <f t="shared" si="16"/>
        <v>754740.96999999951</v>
      </c>
      <c r="O882" s="9" t="s">
        <v>5</v>
      </c>
    </row>
    <row r="883" spans="1:15" x14ac:dyDescent="0.2">
      <c r="A883">
        <v>54</v>
      </c>
      <c r="B883">
        <v>5</v>
      </c>
      <c r="C883">
        <v>7</v>
      </c>
      <c r="D883" s="2">
        <v>2</v>
      </c>
      <c r="E883" s="2">
        <v>3</v>
      </c>
      <c r="F883" s="2" t="s">
        <v>5</v>
      </c>
      <c r="G883" s="2">
        <v>306.40000000019501</v>
      </c>
      <c r="H883" s="2" t="s">
        <v>8</v>
      </c>
      <c r="I883" s="2">
        <v>515255</v>
      </c>
      <c r="J883" s="2">
        <v>5000</v>
      </c>
      <c r="K883" s="2">
        <v>20</v>
      </c>
      <c r="L883" s="2">
        <v>0</v>
      </c>
      <c r="M883" s="2">
        <v>561724.37</v>
      </c>
      <c r="N883">
        <f t="shared" si="16"/>
        <v>1077285.7700000003</v>
      </c>
      <c r="O883" s="9" t="s">
        <v>5</v>
      </c>
    </row>
    <row r="884" spans="1:15" x14ac:dyDescent="0.2">
      <c r="A884">
        <v>55</v>
      </c>
      <c r="B884">
        <v>5</v>
      </c>
      <c r="C884">
        <v>5</v>
      </c>
      <c r="D884" s="2">
        <v>2</v>
      </c>
      <c r="E884" s="2">
        <v>1</v>
      </c>
      <c r="F884" s="2" t="s">
        <v>5</v>
      </c>
      <c r="G884" s="2">
        <v>140.60000000064599</v>
      </c>
      <c r="H884" s="2" t="s">
        <v>8</v>
      </c>
      <c r="I884" s="2">
        <v>51733.999999999702</v>
      </c>
      <c r="J884" s="2">
        <v>5000</v>
      </c>
      <c r="K884" s="2">
        <v>20</v>
      </c>
      <c r="L884" s="2">
        <v>0</v>
      </c>
      <c r="M884" s="2">
        <v>494625.17</v>
      </c>
      <c r="N884">
        <f t="shared" si="16"/>
        <v>546499.77000000037</v>
      </c>
      <c r="O884" s="9" t="s">
        <v>5</v>
      </c>
    </row>
    <row r="885" spans="1:15" x14ac:dyDescent="0.2">
      <c r="A885">
        <v>56</v>
      </c>
      <c r="B885">
        <v>5</v>
      </c>
      <c r="C885">
        <v>5</v>
      </c>
      <c r="D885" s="2">
        <v>2</v>
      </c>
      <c r="E885" s="2">
        <v>2</v>
      </c>
      <c r="F885" s="2" t="s">
        <v>5</v>
      </c>
      <c r="G885" s="2">
        <v>137.60000000004899</v>
      </c>
      <c r="H885" s="2" t="s">
        <v>8</v>
      </c>
      <c r="I885" s="2">
        <v>57291.000000001099</v>
      </c>
      <c r="J885" s="2">
        <v>5000</v>
      </c>
      <c r="K885" s="2">
        <v>20</v>
      </c>
      <c r="L885" s="2">
        <v>0</v>
      </c>
      <c r="M885" s="2">
        <v>427025.17</v>
      </c>
      <c r="N885">
        <f t="shared" si="16"/>
        <v>484453.77000000112</v>
      </c>
      <c r="O885" s="9" t="s">
        <v>5</v>
      </c>
    </row>
    <row r="886" spans="1:15" x14ac:dyDescent="0.2">
      <c r="A886">
        <v>57</v>
      </c>
      <c r="B886">
        <v>5</v>
      </c>
      <c r="C886">
        <v>5</v>
      </c>
      <c r="D886" s="2">
        <v>2</v>
      </c>
      <c r="E886" s="2">
        <v>3</v>
      </c>
      <c r="F886" s="2" t="s">
        <v>5</v>
      </c>
      <c r="G886" s="2">
        <v>183.39999999987799</v>
      </c>
      <c r="H886" s="2" t="s">
        <v>8</v>
      </c>
      <c r="I886" s="2">
        <v>96692.000000000902</v>
      </c>
      <c r="J886" s="2">
        <v>5000</v>
      </c>
      <c r="K886" s="2">
        <v>20</v>
      </c>
      <c r="L886" s="2">
        <v>0</v>
      </c>
      <c r="M886" s="2">
        <v>651725.56999999995</v>
      </c>
      <c r="N886">
        <f t="shared" si="16"/>
        <v>748600.97000000067</v>
      </c>
      <c r="O886" s="9" t="s">
        <v>5</v>
      </c>
    </row>
    <row r="887" spans="1:15" x14ac:dyDescent="0.2">
      <c r="A887">
        <v>58</v>
      </c>
      <c r="B887">
        <v>5</v>
      </c>
      <c r="C887">
        <v>6</v>
      </c>
      <c r="D887" s="2">
        <v>2</v>
      </c>
      <c r="E887" s="2">
        <v>1</v>
      </c>
      <c r="F887" s="2" t="s">
        <v>5</v>
      </c>
      <c r="G887" s="2">
        <v>215.599999999228</v>
      </c>
      <c r="H887" s="2" t="s">
        <v>8</v>
      </c>
      <c r="I887" s="2">
        <v>86040.000000000597</v>
      </c>
      <c r="J887" s="2">
        <v>5000</v>
      </c>
      <c r="K887" s="2">
        <v>20</v>
      </c>
      <c r="L887" s="2">
        <v>0</v>
      </c>
      <c r="M887" s="2">
        <v>511725.17</v>
      </c>
      <c r="N887">
        <f t="shared" si="16"/>
        <v>597980.76999999979</v>
      </c>
      <c r="O887" s="9" t="s">
        <v>5</v>
      </c>
    </row>
    <row r="888" spans="1:15" x14ac:dyDescent="0.2">
      <c r="A888">
        <v>59</v>
      </c>
      <c r="B888">
        <v>5</v>
      </c>
      <c r="C888">
        <v>6</v>
      </c>
      <c r="D888" s="2">
        <v>2</v>
      </c>
      <c r="E888" s="2">
        <v>2</v>
      </c>
      <c r="F888" s="2" t="s">
        <v>5</v>
      </c>
      <c r="G888" s="2">
        <v>212.39999999984599</v>
      </c>
      <c r="H888" s="2" t="s">
        <v>8</v>
      </c>
      <c r="I888" s="2">
        <v>68540.000000000495</v>
      </c>
      <c r="J888" s="2">
        <v>5000</v>
      </c>
      <c r="K888" s="2">
        <v>20</v>
      </c>
      <c r="L888" s="2">
        <v>0</v>
      </c>
      <c r="M888" s="2">
        <v>416125.57</v>
      </c>
      <c r="N888">
        <f t="shared" si="16"/>
        <v>484877.97000000032</v>
      </c>
      <c r="O888" s="9" t="s">
        <v>5</v>
      </c>
    </row>
    <row r="889" spans="1:15" x14ac:dyDescent="0.2">
      <c r="A889">
        <v>60</v>
      </c>
      <c r="B889">
        <v>5</v>
      </c>
      <c r="C889">
        <v>6</v>
      </c>
      <c r="D889" s="2">
        <v>2</v>
      </c>
      <c r="E889" s="2">
        <v>3</v>
      </c>
      <c r="F889" s="2" t="s">
        <v>5</v>
      </c>
      <c r="G889" s="2">
        <v>288.40000000016602</v>
      </c>
      <c r="H889" s="2" t="s">
        <v>8</v>
      </c>
      <c r="I889" s="2">
        <v>278874.99999999901</v>
      </c>
      <c r="J889" s="2">
        <v>5000</v>
      </c>
      <c r="K889" s="2">
        <v>20</v>
      </c>
      <c r="L889" s="2">
        <v>0</v>
      </c>
      <c r="M889" s="2">
        <v>476725.97</v>
      </c>
      <c r="N889">
        <f t="shared" si="16"/>
        <v>755889.36999999918</v>
      </c>
      <c r="O889" s="9" t="s">
        <v>5</v>
      </c>
    </row>
    <row r="890" spans="1:15" x14ac:dyDescent="0.2">
      <c r="A890">
        <v>61</v>
      </c>
      <c r="B890">
        <v>5</v>
      </c>
      <c r="C890">
        <v>7</v>
      </c>
      <c r="D890" s="2">
        <v>2</v>
      </c>
      <c r="E890" s="2">
        <v>1</v>
      </c>
      <c r="F890" s="2" t="s">
        <v>5</v>
      </c>
      <c r="G890" s="2">
        <v>230.60000000043601</v>
      </c>
      <c r="H890" s="2" t="s">
        <v>8</v>
      </c>
      <c r="I890" s="2">
        <v>161028</v>
      </c>
      <c r="J890" s="2">
        <v>5000</v>
      </c>
      <c r="K890" s="2">
        <v>20</v>
      </c>
      <c r="L890" s="2">
        <v>0</v>
      </c>
      <c r="M890" s="2">
        <v>670425.17000000004</v>
      </c>
      <c r="N890">
        <f t="shared" si="16"/>
        <v>831683.77000000048</v>
      </c>
      <c r="O890" s="9" t="s">
        <v>5</v>
      </c>
    </row>
    <row r="891" spans="1:15" x14ac:dyDescent="0.2">
      <c r="A891">
        <v>62</v>
      </c>
      <c r="B891">
        <v>5</v>
      </c>
      <c r="C891">
        <v>7</v>
      </c>
      <c r="D891" s="2">
        <v>2</v>
      </c>
      <c r="E891" s="2">
        <v>2</v>
      </c>
      <c r="F891" s="2" t="s">
        <v>5</v>
      </c>
      <c r="G891" s="2">
        <v>233.80000000017299</v>
      </c>
      <c r="H891" s="2" t="s">
        <v>8</v>
      </c>
      <c r="I891" s="2">
        <v>123650</v>
      </c>
      <c r="J891" s="2">
        <v>5000</v>
      </c>
      <c r="K891" s="2">
        <v>20</v>
      </c>
      <c r="L891" s="2">
        <v>0</v>
      </c>
      <c r="M891" s="2">
        <v>542925.56999999995</v>
      </c>
      <c r="N891">
        <f t="shared" si="16"/>
        <v>666809.37000000011</v>
      </c>
      <c r="O891" s="9" t="s">
        <v>5</v>
      </c>
    </row>
    <row r="892" spans="1:15" x14ac:dyDescent="0.2">
      <c r="A892">
        <v>63</v>
      </c>
      <c r="B892">
        <v>5</v>
      </c>
      <c r="C892">
        <v>7</v>
      </c>
      <c r="D892" s="2">
        <v>2</v>
      </c>
      <c r="E892" s="2">
        <v>3</v>
      </c>
      <c r="F892" s="2" t="s">
        <v>5</v>
      </c>
      <c r="G892" s="2">
        <v>359.799999999666</v>
      </c>
      <c r="H892" s="2" t="s">
        <v>8</v>
      </c>
      <c r="I892" s="2">
        <v>395599.00000000099</v>
      </c>
      <c r="J892" s="2">
        <v>5000</v>
      </c>
      <c r="K892" s="2">
        <v>20</v>
      </c>
      <c r="L892" s="2">
        <v>0</v>
      </c>
      <c r="M892" s="2">
        <v>519525.97</v>
      </c>
      <c r="N892">
        <f t="shared" si="16"/>
        <v>915484.7700000006</v>
      </c>
      <c r="O892" s="9" t="s">
        <v>4</v>
      </c>
    </row>
    <row r="893" spans="1:15" x14ac:dyDescent="0.2">
      <c r="A893">
        <v>64</v>
      </c>
      <c r="B893">
        <v>5</v>
      </c>
      <c r="C893">
        <v>8</v>
      </c>
      <c r="D893" s="2">
        <v>2</v>
      </c>
      <c r="E893" s="2">
        <v>1</v>
      </c>
      <c r="F893" s="2" t="s">
        <v>5</v>
      </c>
      <c r="G893" s="2">
        <v>274.00000000028501</v>
      </c>
      <c r="H893" s="2" t="s">
        <v>8</v>
      </c>
      <c r="I893" s="2">
        <v>279384</v>
      </c>
      <c r="J893" s="2">
        <v>5000</v>
      </c>
      <c r="K893" s="2">
        <v>20</v>
      </c>
      <c r="L893" s="2">
        <v>0</v>
      </c>
      <c r="M893" s="2">
        <v>469925.97</v>
      </c>
      <c r="N893">
        <f t="shared" si="16"/>
        <v>749583.9700000002</v>
      </c>
      <c r="O893" s="9" t="s">
        <v>5</v>
      </c>
    </row>
    <row r="894" spans="1:15" x14ac:dyDescent="0.2">
      <c r="A894">
        <v>65</v>
      </c>
      <c r="B894">
        <v>5</v>
      </c>
      <c r="C894">
        <v>8</v>
      </c>
      <c r="D894" s="2">
        <v>2</v>
      </c>
      <c r="E894" s="2">
        <v>2</v>
      </c>
      <c r="F894" s="2" t="s">
        <v>5</v>
      </c>
      <c r="G894" s="2">
        <v>271.20000000024902</v>
      </c>
      <c r="H894" s="2" t="s">
        <v>8</v>
      </c>
      <c r="I894" s="2">
        <v>345789</v>
      </c>
      <c r="J894" s="2">
        <v>5000</v>
      </c>
      <c r="K894" s="2">
        <v>20</v>
      </c>
      <c r="L894" s="2">
        <v>0</v>
      </c>
      <c r="M894" s="2">
        <v>551625.56999999995</v>
      </c>
      <c r="N894">
        <f t="shared" si="16"/>
        <v>897685.77000000025</v>
      </c>
      <c r="O894" s="9" t="s">
        <v>5</v>
      </c>
    </row>
    <row r="895" spans="1:15" x14ac:dyDescent="0.2">
      <c r="A895">
        <v>66</v>
      </c>
      <c r="B895">
        <v>5</v>
      </c>
      <c r="C895">
        <v>8</v>
      </c>
      <c r="D895" s="2">
        <v>2</v>
      </c>
      <c r="E895" s="2">
        <v>3</v>
      </c>
      <c r="F895" s="2" t="s">
        <v>5</v>
      </c>
      <c r="G895" s="2">
        <v>390.99999999976399</v>
      </c>
      <c r="H895" s="2" t="s">
        <v>8</v>
      </c>
      <c r="I895" s="2">
        <v>1149315</v>
      </c>
      <c r="J895" s="2">
        <v>5000</v>
      </c>
      <c r="K895" s="2">
        <v>20</v>
      </c>
      <c r="L895" s="2">
        <v>0</v>
      </c>
      <c r="M895" s="2">
        <v>559824.77</v>
      </c>
      <c r="N895">
        <f t="shared" si="16"/>
        <v>1709530.7699999998</v>
      </c>
      <c r="O895" s="9" t="s">
        <v>4</v>
      </c>
    </row>
    <row r="896" spans="1:15" x14ac:dyDescent="0.2">
      <c r="A896">
        <v>67</v>
      </c>
      <c r="B896">
        <v>5</v>
      </c>
      <c r="C896">
        <v>7</v>
      </c>
      <c r="D896" s="2">
        <v>2</v>
      </c>
      <c r="E896" s="2">
        <v>1</v>
      </c>
      <c r="F896" s="2" t="s">
        <v>5</v>
      </c>
      <c r="G896" s="2">
        <v>210.20000000007099</v>
      </c>
      <c r="H896" s="2" t="s">
        <v>8</v>
      </c>
      <c r="I896" s="2">
        <v>176762</v>
      </c>
      <c r="J896" s="2">
        <v>5000</v>
      </c>
      <c r="K896" s="2">
        <v>20</v>
      </c>
      <c r="L896" s="2">
        <v>0</v>
      </c>
      <c r="M896" s="2">
        <v>524924.37</v>
      </c>
      <c r="N896">
        <f t="shared" si="16"/>
        <v>701896.57000000007</v>
      </c>
      <c r="O896" s="9" t="s">
        <v>5</v>
      </c>
    </row>
    <row r="897" spans="1:15" x14ac:dyDescent="0.2">
      <c r="A897">
        <v>68</v>
      </c>
      <c r="B897">
        <v>5</v>
      </c>
      <c r="C897">
        <v>7</v>
      </c>
      <c r="D897" s="2">
        <v>2</v>
      </c>
      <c r="E897" s="2">
        <v>2</v>
      </c>
      <c r="F897" s="2" t="s">
        <v>5</v>
      </c>
      <c r="G897" s="2">
        <v>210.00000000022101</v>
      </c>
      <c r="H897" s="2" t="s">
        <v>8</v>
      </c>
      <c r="I897" s="2">
        <v>175160</v>
      </c>
      <c r="J897" s="2">
        <v>5000</v>
      </c>
      <c r="K897" s="2">
        <v>20</v>
      </c>
      <c r="L897" s="2">
        <v>0</v>
      </c>
      <c r="M897" s="2">
        <v>445324.37</v>
      </c>
      <c r="N897">
        <f t="shared" si="16"/>
        <v>620694.37000000023</v>
      </c>
      <c r="O897" s="9" t="s">
        <v>5</v>
      </c>
    </row>
    <row r="898" spans="1:15" x14ac:dyDescent="0.2">
      <c r="A898">
        <v>69</v>
      </c>
      <c r="B898">
        <v>5</v>
      </c>
      <c r="C898">
        <v>7</v>
      </c>
      <c r="D898" s="2">
        <v>2</v>
      </c>
      <c r="E898" s="2">
        <v>3</v>
      </c>
      <c r="F898" s="2" t="s">
        <v>5</v>
      </c>
      <c r="G898" s="2">
        <v>292.59999999986502</v>
      </c>
      <c r="H898" s="2" t="s">
        <v>8</v>
      </c>
      <c r="I898" s="2">
        <v>386187</v>
      </c>
      <c r="J898" s="2">
        <v>5000</v>
      </c>
      <c r="K898" s="2">
        <v>20</v>
      </c>
      <c r="L898" s="2">
        <v>0</v>
      </c>
      <c r="M898" s="2">
        <v>423423.97</v>
      </c>
      <c r="N898">
        <f t="shared" si="16"/>
        <v>809903.56999999983</v>
      </c>
      <c r="O898" s="9" t="s">
        <v>4</v>
      </c>
    </row>
    <row r="899" spans="1:15" x14ac:dyDescent="0.2">
      <c r="A899">
        <v>28</v>
      </c>
      <c r="B899">
        <v>5</v>
      </c>
      <c r="C899">
        <v>4</v>
      </c>
      <c r="D899" s="2">
        <v>2</v>
      </c>
      <c r="E899" s="2">
        <v>1</v>
      </c>
      <c r="F899" s="2" t="s">
        <v>5</v>
      </c>
      <c r="G899" s="2">
        <v>541.19999999961999</v>
      </c>
      <c r="H899" s="2" t="s">
        <v>8</v>
      </c>
      <c r="I899" s="2">
        <v>37176.000000000502</v>
      </c>
      <c r="J899" s="2">
        <v>1000</v>
      </c>
      <c r="K899" s="2">
        <v>100</v>
      </c>
      <c r="L899" s="2">
        <v>0</v>
      </c>
      <c r="M899" s="2">
        <v>183388.37</v>
      </c>
      <c r="N899">
        <f t="shared" ref="N899:N940" si="17">G899+I899+M899</f>
        <v>221105.57000000012</v>
      </c>
      <c r="O899" s="2" t="s">
        <v>5</v>
      </c>
    </row>
    <row r="900" spans="1:15" x14ac:dyDescent="0.2">
      <c r="A900">
        <v>29</v>
      </c>
      <c r="B900">
        <v>5</v>
      </c>
      <c r="C900">
        <v>5</v>
      </c>
      <c r="D900" s="2">
        <v>2</v>
      </c>
      <c r="E900" s="2">
        <v>2</v>
      </c>
      <c r="F900" s="2" t="s">
        <v>5</v>
      </c>
      <c r="G900" s="2">
        <v>547.39999999959798</v>
      </c>
      <c r="H900" s="2" t="s">
        <v>8</v>
      </c>
      <c r="I900" s="2">
        <v>71896.000000000597</v>
      </c>
      <c r="J900" s="2">
        <v>1000</v>
      </c>
      <c r="K900" s="2">
        <v>100</v>
      </c>
      <c r="L900" s="2">
        <v>0</v>
      </c>
      <c r="M900" s="2">
        <v>196627.57</v>
      </c>
      <c r="N900">
        <f t="shared" si="17"/>
        <v>269070.9700000002</v>
      </c>
      <c r="O900" s="2" t="s">
        <v>5</v>
      </c>
    </row>
    <row r="901" spans="1:15" x14ac:dyDescent="0.2">
      <c r="A901">
        <v>30</v>
      </c>
      <c r="B901">
        <v>5</v>
      </c>
      <c r="C901">
        <v>5</v>
      </c>
      <c r="D901" s="2">
        <v>2</v>
      </c>
      <c r="E901" s="2">
        <v>3</v>
      </c>
      <c r="F901" s="2" t="s">
        <v>5</v>
      </c>
      <c r="G901" s="2">
        <v>598.60000000000502</v>
      </c>
      <c r="H901" s="2" t="s">
        <v>8</v>
      </c>
      <c r="I901" s="2">
        <v>251473</v>
      </c>
      <c r="J901" s="2">
        <v>1000</v>
      </c>
      <c r="K901" s="2">
        <v>100</v>
      </c>
      <c r="L901" s="2">
        <v>0</v>
      </c>
      <c r="M901" s="2">
        <v>198948.37</v>
      </c>
      <c r="N901">
        <f t="shared" si="17"/>
        <v>451019.97</v>
      </c>
      <c r="O901" s="2" t="s">
        <v>5</v>
      </c>
    </row>
    <row r="902" spans="1:15" x14ac:dyDescent="0.2">
      <c r="A902">
        <v>31</v>
      </c>
      <c r="B902">
        <v>5</v>
      </c>
      <c r="C902">
        <v>5</v>
      </c>
      <c r="D902" s="2">
        <v>2</v>
      </c>
      <c r="E902" s="2">
        <v>1</v>
      </c>
      <c r="F902" s="2" t="s">
        <v>5</v>
      </c>
      <c r="G902" s="2">
        <v>351.19999999970702</v>
      </c>
      <c r="H902" s="2" t="s">
        <v>8</v>
      </c>
      <c r="I902" s="2">
        <v>68826.999999999796</v>
      </c>
      <c r="J902" s="2">
        <v>1000</v>
      </c>
      <c r="K902" s="2">
        <v>100</v>
      </c>
      <c r="L902" s="2">
        <v>0</v>
      </c>
      <c r="M902" s="2">
        <v>175767.97</v>
      </c>
      <c r="N902">
        <f t="shared" si="17"/>
        <v>244946.16999999952</v>
      </c>
      <c r="O902" s="2" t="s">
        <v>5</v>
      </c>
    </row>
    <row r="903" spans="1:15" x14ac:dyDescent="0.2">
      <c r="A903">
        <v>32</v>
      </c>
      <c r="B903">
        <v>5</v>
      </c>
      <c r="C903">
        <v>5</v>
      </c>
      <c r="D903" s="2">
        <v>2</v>
      </c>
      <c r="E903" s="2">
        <v>2</v>
      </c>
      <c r="F903" s="2" t="s">
        <v>5</v>
      </c>
      <c r="G903" s="2">
        <v>356.00000000002302</v>
      </c>
      <c r="H903" s="2" t="s">
        <v>8</v>
      </c>
      <c r="I903" s="2">
        <v>64877.000000000102</v>
      </c>
      <c r="J903" s="2">
        <v>1000</v>
      </c>
      <c r="K903" s="2">
        <v>100</v>
      </c>
      <c r="L903" s="2">
        <v>0</v>
      </c>
      <c r="M903" s="2">
        <v>182707.97</v>
      </c>
      <c r="N903">
        <f t="shared" si="17"/>
        <v>247940.97000000012</v>
      </c>
      <c r="O903" s="2" t="s">
        <v>5</v>
      </c>
    </row>
    <row r="904" spans="1:15" x14ac:dyDescent="0.2">
      <c r="A904">
        <v>33</v>
      </c>
      <c r="B904">
        <v>5</v>
      </c>
      <c r="C904">
        <v>5</v>
      </c>
      <c r="D904" s="2">
        <v>2</v>
      </c>
      <c r="E904" s="2">
        <v>3</v>
      </c>
      <c r="F904" s="2" t="s">
        <v>5</v>
      </c>
      <c r="G904" s="2">
        <v>485.39999999981399</v>
      </c>
      <c r="H904" s="2" t="s">
        <v>8</v>
      </c>
      <c r="I904" s="2">
        <v>255639</v>
      </c>
      <c r="J904" s="2">
        <v>1000</v>
      </c>
      <c r="K904" s="2">
        <v>100</v>
      </c>
      <c r="L904" s="2">
        <v>0</v>
      </c>
      <c r="M904" s="2">
        <v>220867.17</v>
      </c>
      <c r="N904">
        <f t="shared" si="17"/>
        <v>476991.56999999983</v>
      </c>
      <c r="O904" s="2" t="s">
        <v>4</v>
      </c>
    </row>
    <row r="905" spans="1:15" x14ac:dyDescent="0.2">
      <c r="A905">
        <v>34</v>
      </c>
      <c r="B905">
        <v>5</v>
      </c>
      <c r="C905">
        <v>5</v>
      </c>
      <c r="D905" s="2">
        <v>2</v>
      </c>
      <c r="E905" s="2">
        <v>1</v>
      </c>
      <c r="F905" s="2" t="s">
        <v>5</v>
      </c>
      <c r="G905" s="2">
        <v>307.60000000000798</v>
      </c>
      <c r="H905" s="2" t="s">
        <v>8</v>
      </c>
      <c r="I905" s="2">
        <v>49771.999999999898</v>
      </c>
      <c r="J905" s="2">
        <v>1000</v>
      </c>
      <c r="K905" s="2">
        <v>100</v>
      </c>
      <c r="L905" s="2">
        <v>0</v>
      </c>
      <c r="M905" s="2">
        <v>222727.57</v>
      </c>
      <c r="N905">
        <f t="shared" si="17"/>
        <v>272807.16999999993</v>
      </c>
      <c r="O905" s="2" t="s">
        <v>5</v>
      </c>
    </row>
    <row r="906" spans="1:15" x14ac:dyDescent="0.2">
      <c r="A906">
        <v>35</v>
      </c>
      <c r="B906">
        <v>5</v>
      </c>
      <c r="C906">
        <v>6</v>
      </c>
      <c r="D906" s="2">
        <v>2</v>
      </c>
      <c r="E906" s="2">
        <v>1</v>
      </c>
      <c r="F906" s="2" t="s">
        <v>5</v>
      </c>
      <c r="G906" s="2">
        <v>378.80000000036802</v>
      </c>
      <c r="H906" s="2" t="s">
        <v>8</v>
      </c>
      <c r="I906" s="2">
        <v>110241</v>
      </c>
      <c r="J906" s="2">
        <v>1000</v>
      </c>
      <c r="K906" s="2">
        <v>100</v>
      </c>
      <c r="L906" s="2">
        <v>0</v>
      </c>
      <c r="M906" s="2">
        <v>200328.37</v>
      </c>
      <c r="N906">
        <f t="shared" si="17"/>
        <v>310948.17000000039</v>
      </c>
      <c r="O906" s="2" t="s">
        <v>5</v>
      </c>
    </row>
    <row r="907" spans="1:15" x14ac:dyDescent="0.2">
      <c r="A907">
        <v>36</v>
      </c>
      <c r="B907">
        <v>5</v>
      </c>
      <c r="C907">
        <v>6</v>
      </c>
      <c r="D907" s="2">
        <v>2</v>
      </c>
      <c r="E907" s="2">
        <v>2</v>
      </c>
      <c r="F907" s="2" t="s">
        <v>5</v>
      </c>
      <c r="G907" s="2">
        <v>225.399999999709</v>
      </c>
      <c r="H907" s="2" t="s">
        <v>8</v>
      </c>
      <c r="I907" s="2">
        <v>111119</v>
      </c>
      <c r="J907" s="2">
        <v>1000</v>
      </c>
      <c r="K907" s="2">
        <v>100</v>
      </c>
      <c r="L907" s="2">
        <v>0</v>
      </c>
      <c r="M907" s="2">
        <v>200447.97</v>
      </c>
      <c r="N907">
        <f t="shared" si="17"/>
        <v>311792.3699999997</v>
      </c>
      <c r="O907" s="2" t="s">
        <v>5</v>
      </c>
    </row>
    <row r="908" spans="1:15" x14ac:dyDescent="0.2">
      <c r="A908">
        <v>37</v>
      </c>
      <c r="B908">
        <v>5</v>
      </c>
      <c r="C908">
        <v>6</v>
      </c>
      <c r="D908" s="2">
        <v>2</v>
      </c>
      <c r="E908" s="2">
        <v>3</v>
      </c>
      <c r="F908" s="2" t="s">
        <v>5</v>
      </c>
      <c r="G908" s="2">
        <v>317.40000000049002</v>
      </c>
      <c r="H908" s="2" t="s">
        <v>8</v>
      </c>
      <c r="I908" s="2">
        <v>450438.99999999901</v>
      </c>
      <c r="J908" s="2">
        <v>1000</v>
      </c>
      <c r="K908" s="2">
        <v>100</v>
      </c>
      <c r="L908" s="2">
        <v>0</v>
      </c>
      <c r="M908" s="2">
        <v>193347.57</v>
      </c>
      <c r="N908">
        <f t="shared" si="17"/>
        <v>644103.96999999951</v>
      </c>
      <c r="O908" s="2" t="s">
        <v>4</v>
      </c>
    </row>
    <row r="909" spans="1:15" x14ac:dyDescent="0.2">
      <c r="A909">
        <v>38</v>
      </c>
      <c r="B909">
        <v>5</v>
      </c>
      <c r="C909">
        <v>6</v>
      </c>
      <c r="D909" s="2">
        <v>2</v>
      </c>
      <c r="E909" s="2">
        <v>1</v>
      </c>
      <c r="F909" s="2" t="s">
        <v>5</v>
      </c>
      <c r="G909" s="2">
        <v>206.39999999971801</v>
      </c>
      <c r="H909" s="2" t="s">
        <v>8</v>
      </c>
      <c r="I909" s="2">
        <v>136472</v>
      </c>
      <c r="J909" s="2">
        <v>1000</v>
      </c>
      <c r="K909" s="2">
        <v>100</v>
      </c>
      <c r="L909" s="2">
        <v>0</v>
      </c>
      <c r="M909" s="2">
        <v>181907.57</v>
      </c>
      <c r="N909">
        <f t="shared" si="17"/>
        <v>318585.96999999974</v>
      </c>
      <c r="O909" s="2" t="s">
        <v>5</v>
      </c>
    </row>
    <row r="910" spans="1:15" x14ac:dyDescent="0.2">
      <c r="A910">
        <v>39</v>
      </c>
      <c r="B910">
        <v>5</v>
      </c>
      <c r="C910">
        <v>7</v>
      </c>
      <c r="D910" s="2">
        <v>2</v>
      </c>
      <c r="E910" s="2">
        <v>1</v>
      </c>
      <c r="F910" s="2" t="s">
        <v>5</v>
      </c>
      <c r="G910" s="2">
        <v>257.600000000124</v>
      </c>
      <c r="H910" s="2" t="s">
        <v>8</v>
      </c>
      <c r="I910" s="2">
        <v>207379</v>
      </c>
      <c r="J910" s="2">
        <v>1000</v>
      </c>
      <c r="K910" s="2">
        <v>100</v>
      </c>
      <c r="L910" s="2">
        <v>0</v>
      </c>
      <c r="M910" s="2">
        <v>219227.17</v>
      </c>
      <c r="N910">
        <f t="shared" si="17"/>
        <v>426863.77000000014</v>
      </c>
      <c r="O910" s="2" t="s">
        <v>5</v>
      </c>
    </row>
    <row r="911" spans="1:15" x14ac:dyDescent="0.2">
      <c r="A911">
        <v>40</v>
      </c>
      <c r="B911">
        <v>5</v>
      </c>
      <c r="C911">
        <v>7</v>
      </c>
      <c r="D911" s="2">
        <v>2</v>
      </c>
      <c r="E911" s="2">
        <v>2</v>
      </c>
      <c r="F911" s="2" t="s">
        <v>5</v>
      </c>
      <c r="G911" s="2">
        <v>242.59999999962599</v>
      </c>
      <c r="H911" s="2" t="s">
        <v>8</v>
      </c>
      <c r="I911" s="2">
        <v>197622</v>
      </c>
      <c r="J911" s="2">
        <v>1000</v>
      </c>
      <c r="K911" s="2">
        <v>100</v>
      </c>
      <c r="L911" s="2">
        <v>0</v>
      </c>
      <c r="M911" s="2">
        <v>185227.97</v>
      </c>
      <c r="N911">
        <f t="shared" si="17"/>
        <v>383092.5699999996</v>
      </c>
      <c r="O911" s="2" t="s">
        <v>4</v>
      </c>
    </row>
    <row r="912" spans="1:15" x14ac:dyDescent="0.2">
      <c r="A912">
        <v>41</v>
      </c>
      <c r="B912">
        <v>5</v>
      </c>
      <c r="C912">
        <v>7</v>
      </c>
      <c r="D912" s="2">
        <v>2</v>
      </c>
      <c r="E912" s="2">
        <v>3</v>
      </c>
      <c r="F912" s="2" t="s">
        <v>5</v>
      </c>
      <c r="G912" s="2">
        <v>354.20000000030399</v>
      </c>
      <c r="H912" s="2" t="s">
        <v>8</v>
      </c>
      <c r="I912" s="2">
        <v>1010568</v>
      </c>
      <c r="J912" s="2">
        <v>1000</v>
      </c>
      <c r="K912" s="2">
        <v>100</v>
      </c>
      <c r="L912" s="2">
        <v>0</v>
      </c>
      <c r="M912" s="2">
        <v>214228.37</v>
      </c>
      <c r="N912">
        <f t="shared" si="17"/>
        <v>1225150.5700000003</v>
      </c>
      <c r="O912" s="2" t="s">
        <v>5</v>
      </c>
    </row>
    <row r="913" spans="1:15" x14ac:dyDescent="0.2">
      <c r="A913">
        <v>42</v>
      </c>
      <c r="B913">
        <v>5</v>
      </c>
      <c r="C913">
        <v>4</v>
      </c>
      <c r="D913" s="2">
        <v>2</v>
      </c>
      <c r="E913" s="2">
        <v>1</v>
      </c>
      <c r="F913" s="2" t="s">
        <v>5</v>
      </c>
      <c r="G913" s="2">
        <v>129.800000000202</v>
      </c>
      <c r="H913" s="2" t="s">
        <v>8</v>
      </c>
      <c r="I913" s="2">
        <v>33082.000000000298</v>
      </c>
      <c r="J913" s="2">
        <v>1000</v>
      </c>
      <c r="K913" s="2">
        <v>100</v>
      </c>
      <c r="L913" s="2">
        <v>0</v>
      </c>
      <c r="M913" s="2">
        <v>192288.37</v>
      </c>
      <c r="N913">
        <f t="shared" si="17"/>
        <v>225500.17000000051</v>
      </c>
      <c r="O913" s="2" t="s">
        <v>5</v>
      </c>
    </row>
    <row r="914" spans="1:15" x14ac:dyDescent="0.2">
      <c r="A914">
        <v>43</v>
      </c>
      <c r="B914">
        <v>5</v>
      </c>
      <c r="C914">
        <v>5</v>
      </c>
      <c r="D914" s="2">
        <v>2</v>
      </c>
      <c r="E914" s="2">
        <v>1</v>
      </c>
      <c r="F914" s="2" t="s">
        <v>5</v>
      </c>
      <c r="G914" s="2">
        <v>157.00000000009601</v>
      </c>
      <c r="H914" s="2" t="s">
        <v>8</v>
      </c>
      <c r="I914" s="2">
        <v>50701.000000000102</v>
      </c>
      <c r="J914" s="2">
        <v>1000</v>
      </c>
      <c r="K914" s="2">
        <v>100</v>
      </c>
      <c r="L914" s="2">
        <v>0</v>
      </c>
      <c r="M914" s="2">
        <v>185388.77</v>
      </c>
      <c r="N914">
        <f t="shared" si="17"/>
        <v>236246.77000000019</v>
      </c>
      <c r="O914" s="2" t="s">
        <v>5</v>
      </c>
    </row>
    <row r="915" spans="1:15" x14ac:dyDescent="0.2">
      <c r="A915">
        <v>44</v>
      </c>
      <c r="B915">
        <v>5</v>
      </c>
      <c r="C915">
        <v>5</v>
      </c>
      <c r="D915" s="2">
        <v>2</v>
      </c>
      <c r="E915" s="2">
        <v>2</v>
      </c>
      <c r="F915" s="2" t="s">
        <v>5</v>
      </c>
      <c r="G915" s="2">
        <v>156.599999999685</v>
      </c>
      <c r="H915" s="2" t="s">
        <v>8</v>
      </c>
      <c r="I915" s="2">
        <v>66129.000000000102</v>
      </c>
      <c r="J915" s="2">
        <v>1000</v>
      </c>
      <c r="K915" s="2">
        <v>100</v>
      </c>
      <c r="L915" s="2">
        <v>0</v>
      </c>
      <c r="M915" s="2">
        <v>186228.37</v>
      </c>
      <c r="N915">
        <f t="shared" si="17"/>
        <v>252513.9699999998</v>
      </c>
      <c r="O915" s="2" t="s">
        <v>5</v>
      </c>
    </row>
    <row r="916" spans="1:15" x14ac:dyDescent="0.2">
      <c r="A916">
        <v>45</v>
      </c>
      <c r="B916">
        <v>5</v>
      </c>
      <c r="C916">
        <v>5</v>
      </c>
      <c r="D916" s="2">
        <v>2</v>
      </c>
      <c r="E916" s="2">
        <v>3</v>
      </c>
      <c r="F916" s="2" t="s">
        <v>5</v>
      </c>
      <c r="G916" s="2">
        <v>211.00000000018301</v>
      </c>
      <c r="H916" s="2" t="s">
        <v>8</v>
      </c>
      <c r="I916" s="2">
        <v>256781.99999999901</v>
      </c>
      <c r="J916" s="2">
        <v>1000</v>
      </c>
      <c r="K916" s="2">
        <v>100</v>
      </c>
      <c r="L916" s="2">
        <v>0</v>
      </c>
      <c r="M916" s="2">
        <v>188227.57</v>
      </c>
      <c r="N916">
        <f t="shared" si="17"/>
        <v>445220.56999999919</v>
      </c>
      <c r="O916" s="2" t="s">
        <v>5</v>
      </c>
    </row>
    <row r="917" spans="1:15" x14ac:dyDescent="0.2">
      <c r="A917">
        <v>46</v>
      </c>
      <c r="B917">
        <v>5</v>
      </c>
      <c r="C917">
        <v>6</v>
      </c>
      <c r="D917" s="2">
        <v>2</v>
      </c>
      <c r="E917" s="2">
        <v>1</v>
      </c>
      <c r="F917" s="2" t="s">
        <v>5</v>
      </c>
      <c r="G917" s="2">
        <v>189.400000000006</v>
      </c>
      <c r="H917" s="2" t="s">
        <v>8</v>
      </c>
      <c r="I917" s="2">
        <v>193839</v>
      </c>
      <c r="J917" s="2">
        <v>1000</v>
      </c>
      <c r="K917" s="2">
        <v>100</v>
      </c>
      <c r="L917" s="2">
        <v>0</v>
      </c>
      <c r="M917" s="2">
        <v>190789.17</v>
      </c>
      <c r="N917">
        <f t="shared" si="17"/>
        <v>384817.57</v>
      </c>
      <c r="O917" s="2" t="s">
        <v>5</v>
      </c>
    </row>
    <row r="918" spans="1:15" x14ac:dyDescent="0.2">
      <c r="A918">
        <v>47</v>
      </c>
      <c r="B918">
        <v>5</v>
      </c>
      <c r="C918">
        <v>6</v>
      </c>
      <c r="D918" s="2">
        <v>2</v>
      </c>
      <c r="E918" s="2">
        <v>2</v>
      </c>
      <c r="F918" s="2" t="s">
        <v>5</v>
      </c>
      <c r="G918" s="2">
        <v>193.80000000026601</v>
      </c>
      <c r="H918" s="2" t="s">
        <v>8</v>
      </c>
      <c r="I918" s="2">
        <v>113693.999999999</v>
      </c>
      <c r="J918" s="2">
        <v>1000</v>
      </c>
      <c r="K918" s="2">
        <v>100</v>
      </c>
      <c r="L918" s="2">
        <v>0</v>
      </c>
      <c r="M918" s="2">
        <v>186367.57</v>
      </c>
      <c r="N918">
        <f t="shared" si="17"/>
        <v>300255.3699999993</v>
      </c>
      <c r="O918" s="2" t="s">
        <v>5</v>
      </c>
    </row>
    <row r="919" spans="1:15" x14ac:dyDescent="0.2">
      <c r="A919">
        <v>48</v>
      </c>
      <c r="B919">
        <v>5</v>
      </c>
      <c r="C919">
        <v>6</v>
      </c>
      <c r="D919" s="2">
        <v>2</v>
      </c>
      <c r="E919" s="2">
        <v>3</v>
      </c>
      <c r="F919" s="2" t="s">
        <v>5</v>
      </c>
      <c r="G919" s="2">
        <v>249.79999999992199</v>
      </c>
      <c r="H919" s="2" t="s">
        <v>8</v>
      </c>
      <c r="I919" s="2">
        <v>251965</v>
      </c>
      <c r="J919" s="2">
        <v>1000</v>
      </c>
      <c r="K919" s="2">
        <v>100</v>
      </c>
      <c r="L919" s="2">
        <v>0</v>
      </c>
      <c r="M919" s="2">
        <v>229329.17</v>
      </c>
      <c r="N919">
        <f t="shared" si="17"/>
        <v>481543.97</v>
      </c>
      <c r="O919" s="2" t="s">
        <v>4</v>
      </c>
    </row>
    <row r="920" spans="1:15" x14ac:dyDescent="0.2">
      <c r="A920">
        <v>49</v>
      </c>
      <c r="B920">
        <v>5</v>
      </c>
      <c r="C920">
        <v>6</v>
      </c>
      <c r="D920" s="2">
        <v>2</v>
      </c>
      <c r="E920" s="2">
        <v>1</v>
      </c>
      <c r="F920" s="2" t="s">
        <v>5</v>
      </c>
      <c r="G920" s="2">
        <v>183.19999999931699</v>
      </c>
      <c r="H920" s="2" t="s">
        <v>8</v>
      </c>
      <c r="I920" s="2">
        <v>102215.999999999</v>
      </c>
      <c r="J920" s="2">
        <v>1000</v>
      </c>
      <c r="K920" s="2">
        <v>100</v>
      </c>
      <c r="L920" s="2">
        <v>0</v>
      </c>
      <c r="M920" s="2">
        <v>200108.37</v>
      </c>
      <c r="N920">
        <f t="shared" si="17"/>
        <v>302507.56999999832</v>
      </c>
      <c r="O920" s="2" t="s">
        <v>5</v>
      </c>
    </row>
    <row r="921" spans="1:15" x14ac:dyDescent="0.2">
      <c r="A921">
        <v>50</v>
      </c>
      <c r="B921">
        <v>5</v>
      </c>
      <c r="C921">
        <v>6</v>
      </c>
      <c r="D921" s="2">
        <v>2</v>
      </c>
      <c r="E921" s="2">
        <v>2</v>
      </c>
      <c r="F921" s="2" t="s">
        <v>5</v>
      </c>
      <c r="G921" s="2">
        <v>190.800000000024</v>
      </c>
      <c r="H921" s="2" t="s">
        <v>8</v>
      </c>
      <c r="I921" s="2">
        <v>146021.99999999901</v>
      </c>
      <c r="J921" s="2">
        <v>1000</v>
      </c>
      <c r="K921" s="2">
        <v>100</v>
      </c>
      <c r="L921" s="2">
        <v>0</v>
      </c>
      <c r="M921" s="2">
        <v>183108.37</v>
      </c>
      <c r="N921">
        <f t="shared" si="17"/>
        <v>329321.16999999899</v>
      </c>
      <c r="O921" s="2" t="s">
        <v>5</v>
      </c>
    </row>
    <row r="922" spans="1:15" x14ac:dyDescent="0.2">
      <c r="A922">
        <v>51</v>
      </c>
      <c r="B922">
        <v>5</v>
      </c>
      <c r="C922">
        <v>6</v>
      </c>
      <c r="D922" s="2">
        <v>2</v>
      </c>
      <c r="E922" s="2">
        <v>3</v>
      </c>
      <c r="F922" s="2" t="s">
        <v>5</v>
      </c>
      <c r="G922" s="2">
        <v>252.19999999990301</v>
      </c>
      <c r="H922" s="2" t="s">
        <v>8</v>
      </c>
      <c r="I922" s="2">
        <v>203922</v>
      </c>
      <c r="J922" s="2">
        <v>1000</v>
      </c>
      <c r="K922" s="2">
        <v>100</v>
      </c>
      <c r="L922" s="2">
        <v>0</v>
      </c>
      <c r="M922" s="2">
        <v>198327.17</v>
      </c>
      <c r="N922">
        <f t="shared" si="17"/>
        <v>402501.36999999988</v>
      </c>
      <c r="O922" s="2" t="s">
        <v>4</v>
      </c>
    </row>
    <row r="923" spans="1:15" x14ac:dyDescent="0.2">
      <c r="A923">
        <v>52</v>
      </c>
      <c r="B923">
        <v>5</v>
      </c>
      <c r="C923">
        <v>7</v>
      </c>
      <c r="D923" s="2">
        <v>2</v>
      </c>
      <c r="E923" s="2">
        <v>1</v>
      </c>
      <c r="F923" s="2" t="s">
        <v>5</v>
      </c>
      <c r="G923" s="2">
        <v>219.40000000029201</v>
      </c>
      <c r="H923" s="2" t="s">
        <v>8</v>
      </c>
      <c r="I923" s="2">
        <v>251747</v>
      </c>
      <c r="J923" s="2">
        <v>1000</v>
      </c>
      <c r="K923" s="2">
        <v>100</v>
      </c>
      <c r="L923" s="2">
        <v>0</v>
      </c>
      <c r="M923" s="2">
        <v>183867.57</v>
      </c>
      <c r="N923">
        <f t="shared" si="17"/>
        <v>435833.97000000032</v>
      </c>
      <c r="O923" s="2" t="s">
        <v>5</v>
      </c>
    </row>
    <row r="924" spans="1:15" x14ac:dyDescent="0.2">
      <c r="A924">
        <v>53</v>
      </c>
      <c r="B924">
        <v>5</v>
      </c>
      <c r="C924">
        <v>7</v>
      </c>
      <c r="D924" s="2">
        <v>2</v>
      </c>
      <c r="E924" s="2">
        <v>2</v>
      </c>
      <c r="F924" s="2" t="s">
        <v>5</v>
      </c>
      <c r="G924" s="2">
        <v>218.80000000038501</v>
      </c>
      <c r="H924" s="2" t="s">
        <v>8</v>
      </c>
      <c r="I924" s="2">
        <v>209296.99999999901</v>
      </c>
      <c r="J924" s="2">
        <v>1000</v>
      </c>
      <c r="K924" s="2">
        <v>100</v>
      </c>
      <c r="L924" s="2">
        <v>0</v>
      </c>
      <c r="M924" s="2">
        <v>201787.97</v>
      </c>
      <c r="N924">
        <f t="shared" si="17"/>
        <v>411303.76999999944</v>
      </c>
      <c r="O924" s="2" t="s">
        <v>5</v>
      </c>
    </row>
    <row r="925" spans="1:15" x14ac:dyDescent="0.2">
      <c r="A925">
        <v>54</v>
      </c>
      <c r="B925">
        <v>5</v>
      </c>
      <c r="C925">
        <v>7</v>
      </c>
      <c r="D925" s="2">
        <v>2</v>
      </c>
      <c r="E925" s="2">
        <v>3</v>
      </c>
      <c r="F925" s="2" t="s">
        <v>5</v>
      </c>
      <c r="G925" s="2">
        <v>306.40000000019501</v>
      </c>
      <c r="H925" s="2" t="s">
        <v>8</v>
      </c>
      <c r="I925" s="2">
        <v>515255</v>
      </c>
      <c r="J925" s="2">
        <v>1000</v>
      </c>
      <c r="K925" s="2">
        <v>100</v>
      </c>
      <c r="L925" s="2">
        <v>0</v>
      </c>
      <c r="M925" s="2">
        <v>205086.77</v>
      </c>
      <c r="N925">
        <f t="shared" si="17"/>
        <v>720648.17000000016</v>
      </c>
      <c r="O925" s="2" t="s">
        <v>4</v>
      </c>
    </row>
    <row r="926" spans="1:15" x14ac:dyDescent="0.2">
      <c r="A926">
        <v>55</v>
      </c>
      <c r="B926">
        <v>5</v>
      </c>
      <c r="C926">
        <v>5</v>
      </c>
      <c r="D926" s="2">
        <v>2</v>
      </c>
      <c r="E926" s="2">
        <v>1</v>
      </c>
      <c r="F926" s="2" t="s">
        <v>5</v>
      </c>
      <c r="G926" s="2">
        <v>140.60000000064599</v>
      </c>
      <c r="H926" s="2" t="s">
        <v>8</v>
      </c>
      <c r="I926" s="2">
        <v>51733.999999999702</v>
      </c>
      <c r="J926" s="2">
        <v>1000</v>
      </c>
      <c r="K926" s="2">
        <v>100</v>
      </c>
      <c r="L926" s="2">
        <v>0</v>
      </c>
      <c r="M926" s="2">
        <v>191668.37</v>
      </c>
      <c r="N926">
        <f t="shared" si="17"/>
        <v>243542.97000000035</v>
      </c>
      <c r="O926" s="2" t="s">
        <v>5</v>
      </c>
    </row>
    <row r="927" spans="1:15" x14ac:dyDescent="0.2">
      <c r="A927">
        <v>56</v>
      </c>
      <c r="B927">
        <v>5</v>
      </c>
      <c r="C927">
        <v>5</v>
      </c>
      <c r="D927" s="2">
        <v>2</v>
      </c>
      <c r="E927" s="2">
        <v>2</v>
      </c>
      <c r="F927" s="2" t="s">
        <v>5</v>
      </c>
      <c r="G927" s="2">
        <v>137.60000000004899</v>
      </c>
      <c r="H927" s="2" t="s">
        <v>8</v>
      </c>
      <c r="I927" s="2">
        <v>57291.000000001099</v>
      </c>
      <c r="J927" s="2">
        <v>1000</v>
      </c>
      <c r="K927" s="2">
        <v>100</v>
      </c>
      <c r="L927" s="2">
        <v>0</v>
      </c>
      <c r="M927" s="2">
        <v>178147.97</v>
      </c>
      <c r="N927">
        <f t="shared" si="17"/>
        <v>235576.57000000114</v>
      </c>
      <c r="O927" s="2" t="s">
        <v>5</v>
      </c>
    </row>
    <row r="928" spans="1:15" x14ac:dyDescent="0.2">
      <c r="A928">
        <v>57</v>
      </c>
      <c r="B928">
        <v>5</v>
      </c>
      <c r="C928">
        <v>5</v>
      </c>
      <c r="D928" s="2">
        <v>2</v>
      </c>
      <c r="E928" s="2">
        <v>3</v>
      </c>
      <c r="F928" s="2" t="s">
        <v>5</v>
      </c>
      <c r="G928" s="2">
        <v>183.39999999987799</v>
      </c>
      <c r="H928" s="2" t="s">
        <v>8</v>
      </c>
      <c r="I928" s="2">
        <v>96692.000000000902</v>
      </c>
      <c r="J928" s="2">
        <v>1000</v>
      </c>
      <c r="K928" s="2">
        <v>100</v>
      </c>
      <c r="L928" s="2">
        <v>0</v>
      </c>
      <c r="M928" s="2">
        <v>223087.97</v>
      </c>
      <c r="N928">
        <f t="shared" si="17"/>
        <v>319963.37000000081</v>
      </c>
      <c r="O928" s="2" t="s">
        <v>5</v>
      </c>
    </row>
    <row r="929" spans="1:15" x14ac:dyDescent="0.2">
      <c r="A929">
        <v>58</v>
      </c>
      <c r="B929">
        <v>5</v>
      </c>
      <c r="C929">
        <v>6</v>
      </c>
      <c r="D929" s="2">
        <v>2</v>
      </c>
      <c r="E929" s="2">
        <v>1</v>
      </c>
      <c r="F929" s="2" t="s">
        <v>5</v>
      </c>
      <c r="G929" s="2">
        <v>215.599999999228</v>
      </c>
      <c r="H929" s="2" t="s">
        <v>8</v>
      </c>
      <c r="I929" s="2">
        <v>86040.000000000597</v>
      </c>
      <c r="J929" s="2">
        <v>1000</v>
      </c>
      <c r="K929" s="2">
        <v>100</v>
      </c>
      <c r="L929" s="2">
        <v>0</v>
      </c>
      <c r="M929" s="2">
        <v>195087.97</v>
      </c>
      <c r="N929">
        <f t="shared" si="17"/>
        <v>281343.56999999983</v>
      </c>
      <c r="O929" s="2" t="s">
        <v>5</v>
      </c>
    </row>
    <row r="930" spans="1:15" x14ac:dyDescent="0.2">
      <c r="A930">
        <v>59</v>
      </c>
      <c r="B930">
        <v>5</v>
      </c>
      <c r="C930">
        <v>6</v>
      </c>
      <c r="D930" s="2">
        <v>2</v>
      </c>
      <c r="E930" s="2">
        <v>2</v>
      </c>
      <c r="F930" s="2" t="s">
        <v>5</v>
      </c>
      <c r="G930" s="2">
        <v>212.39999999984599</v>
      </c>
      <c r="H930" s="2" t="s">
        <v>8</v>
      </c>
      <c r="I930" s="2">
        <v>68540.000000000495</v>
      </c>
      <c r="J930" s="2">
        <v>1000</v>
      </c>
      <c r="K930" s="2">
        <v>100</v>
      </c>
      <c r="L930" s="2">
        <v>0</v>
      </c>
      <c r="M930" s="2">
        <v>175967.97</v>
      </c>
      <c r="N930">
        <f t="shared" si="17"/>
        <v>244720.37000000034</v>
      </c>
      <c r="O930" s="2" t="s">
        <v>5</v>
      </c>
    </row>
    <row r="931" spans="1:15" x14ac:dyDescent="0.2">
      <c r="A931">
        <v>60</v>
      </c>
      <c r="B931">
        <v>5</v>
      </c>
      <c r="C931">
        <v>6</v>
      </c>
      <c r="D931" s="2">
        <v>2</v>
      </c>
      <c r="E931" s="2">
        <v>3</v>
      </c>
      <c r="F931" s="2" t="s">
        <v>5</v>
      </c>
      <c r="G931" s="2">
        <v>288.40000000016602</v>
      </c>
      <c r="H931" s="2" t="s">
        <v>8</v>
      </c>
      <c r="I931" s="2">
        <v>278874.99999999901</v>
      </c>
      <c r="J931" s="2">
        <v>1000</v>
      </c>
      <c r="K931" s="2">
        <v>100</v>
      </c>
      <c r="L931" s="2">
        <v>0</v>
      </c>
      <c r="M931" s="2">
        <v>188089.57</v>
      </c>
      <c r="N931">
        <f t="shared" si="17"/>
        <v>467252.96999999916</v>
      </c>
      <c r="O931" s="2" t="s">
        <v>4</v>
      </c>
    </row>
    <row r="932" spans="1:15" x14ac:dyDescent="0.2">
      <c r="A932">
        <v>61</v>
      </c>
      <c r="B932">
        <v>5</v>
      </c>
      <c r="C932">
        <v>7</v>
      </c>
      <c r="D932" s="2">
        <v>2</v>
      </c>
      <c r="E932" s="2">
        <v>1</v>
      </c>
      <c r="F932" s="2" t="s">
        <v>5</v>
      </c>
      <c r="G932" s="2">
        <v>230.60000000043601</v>
      </c>
      <c r="H932" s="2" t="s">
        <v>8</v>
      </c>
      <c r="I932" s="2">
        <v>161028</v>
      </c>
      <c r="J932" s="2">
        <v>1000</v>
      </c>
      <c r="K932" s="2">
        <v>100</v>
      </c>
      <c r="L932" s="2">
        <v>0</v>
      </c>
      <c r="M932" s="2">
        <v>226827.97</v>
      </c>
      <c r="N932">
        <f t="shared" si="17"/>
        <v>388086.57000000041</v>
      </c>
      <c r="O932" s="2" t="s">
        <v>5</v>
      </c>
    </row>
    <row r="933" spans="1:15" x14ac:dyDescent="0.2">
      <c r="A933">
        <v>62</v>
      </c>
      <c r="B933">
        <v>5</v>
      </c>
      <c r="C933">
        <v>7</v>
      </c>
      <c r="D933" s="2">
        <v>2</v>
      </c>
      <c r="E933" s="2">
        <v>2</v>
      </c>
      <c r="F933" s="2" t="s">
        <v>5</v>
      </c>
      <c r="G933" s="2">
        <v>233.80000000017299</v>
      </c>
      <c r="H933" s="2" t="s">
        <v>8</v>
      </c>
      <c r="I933" s="2">
        <v>123650</v>
      </c>
      <c r="J933" s="2">
        <v>1000</v>
      </c>
      <c r="K933" s="2">
        <v>100</v>
      </c>
      <c r="L933" s="2">
        <v>0</v>
      </c>
      <c r="M933" s="2">
        <v>201328.77</v>
      </c>
      <c r="N933">
        <f t="shared" si="17"/>
        <v>325212.57000000018</v>
      </c>
      <c r="O933" s="2" t="s">
        <v>5</v>
      </c>
    </row>
    <row r="934" spans="1:15" x14ac:dyDescent="0.2">
      <c r="A934">
        <v>63</v>
      </c>
      <c r="B934">
        <v>5</v>
      </c>
      <c r="C934">
        <v>7</v>
      </c>
      <c r="D934" s="2">
        <v>2</v>
      </c>
      <c r="E934" s="2">
        <v>3</v>
      </c>
      <c r="F934" s="2" t="s">
        <v>5</v>
      </c>
      <c r="G934" s="2">
        <v>359.799999999666</v>
      </c>
      <c r="H934" s="2" t="s">
        <v>8</v>
      </c>
      <c r="I934" s="2">
        <v>395599.00000000099</v>
      </c>
      <c r="J934" s="2">
        <v>1000</v>
      </c>
      <c r="K934" s="2">
        <v>100</v>
      </c>
      <c r="L934" s="2">
        <v>0</v>
      </c>
      <c r="M934" s="2">
        <v>196649.57</v>
      </c>
      <c r="N934">
        <f t="shared" si="17"/>
        <v>592608.37000000058</v>
      </c>
      <c r="O934" s="2" t="s">
        <v>5</v>
      </c>
    </row>
    <row r="935" spans="1:15" x14ac:dyDescent="0.2">
      <c r="A935">
        <v>64</v>
      </c>
      <c r="B935">
        <v>5</v>
      </c>
      <c r="C935">
        <v>8</v>
      </c>
      <c r="D935" s="2">
        <v>2</v>
      </c>
      <c r="E935" s="2">
        <v>1</v>
      </c>
      <c r="F935" s="2" t="s">
        <v>5</v>
      </c>
      <c r="G935" s="2">
        <v>274.00000000028501</v>
      </c>
      <c r="H935" s="2" t="s">
        <v>8</v>
      </c>
      <c r="I935" s="2">
        <v>279384</v>
      </c>
      <c r="J935" s="2">
        <v>1000</v>
      </c>
      <c r="K935" s="2">
        <v>100</v>
      </c>
      <c r="L935" s="2">
        <v>0</v>
      </c>
      <c r="M935" s="2">
        <v>186728.77</v>
      </c>
      <c r="N935">
        <f t="shared" si="17"/>
        <v>466386.77000000025</v>
      </c>
      <c r="O935" s="2" t="s">
        <v>5</v>
      </c>
    </row>
    <row r="936" spans="1:15" x14ac:dyDescent="0.2">
      <c r="A936">
        <v>65</v>
      </c>
      <c r="B936">
        <v>5</v>
      </c>
      <c r="C936">
        <v>8</v>
      </c>
      <c r="D936" s="2">
        <v>2</v>
      </c>
      <c r="E936" s="2">
        <v>2</v>
      </c>
      <c r="F936" s="2" t="s">
        <v>5</v>
      </c>
      <c r="G936" s="2">
        <v>271.20000000024902</v>
      </c>
      <c r="H936" s="2" t="s">
        <v>8</v>
      </c>
      <c r="I936" s="2">
        <v>345789</v>
      </c>
      <c r="J936" s="2">
        <v>1000</v>
      </c>
      <c r="K936" s="2">
        <v>100</v>
      </c>
      <c r="L936" s="2">
        <v>0</v>
      </c>
      <c r="M936" s="2">
        <v>203068.77</v>
      </c>
      <c r="N936">
        <f t="shared" si="17"/>
        <v>549128.9700000002</v>
      </c>
      <c r="O936" s="2" t="s">
        <v>5</v>
      </c>
    </row>
    <row r="937" spans="1:15" x14ac:dyDescent="0.2">
      <c r="A937">
        <v>66</v>
      </c>
      <c r="B937">
        <v>5</v>
      </c>
      <c r="C937">
        <v>8</v>
      </c>
      <c r="D937" s="2">
        <v>2</v>
      </c>
      <c r="E937" s="2">
        <v>3</v>
      </c>
      <c r="F937" s="2" t="s">
        <v>5</v>
      </c>
      <c r="G937" s="2">
        <v>390.99999999976399</v>
      </c>
      <c r="H937" s="2" t="s">
        <v>8</v>
      </c>
      <c r="I937" s="2">
        <v>1149315</v>
      </c>
      <c r="J937" s="2">
        <v>1000</v>
      </c>
      <c r="K937" s="2">
        <v>100</v>
      </c>
      <c r="L937" s="2">
        <v>0</v>
      </c>
      <c r="M937" s="2">
        <v>204708.37</v>
      </c>
      <c r="N937">
        <f t="shared" si="17"/>
        <v>1354414.3699999996</v>
      </c>
      <c r="O937" s="2" t="s">
        <v>4</v>
      </c>
    </row>
    <row r="938" spans="1:15" x14ac:dyDescent="0.2">
      <c r="A938">
        <v>67</v>
      </c>
      <c r="B938">
        <v>5</v>
      </c>
      <c r="C938">
        <v>7</v>
      </c>
      <c r="D938" s="2">
        <v>2</v>
      </c>
      <c r="E938" s="2">
        <v>1</v>
      </c>
      <c r="F938" s="2" t="s">
        <v>5</v>
      </c>
      <c r="G938" s="2">
        <v>210.20000000007099</v>
      </c>
      <c r="H938" s="2" t="s">
        <v>8</v>
      </c>
      <c r="I938" s="2">
        <v>176762</v>
      </c>
      <c r="J938" s="2">
        <v>1000</v>
      </c>
      <c r="K938" s="2">
        <v>100</v>
      </c>
      <c r="L938" s="2">
        <v>0</v>
      </c>
      <c r="M938" s="2">
        <v>197727.97</v>
      </c>
      <c r="N938">
        <f t="shared" si="17"/>
        <v>374700.17000000004</v>
      </c>
      <c r="O938" s="2" t="s">
        <v>5</v>
      </c>
    </row>
    <row r="939" spans="1:15" x14ac:dyDescent="0.2">
      <c r="A939">
        <v>68</v>
      </c>
      <c r="B939">
        <v>5</v>
      </c>
      <c r="C939">
        <v>7</v>
      </c>
      <c r="D939" s="2">
        <v>2</v>
      </c>
      <c r="E939" s="2">
        <v>2</v>
      </c>
      <c r="F939" s="2" t="s">
        <v>5</v>
      </c>
      <c r="G939" s="2">
        <v>210.00000000022101</v>
      </c>
      <c r="H939" s="2" t="s">
        <v>8</v>
      </c>
      <c r="I939" s="2">
        <v>175160</v>
      </c>
      <c r="J939" s="2">
        <v>1000</v>
      </c>
      <c r="K939" s="2">
        <v>100</v>
      </c>
      <c r="L939" s="2">
        <v>0</v>
      </c>
      <c r="M939" s="2">
        <v>181807.17</v>
      </c>
      <c r="N939">
        <f t="shared" si="17"/>
        <v>357177.17000000027</v>
      </c>
      <c r="O939" s="2" t="s">
        <v>5</v>
      </c>
    </row>
    <row r="940" spans="1:15" x14ac:dyDescent="0.2">
      <c r="A940">
        <v>69</v>
      </c>
      <c r="B940">
        <v>5</v>
      </c>
      <c r="C940">
        <v>7</v>
      </c>
      <c r="D940" s="2">
        <v>2</v>
      </c>
      <c r="E940" s="2">
        <v>3</v>
      </c>
      <c r="F940" s="2" t="s">
        <v>5</v>
      </c>
      <c r="G940" s="2">
        <v>292.59999999986502</v>
      </c>
      <c r="H940" s="2" t="s">
        <v>8</v>
      </c>
      <c r="I940" s="2">
        <v>386187</v>
      </c>
      <c r="J940" s="2">
        <v>1000</v>
      </c>
      <c r="K940" s="2">
        <v>100</v>
      </c>
      <c r="L940" s="2">
        <v>0</v>
      </c>
      <c r="M940" s="2">
        <v>177427.17</v>
      </c>
      <c r="N940">
        <f t="shared" si="17"/>
        <v>563906.7699999999</v>
      </c>
      <c r="O940" s="2" t="s">
        <v>4</v>
      </c>
    </row>
    <row r="941" spans="1:15" x14ac:dyDescent="0.2">
      <c r="A941">
        <v>28</v>
      </c>
      <c r="B941">
        <v>5</v>
      </c>
      <c r="C941">
        <v>4</v>
      </c>
      <c r="D941" s="2">
        <v>2</v>
      </c>
      <c r="E941" s="2">
        <v>1</v>
      </c>
      <c r="F941" s="2" t="s">
        <v>5</v>
      </c>
      <c r="G941" s="2">
        <v>541.19999999961999</v>
      </c>
      <c r="H941" s="2" t="s">
        <v>8</v>
      </c>
      <c r="I941" s="2">
        <v>37176.000000000502</v>
      </c>
      <c r="J941" s="2">
        <v>2000</v>
      </c>
      <c r="K941" s="2">
        <v>100</v>
      </c>
      <c r="L941" s="2">
        <v>0</v>
      </c>
      <c r="M941" s="2">
        <v>350844.77</v>
      </c>
      <c r="N941">
        <f t="shared" si="16"/>
        <v>388561.97000000015</v>
      </c>
      <c r="O941" s="9" t="s">
        <v>5</v>
      </c>
    </row>
    <row r="942" spans="1:15" x14ac:dyDescent="0.2">
      <c r="A942">
        <v>29</v>
      </c>
      <c r="B942">
        <v>5</v>
      </c>
      <c r="C942">
        <v>5</v>
      </c>
      <c r="D942" s="2">
        <v>2</v>
      </c>
      <c r="E942" s="2">
        <v>2</v>
      </c>
      <c r="F942" s="2" t="s">
        <v>5</v>
      </c>
      <c r="G942" s="2">
        <v>547.39999999959798</v>
      </c>
      <c r="H942" s="2" t="s">
        <v>8</v>
      </c>
      <c r="I942" s="2">
        <v>71896.000000000597</v>
      </c>
      <c r="J942" s="2">
        <v>2000</v>
      </c>
      <c r="K942" s="2">
        <v>100</v>
      </c>
      <c r="L942" s="2">
        <v>0</v>
      </c>
      <c r="M942" s="2">
        <v>377324.77</v>
      </c>
      <c r="N942">
        <f t="shared" si="16"/>
        <v>449768.17000000022</v>
      </c>
      <c r="O942" s="9" t="s">
        <v>5</v>
      </c>
    </row>
    <row r="943" spans="1:15" x14ac:dyDescent="0.2">
      <c r="A943">
        <v>30</v>
      </c>
      <c r="B943">
        <v>5</v>
      </c>
      <c r="C943">
        <v>5</v>
      </c>
      <c r="D943" s="2">
        <v>2</v>
      </c>
      <c r="E943" s="2">
        <v>3</v>
      </c>
      <c r="F943" s="2" t="s">
        <v>5</v>
      </c>
      <c r="G943" s="2">
        <v>598.60000000000502</v>
      </c>
      <c r="H943" s="2" t="s">
        <v>8</v>
      </c>
      <c r="I943" s="2">
        <v>251473</v>
      </c>
      <c r="J943" s="2">
        <v>2000</v>
      </c>
      <c r="K943" s="2">
        <v>100</v>
      </c>
      <c r="L943" s="2">
        <v>0</v>
      </c>
      <c r="M943" s="2">
        <v>381965.57</v>
      </c>
      <c r="N943">
        <f t="shared" si="16"/>
        <v>634037.17000000004</v>
      </c>
      <c r="O943" s="9" t="s">
        <v>4</v>
      </c>
    </row>
    <row r="944" spans="1:15" x14ac:dyDescent="0.2">
      <c r="A944">
        <v>31</v>
      </c>
      <c r="B944">
        <v>5</v>
      </c>
      <c r="C944">
        <v>5</v>
      </c>
      <c r="D944" s="2">
        <v>2</v>
      </c>
      <c r="E944" s="2">
        <v>1</v>
      </c>
      <c r="F944" s="2" t="s">
        <v>5</v>
      </c>
      <c r="G944" s="2">
        <v>351.19999999970702</v>
      </c>
      <c r="H944" s="2" t="s">
        <v>8</v>
      </c>
      <c r="I944" s="2">
        <v>68826.999999999796</v>
      </c>
      <c r="J944" s="2">
        <v>2000</v>
      </c>
      <c r="K944" s="2">
        <v>100</v>
      </c>
      <c r="L944" s="2">
        <v>0</v>
      </c>
      <c r="M944" s="2">
        <v>335604.77</v>
      </c>
      <c r="N944">
        <f t="shared" si="16"/>
        <v>404782.96999999951</v>
      </c>
      <c r="O944" s="9" t="s">
        <v>5</v>
      </c>
    </row>
    <row r="945" spans="1:15" x14ac:dyDescent="0.2">
      <c r="A945">
        <v>32</v>
      </c>
      <c r="B945">
        <v>5</v>
      </c>
      <c r="C945">
        <v>5</v>
      </c>
      <c r="D945" s="2">
        <v>2</v>
      </c>
      <c r="E945" s="2">
        <v>2</v>
      </c>
      <c r="F945" s="2" t="s">
        <v>5</v>
      </c>
      <c r="G945" s="2">
        <v>356.00000000002302</v>
      </c>
      <c r="H945" s="2" t="s">
        <v>8</v>
      </c>
      <c r="I945" s="2">
        <v>64877.000000000102</v>
      </c>
      <c r="J945" s="2">
        <v>2000</v>
      </c>
      <c r="K945" s="2">
        <v>100</v>
      </c>
      <c r="L945" s="2">
        <v>0</v>
      </c>
      <c r="M945" s="2">
        <v>349485.17</v>
      </c>
      <c r="N945">
        <f t="shared" si="16"/>
        <v>414718.1700000001</v>
      </c>
      <c r="O945" s="9" t="s">
        <v>5</v>
      </c>
    </row>
    <row r="946" spans="1:15" x14ac:dyDescent="0.2">
      <c r="A946">
        <v>33</v>
      </c>
      <c r="B946">
        <v>5</v>
      </c>
      <c r="C946">
        <v>5</v>
      </c>
      <c r="D946" s="2">
        <v>2</v>
      </c>
      <c r="E946" s="2">
        <v>3</v>
      </c>
      <c r="F946" s="2" t="s">
        <v>5</v>
      </c>
      <c r="G946" s="2">
        <v>485.39999999981399</v>
      </c>
      <c r="H946" s="2" t="s">
        <v>8</v>
      </c>
      <c r="I946" s="2">
        <v>255639</v>
      </c>
      <c r="J946" s="2">
        <v>2000</v>
      </c>
      <c r="K946" s="2">
        <v>100</v>
      </c>
      <c r="L946" s="2">
        <v>0</v>
      </c>
      <c r="M946" s="2">
        <v>425804.77</v>
      </c>
      <c r="N946">
        <f t="shared" si="16"/>
        <v>681929.16999999981</v>
      </c>
      <c r="O946" s="9" t="s">
        <v>5</v>
      </c>
    </row>
    <row r="947" spans="1:15" x14ac:dyDescent="0.2">
      <c r="A947">
        <v>34</v>
      </c>
      <c r="B947">
        <v>5</v>
      </c>
      <c r="C947">
        <v>5</v>
      </c>
      <c r="D947" s="2">
        <v>2</v>
      </c>
      <c r="E947" s="2">
        <v>1</v>
      </c>
      <c r="F947" s="2" t="s">
        <v>5</v>
      </c>
      <c r="G947" s="2">
        <v>307.60000000000798</v>
      </c>
      <c r="H947" s="2" t="s">
        <v>8</v>
      </c>
      <c r="I947" s="2">
        <v>49771.999999999898</v>
      </c>
      <c r="J947" s="2">
        <v>2000</v>
      </c>
      <c r="K947" s="2">
        <v>100</v>
      </c>
      <c r="L947" s="2">
        <v>0</v>
      </c>
      <c r="M947" s="2">
        <v>429524.77</v>
      </c>
      <c r="N947">
        <f t="shared" si="16"/>
        <v>479604.36999999994</v>
      </c>
      <c r="O947" s="9" t="s">
        <v>5</v>
      </c>
    </row>
    <row r="948" spans="1:15" x14ac:dyDescent="0.2">
      <c r="A948">
        <v>35</v>
      </c>
      <c r="B948">
        <v>5</v>
      </c>
      <c r="C948">
        <v>6</v>
      </c>
      <c r="D948" s="2">
        <v>2</v>
      </c>
      <c r="E948" s="2">
        <v>1</v>
      </c>
      <c r="F948" s="2" t="s">
        <v>5</v>
      </c>
      <c r="G948" s="2">
        <v>378.80000000036802</v>
      </c>
      <c r="H948" s="2" t="s">
        <v>8</v>
      </c>
      <c r="I948" s="2">
        <v>110241</v>
      </c>
      <c r="J948" s="2">
        <v>2000</v>
      </c>
      <c r="K948" s="2">
        <v>100</v>
      </c>
      <c r="L948" s="2">
        <v>0</v>
      </c>
      <c r="M948" s="2">
        <v>384725.17</v>
      </c>
      <c r="N948">
        <f t="shared" si="16"/>
        <v>495344.97000000032</v>
      </c>
      <c r="O948" s="9" t="s">
        <v>5</v>
      </c>
    </row>
    <row r="949" spans="1:15" x14ac:dyDescent="0.2">
      <c r="A949">
        <v>36</v>
      </c>
      <c r="B949">
        <v>5</v>
      </c>
      <c r="C949">
        <v>6</v>
      </c>
      <c r="D949" s="2">
        <v>2</v>
      </c>
      <c r="E949" s="2">
        <v>2</v>
      </c>
      <c r="F949" s="2" t="s">
        <v>5</v>
      </c>
      <c r="G949" s="2">
        <v>225.399999999709</v>
      </c>
      <c r="H949" s="2" t="s">
        <v>8</v>
      </c>
      <c r="I949" s="2">
        <v>111119</v>
      </c>
      <c r="J949" s="2">
        <v>2000</v>
      </c>
      <c r="K949" s="2">
        <v>100</v>
      </c>
      <c r="L949" s="2">
        <v>0</v>
      </c>
      <c r="M949" s="2">
        <v>384965.17</v>
      </c>
      <c r="N949">
        <f t="shared" si="16"/>
        <v>496309.56999999972</v>
      </c>
      <c r="O949" s="9" t="s">
        <v>5</v>
      </c>
    </row>
    <row r="950" spans="1:15" x14ac:dyDescent="0.2">
      <c r="A950">
        <v>37</v>
      </c>
      <c r="B950">
        <v>5</v>
      </c>
      <c r="C950">
        <v>6</v>
      </c>
      <c r="D950" s="2">
        <v>2</v>
      </c>
      <c r="E950" s="2">
        <v>3</v>
      </c>
      <c r="F950" s="2" t="s">
        <v>5</v>
      </c>
      <c r="G950" s="2">
        <v>317.40000000049002</v>
      </c>
      <c r="H950" s="2" t="s">
        <v>8</v>
      </c>
      <c r="I950" s="2">
        <v>450438.99999999901</v>
      </c>
      <c r="J950" s="2">
        <v>2000</v>
      </c>
      <c r="K950" s="2">
        <v>100</v>
      </c>
      <c r="L950" s="2">
        <v>0</v>
      </c>
      <c r="M950" s="2">
        <v>370764.37</v>
      </c>
      <c r="N950">
        <f t="shared" si="16"/>
        <v>821520.76999999955</v>
      </c>
      <c r="O950" s="9" t="s">
        <v>4</v>
      </c>
    </row>
    <row r="951" spans="1:15" x14ac:dyDescent="0.2">
      <c r="A951">
        <v>38</v>
      </c>
      <c r="B951">
        <v>5</v>
      </c>
      <c r="C951">
        <v>6</v>
      </c>
      <c r="D951" s="2">
        <v>2</v>
      </c>
      <c r="E951" s="2">
        <v>1</v>
      </c>
      <c r="F951" s="2" t="s">
        <v>5</v>
      </c>
      <c r="G951" s="2">
        <v>206.39999999971801</v>
      </c>
      <c r="H951" s="2" t="s">
        <v>8</v>
      </c>
      <c r="I951" s="2">
        <v>136472</v>
      </c>
      <c r="J951" s="2">
        <v>2000</v>
      </c>
      <c r="K951" s="2">
        <v>100</v>
      </c>
      <c r="L951" s="2">
        <v>0</v>
      </c>
      <c r="M951" s="2">
        <v>347885.17</v>
      </c>
      <c r="N951">
        <f t="shared" si="16"/>
        <v>484563.56999999972</v>
      </c>
      <c r="O951" s="9" t="s">
        <v>5</v>
      </c>
    </row>
    <row r="952" spans="1:15" x14ac:dyDescent="0.2">
      <c r="A952">
        <v>39</v>
      </c>
      <c r="B952">
        <v>5</v>
      </c>
      <c r="C952">
        <v>7</v>
      </c>
      <c r="D952" s="2">
        <v>2</v>
      </c>
      <c r="E952" s="2">
        <v>1</v>
      </c>
      <c r="F952" s="2" t="s">
        <v>5</v>
      </c>
      <c r="G952" s="2">
        <v>257.600000000124</v>
      </c>
      <c r="H952" s="2" t="s">
        <v>8</v>
      </c>
      <c r="I952" s="2">
        <v>207379</v>
      </c>
      <c r="J952" s="2">
        <v>2000</v>
      </c>
      <c r="K952" s="2">
        <v>100</v>
      </c>
      <c r="L952" s="2">
        <v>0</v>
      </c>
      <c r="M952" s="2">
        <v>422524.37</v>
      </c>
      <c r="N952">
        <f t="shared" si="16"/>
        <v>630160.97000000009</v>
      </c>
      <c r="O952" s="9" t="s">
        <v>5</v>
      </c>
    </row>
    <row r="953" spans="1:15" x14ac:dyDescent="0.2">
      <c r="A953">
        <v>40</v>
      </c>
      <c r="B953">
        <v>5</v>
      </c>
      <c r="C953">
        <v>7</v>
      </c>
      <c r="D953" s="2">
        <v>2</v>
      </c>
      <c r="E953" s="2">
        <v>2</v>
      </c>
      <c r="F953" s="2" t="s">
        <v>5</v>
      </c>
      <c r="G953" s="2">
        <v>242.59999999962599</v>
      </c>
      <c r="H953" s="2" t="s">
        <v>8</v>
      </c>
      <c r="I953" s="2">
        <v>197622</v>
      </c>
      <c r="J953" s="2">
        <v>2000</v>
      </c>
      <c r="K953" s="2">
        <v>100</v>
      </c>
      <c r="L953" s="2">
        <v>0</v>
      </c>
      <c r="M953" s="2">
        <v>354525.17</v>
      </c>
      <c r="N953">
        <f t="shared" si="16"/>
        <v>552389.76999999955</v>
      </c>
      <c r="O953" s="9" t="s">
        <v>5</v>
      </c>
    </row>
    <row r="954" spans="1:15" x14ac:dyDescent="0.2">
      <c r="A954">
        <v>41</v>
      </c>
      <c r="B954">
        <v>5</v>
      </c>
      <c r="C954">
        <v>7</v>
      </c>
      <c r="D954" s="2">
        <v>2</v>
      </c>
      <c r="E954" s="2">
        <v>3</v>
      </c>
      <c r="F954" s="2" t="s">
        <v>5</v>
      </c>
      <c r="G954" s="2">
        <v>354.20000000030399</v>
      </c>
      <c r="H954" s="2" t="s">
        <v>8</v>
      </c>
      <c r="I954" s="2">
        <v>1010568</v>
      </c>
      <c r="J954" s="2">
        <v>2000</v>
      </c>
      <c r="K954" s="2">
        <v>100</v>
      </c>
      <c r="L954" s="2">
        <v>0</v>
      </c>
      <c r="M954" s="2">
        <v>412525.57</v>
      </c>
      <c r="N954">
        <f t="shared" si="16"/>
        <v>1423447.7700000003</v>
      </c>
      <c r="O954" s="9" t="s">
        <v>4</v>
      </c>
    </row>
    <row r="955" spans="1:15" x14ac:dyDescent="0.2">
      <c r="A955">
        <v>42</v>
      </c>
      <c r="B955">
        <v>5</v>
      </c>
      <c r="C955">
        <v>4</v>
      </c>
      <c r="D955" s="2">
        <v>2</v>
      </c>
      <c r="E955" s="2">
        <v>1</v>
      </c>
      <c r="F955" s="2" t="s">
        <v>5</v>
      </c>
      <c r="G955" s="2">
        <v>129.800000000202</v>
      </c>
      <c r="H955" s="2" t="s">
        <v>8</v>
      </c>
      <c r="I955" s="2">
        <v>33082.000000000298</v>
      </c>
      <c r="J955" s="2">
        <v>2000</v>
      </c>
      <c r="K955" s="2">
        <v>100</v>
      </c>
      <c r="L955" s="2">
        <v>0</v>
      </c>
      <c r="M955" s="2">
        <v>368645.57</v>
      </c>
      <c r="N955">
        <f t="shared" si="16"/>
        <v>401857.37000000052</v>
      </c>
      <c r="O955" s="9" t="s">
        <v>5</v>
      </c>
    </row>
    <row r="956" spans="1:15" x14ac:dyDescent="0.2">
      <c r="A956">
        <v>43</v>
      </c>
      <c r="B956">
        <v>5</v>
      </c>
      <c r="C956">
        <v>5</v>
      </c>
      <c r="D956" s="2">
        <v>2</v>
      </c>
      <c r="E956" s="2">
        <v>1</v>
      </c>
      <c r="F956" s="2" t="s">
        <v>5</v>
      </c>
      <c r="G956" s="2">
        <v>157.00000000009601</v>
      </c>
      <c r="H956" s="2" t="s">
        <v>8</v>
      </c>
      <c r="I956" s="2">
        <v>50701.000000000102</v>
      </c>
      <c r="J956" s="2">
        <v>2000</v>
      </c>
      <c r="K956" s="2">
        <v>100</v>
      </c>
      <c r="L956" s="2">
        <v>0</v>
      </c>
      <c r="M956" s="2">
        <v>354845.57</v>
      </c>
      <c r="N956">
        <f t="shared" si="16"/>
        <v>405703.57000000018</v>
      </c>
      <c r="O956" s="9" t="s">
        <v>5</v>
      </c>
    </row>
    <row r="957" spans="1:15" x14ac:dyDescent="0.2">
      <c r="A957">
        <v>44</v>
      </c>
      <c r="B957">
        <v>5</v>
      </c>
      <c r="C957">
        <v>5</v>
      </c>
      <c r="D957" s="2">
        <v>2</v>
      </c>
      <c r="E957" s="2">
        <v>2</v>
      </c>
      <c r="F957" s="2" t="s">
        <v>5</v>
      </c>
      <c r="G957" s="2">
        <v>156.599999999685</v>
      </c>
      <c r="H957" s="2" t="s">
        <v>8</v>
      </c>
      <c r="I957" s="2">
        <v>66129.000000000102</v>
      </c>
      <c r="J957" s="2">
        <v>2000</v>
      </c>
      <c r="K957" s="2">
        <v>100</v>
      </c>
      <c r="L957" s="2">
        <v>0</v>
      </c>
      <c r="M957" s="2">
        <v>356525.17</v>
      </c>
      <c r="N957">
        <f t="shared" si="16"/>
        <v>422810.76999999979</v>
      </c>
      <c r="O957" s="9" t="s">
        <v>5</v>
      </c>
    </row>
    <row r="958" spans="1:15" x14ac:dyDescent="0.2">
      <c r="A958">
        <v>45</v>
      </c>
      <c r="B958">
        <v>5</v>
      </c>
      <c r="C958">
        <v>5</v>
      </c>
      <c r="D958" s="2">
        <v>2</v>
      </c>
      <c r="E958" s="2">
        <v>3</v>
      </c>
      <c r="F958" s="2" t="s">
        <v>5</v>
      </c>
      <c r="G958" s="2">
        <v>211.00000000018301</v>
      </c>
      <c r="H958" s="2" t="s">
        <v>8</v>
      </c>
      <c r="I958" s="2">
        <v>256781.99999999901</v>
      </c>
      <c r="J958" s="2">
        <v>2000</v>
      </c>
      <c r="K958" s="2">
        <v>100</v>
      </c>
      <c r="L958" s="2">
        <v>0</v>
      </c>
      <c r="M958" s="2">
        <v>360525.57</v>
      </c>
      <c r="N958">
        <f t="shared" si="16"/>
        <v>617518.56999999913</v>
      </c>
      <c r="O958" s="9" t="s">
        <v>4</v>
      </c>
    </row>
    <row r="959" spans="1:15" x14ac:dyDescent="0.2">
      <c r="A959">
        <v>46</v>
      </c>
      <c r="B959">
        <v>5</v>
      </c>
      <c r="C959">
        <v>6</v>
      </c>
      <c r="D959" s="2">
        <v>2</v>
      </c>
      <c r="E959" s="2">
        <v>1</v>
      </c>
      <c r="F959" s="2" t="s">
        <v>5</v>
      </c>
      <c r="G959" s="2">
        <v>189.400000000006</v>
      </c>
      <c r="H959" s="2" t="s">
        <v>8</v>
      </c>
      <c r="I959" s="2">
        <v>193839</v>
      </c>
      <c r="J959" s="2">
        <v>2000</v>
      </c>
      <c r="K959" s="2">
        <v>100</v>
      </c>
      <c r="L959" s="2">
        <v>0</v>
      </c>
      <c r="M959" s="2">
        <v>365646.37</v>
      </c>
      <c r="N959">
        <f t="shared" si="16"/>
        <v>559674.77</v>
      </c>
      <c r="O959" s="9" t="s">
        <v>5</v>
      </c>
    </row>
    <row r="960" spans="1:15" x14ac:dyDescent="0.2">
      <c r="A960">
        <v>47</v>
      </c>
      <c r="B960">
        <v>5</v>
      </c>
      <c r="C960">
        <v>6</v>
      </c>
      <c r="D960" s="2">
        <v>2</v>
      </c>
      <c r="E960" s="2">
        <v>2</v>
      </c>
      <c r="F960" s="2" t="s">
        <v>5</v>
      </c>
      <c r="G960" s="2">
        <v>193.80000000026601</v>
      </c>
      <c r="H960" s="2" t="s">
        <v>8</v>
      </c>
      <c r="I960" s="2">
        <v>113693.999999999</v>
      </c>
      <c r="J960" s="2">
        <v>2000</v>
      </c>
      <c r="K960" s="2">
        <v>100</v>
      </c>
      <c r="L960" s="2">
        <v>0</v>
      </c>
      <c r="M960" s="2">
        <v>356805.57</v>
      </c>
      <c r="N960">
        <f t="shared" si="16"/>
        <v>470693.3699999993</v>
      </c>
      <c r="O960" s="9" t="s">
        <v>5</v>
      </c>
    </row>
    <row r="961" spans="1:15" x14ac:dyDescent="0.2">
      <c r="A961">
        <v>48</v>
      </c>
      <c r="B961">
        <v>5</v>
      </c>
      <c r="C961">
        <v>6</v>
      </c>
      <c r="D961" s="2">
        <v>2</v>
      </c>
      <c r="E961" s="2">
        <v>3</v>
      </c>
      <c r="F961" s="2" t="s">
        <v>5</v>
      </c>
      <c r="G961" s="2">
        <v>249.79999999992199</v>
      </c>
      <c r="H961" s="2" t="s">
        <v>8</v>
      </c>
      <c r="I961" s="2">
        <v>251965</v>
      </c>
      <c r="J961" s="2">
        <v>2000</v>
      </c>
      <c r="K961" s="2">
        <v>100</v>
      </c>
      <c r="L961" s="2">
        <v>0</v>
      </c>
      <c r="M961" s="2">
        <v>442725.97</v>
      </c>
      <c r="N961">
        <f t="shared" si="16"/>
        <v>694940.7699999999</v>
      </c>
      <c r="O961" s="9" t="s">
        <v>5</v>
      </c>
    </row>
    <row r="962" spans="1:15" x14ac:dyDescent="0.2">
      <c r="A962">
        <v>49</v>
      </c>
      <c r="B962">
        <v>5</v>
      </c>
      <c r="C962">
        <v>6</v>
      </c>
      <c r="D962" s="2">
        <v>2</v>
      </c>
      <c r="E962" s="2">
        <v>1</v>
      </c>
      <c r="F962" s="2" t="s">
        <v>5</v>
      </c>
      <c r="G962" s="2">
        <v>183.19999999931699</v>
      </c>
      <c r="H962" s="2" t="s">
        <v>8</v>
      </c>
      <c r="I962" s="2">
        <v>102215.999999999</v>
      </c>
      <c r="J962" s="2">
        <v>2000</v>
      </c>
      <c r="K962" s="2">
        <v>100</v>
      </c>
      <c r="L962" s="2">
        <v>0</v>
      </c>
      <c r="M962" s="2">
        <v>384285.17</v>
      </c>
      <c r="N962">
        <f t="shared" si="16"/>
        <v>486684.36999999831</v>
      </c>
      <c r="O962" s="9" t="s">
        <v>5</v>
      </c>
    </row>
    <row r="963" spans="1:15" x14ac:dyDescent="0.2">
      <c r="A963">
        <v>50</v>
      </c>
      <c r="B963">
        <v>5</v>
      </c>
      <c r="C963">
        <v>6</v>
      </c>
      <c r="D963" s="2">
        <v>2</v>
      </c>
      <c r="E963" s="2">
        <v>2</v>
      </c>
      <c r="F963" s="2" t="s">
        <v>5</v>
      </c>
      <c r="G963" s="2">
        <v>190.800000000024</v>
      </c>
      <c r="H963" s="2" t="s">
        <v>8</v>
      </c>
      <c r="I963" s="2">
        <v>146021.99999999901</v>
      </c>
      <c r="J963" s="2">
        <v>2000</v>
      </c>
      <c r="K963" s="2">
        <v>100</v>
      </c>
      <c r="L963" s="2">
        <v>0</v>
      </c>
      <c r="M963" s="2">
        <v>350285.57</v>
      </c>
      <c r="N963">
        <f t="shared" si="16"/>
        <v>496498.36999999906</v>
      </c>
      <c r="O963" s="9" t="s">
        <v>5</v>
      </c>
    </row>
    <row r="964" spans="1:15" x14ac:dyDescent="0.2">
      <c r="A964">
        <v>51</v>
      </c>
      <c r="B964">
        <v>5</v>
      </c>
      <c r="C964">
        <v>6</v>
      </c>
      <c r="D964" s="2">
        <v>2</v>
      </c>
      <c r="E964" s="2">
        <v>3</v>
      </c>
      <c r="F964" s="2" t="s">
        <v>5</v>
      </c>
      <c r="G964" s="2">
        <v>252.19999999990301</v>
      </c>
      <c r="H964" s="2" t="s">
        <v>8</v>
      </c>
      <c r="I964" s="2">
        <v>203922</v>
      </c>
      <c r="J964" s="2">
        <v>2000</v>
      </c>
      <c r="K964" s="2">
        <v>100</v>
      </c>
      <c r="L964" s="2">
        <v>0</v>
      </c>
      <c r="M964" s="2">
        <v>380724.37</v>
      </c>
      <c r="N964">
        <f t="shared" si="16"/>
        <v>584898.56999999983</v>
      </c>
      <c r="O964" s="9" t="s">
        <v>4</v>
      </c>
    </row>
    <row r="965" spans="1:15" x14ac:dyDescent="0.2">
      <c r="A965">
        <v>52</v>
      </c>
      <c r="B965">
        <v>5</v>
      </c>
      <c r="C965">
        <v>7</v>
      </c>
      <c r="D965" s="2">
        <v>2</v>
      </c>
      <c r="E965" s="2">
        <v>1</v>
      </c>
      <c r="F965" s="2" t="s">
        <v>5</v>
      </c>
      <c r="G965" s="2">
        <v>219.40000000029201</v>
      </c>
      <c r="H965" s="2" t="s">
        <v>8</v>
      </c>
      <c r="I965" s="2">
        <v>251747</v>
      </c>
      <c r="J965" s="2">
        <v>2000</v>
      </c>
      <c r="K965" s="2">
        <v>100</v>
      </c>
      <c r="L965" s="2">
        <v>0</v>
      </c>
      <c r="M965" s="2">
        <v>351805.17</v>
      </c>
      <c r="N965">
        <f t="shared" ref="N965:N1070" si="18">G965+I965+M965</f>
        <v>603771.5700000003</v>
      </c>
      <c r="O965" s="9" t="s">
        <v>5</v>
      </c>
    </row>
    <row r="966" spans="1:15" x14ac:dyDescent="0.2">
      <c r="A966">
        <v>53</v>
      </c>
      <c r="B966">
        <v>5</v>
      </c>
      <c r="C966">
        <v>7</v>
      </c>
      <c r="D966" s="2">
        <v>2</v>
      </c>
      <c r="E966" s="2">
        <v>2</v>
      </c>
      <c r="F966" s="2" t="s">
        <v>5</v>
      </c>
      <c r="G966" s="2">
        <v>218.80000000038501</v>
      </c>
      <c r="H966" s="2" t="s">
        <v>8</v>
      </c>
      <c r="I966" s="2">
        <v>209296.99999999901</v>
      </c>
      <c r="J966" s="2">
        <v>2000</v>
      </c>
      <c r="K966" s="2">
        <v>100</v>
      </c>
      <c r="L966" s="2">
        <v>0</v>
      </c>
      <c r="M966" s="2">
        <v>387645.17</v>
      </c>
      <c r="N966">
        <f t="shared" si="18"/>
        <v>597160.96999999939</v>
      </c>
      <c r="O966" s="9" t="s">
        <v>5</v>
      </c>
    </row>
    <row r="967" spans="1:15" x14ac:dyDescent="0.2">
      <c r="A967">
        <v>54</v>
      </c>
      <c r="B967">
        <v>5</v>
      </c>
      <c r="C967">
        <v>7</v>
      </c>
      <c r="D967" s="2">
        <v>2</v>
      </c>
      <c r="E967" s="2">
        <v>3</v>
      </c>
      <c r="F967" s="2" t="s">
        <v>5</v>
      </c>
      <c r="G967" s="2">
        <v>306.40000000019501</v>
      </c>
      <c r="H967" s="2" t="s">
        <v>8</v>
      </c>
      <c r="I967" s="2">
        <v>515255</v>
      </c>
      <c r="J967" s="2">
        <v>2000</v>
      </c>
      <c r="K967" s="2">
        <v>100</v>
      </c>
      <c r="L967" s="2">
        <v>0</v>
      </c>
      <c r="M967" s="2">
        <v>394244.37</v>
      </c>
      <c r="N967">
        <f t="shared" si="18"/>
        <v>909805.77000000025</v>
      </c>
      <c r="O967" s="9" t="s">
        <v>4</v>
      </c>
    </row>
    <row r="968" spans="1:15" x14ac:dyDescent="0.2">
      <c r="A968">
        <v>55</v>
      </c>
      <c r="B968">
        <v>5</v>
      </c>
      <c r="C968">
        <v>5</v>
      </c>
      <c r="D968" s="2">
        <v>2</v>
      </c>
      <c r="E968" s="2">
        <v>1</v>
      </c>
      <c r="F968" s="2" t="s">
        <v>5</v>
      </c>
      <c r="G968" s="2">
        <v>140.60000000064599</v>
      </c>
      <c r="H968" s="2" t="s">
        <v>8</v>
      </c>
      <c r="I968" s="2">
        <v>51733.999999999702</v>
      </c>
      <c r="J968" s="2">
        <v>2000</v>
      </c>
      <c r="K968" s="2">
        <v>100</v>
      </c>
      <c r="L968" s="2">
        <v>0</v>
      </c>
      <c r="M968" s="2">
        <v>367405.17</v>
      </c>
      <c r="N968">
        <f t="shared" si="18"/>
        <v>419279.77000000031</v>
      </c>
      <c r="O968" s="9" t="s">
        <v>5</v>
      </c>
    </row>
    <row r="969" spans="1:15" x14ac:dyDescent="0.2">
      <c r="A969">
        <v>56</v>
      </c>
      <c r="B969">
        <v>5</v>
      </c>
      <c r="C969">
        <v>5</v>
      </c>
      <c r="D969" s="2">
        <v>2</v>
      </c>
      <c r="E969" s="2">
        <v>2</v>
      </c>
      <c r="F969" s="2" t="s">
        <v>5</v>
      </c>
      <c r="G969" s="2">
        <v>137.60000000004899</v>
      </c>
      <c r="H969" s="2" t="s">
        <v>8</v>
      </c>
      <c r="I969" s="2">
        <v>57291.000000001099</v>
      </c>
      <c r="J969" s="2">
        <v>2000</v>
      </c>
      <c r="K969" s="2">
        <v>100</v>
      </c>
      <c r="L969" s="2">
        <v>0</v>
      </c>
      <c r="M969" s="2">
        <v>340365.17</v>
      </c>
      <c r="N969">
        <f t="shared" si="18"/>
        <v>397793.77000000112</v>
      </c>
      <c r="O969" s="9" t="s">
        <v>5</v>
      </c>
    </row>
    <row r="970" spans="1:15" x14ac:dyDescent="0.2">
      <c r="A970">
        <v>57</v>
      </c>
      <c r="B970">
        <v>5</v>
      </c>
      <c r="C970">
        <v>5</v>
      </c>
      <c r="D970" s="2">
        <v>2</v>
      </c>
      <c r="E970" s="2">
        <v>3</v>
      </c>
      <c r="F970" s="2" t="s">
        <v>5</v>
      </c>
      <c r="G970" s="2">
        <v>183.39999999987799</v>
      </c>
      <c r="H970" s="2" t="s">
        <v>8</v>
      </c>
      <c r="I970" s="2">
        <v>96692.000000000902</v>
      </c>
      <c r="J970" s="2">
        <v>2000</v>
      </c>
      <c r="K970" s="2">
        <v>100</v>
      </c>
      <c r="L970" s="2">
        <v>0</v>
      </c>
      <c r="M970" s="2">
        <v>430245.57</v>
      </c>
      <c r="N970">
        <f t="shared" si="18"/>
        <v>527120.97000000079</v>
      </c>
      <c r="O970" s="9" t="s">
        <v>5</v>
      </c>
    </row>
    <row r="971" spans="1:15" x14ac:dyDescent="0.2">
      <c r="A971">
        <v>58</v>
      </c>
      <c r="B971">
        <v>5</v>
      </c>
      <c r="C971">
        <v>6</v>
      </c>
      <c r="D971" s="2">
        <v>2</v>
      </c>
      <c r="E971" s="2">
        <v>1</v>
      </c>
      <c r="F971" s="2" t="s">
        <v>5</v>
      </c>
      <c r="G971" s="2">
        <v>215.599999999228</v>
      </c>
      <c r="H971" s="2" t="s">
        <v>8</v>
      </c>
      <c r="I971" s="2">
        <v>86040.000000000597</v>
      </c>
      <c r="J971" s="2">
        <v>2000</v>
      </c>
      <c r="K971" s="2">
        <v>100</v>
      </c>
      <c r="L971" s="2">
        <v>0</v>
      </c>
      <c r="M971" s="2">
        <v>374245.17</v>
      </c>
      <c r="N971">
        <f t="shared" si="18"/>
        <v>460500.76999999979</v>
      </c>
      <c r="O971" s="9" t="s">
        <v>5</v>
      </c>
    </row>
    <row r="972" spans="1:15" x14ac:dyDescent="0.2">
      <c r="A972">
        <v>59</v>
      </c>
      <c r="B972">
        <v>5</v>
      </c>
      <c r="C972">
        <v>6</v>
      </c>
      <c r="D972" s="2">
        <v>2</v>
      </c>
      <c r="E972" s="2">
        <v>2</v>
      </c>
      <c r="F972" s="2" t="s">
        <v>5</v>
      </c>
      <c r="G972" s="2">
        <v>212.39999999984599</v>
      </c>
      <c r="H972" s="2" t="s">
        <v>8</v>
      </c>
      <c r="I972" s="2">
        <v>68540.000000000495</v>
      </c>
      <c r="J972" s="2">
        <v>2000</v>
      </c>
      <c r="K972" s="2">
        <v>100</v>
      </c>
      <c r="L972" s="2">
        <v>0</v>
      </c>
      <c r="M972" s="2">
        <v>336005.57</v>
      </c>
      <c r="N972">
        <f t="shared" si="18"/>
        <v>404757.97000000032</v>
      </c>
      <c r="O972" s="9" t="s">
        <v>5</v>
      </c>
    </row>
    <row r="973" spans="1:15" x14ac:dyDescent="0.2">
      <c r="A973">
        <v>60</v>
      </c>
      <c r="B973">
        <v>5</v>
      </c>
      <c r="C973">
        <v>6</v>
      </c>
      <c r="D973" s="2">
        <v>2</v>
      </c>
      <c r="E973" s="2">
        <v>3</v>
      </c>
      <c r="F973" s="2" t="s">
        <v>5</v>
      </c>
      <c r="G973" s="2">
        <v>288.40000000016602</v>
      </c>
      <c r="H973" s="2" t="s">
        <v>8</v>
      </c>
      <c r="I973" s="2">
        <v>278874.99999999901</v>
      </c>
      <c r="J973" s="2">
        <v>2000</v>
      </c>
      <c r="K973" s="2">
        <v>100</v>
      </c>
      <c r="L973" s="2">
        <v>0</v>
      </c>
      <c r="M973" s="2">
        <v>360245.97</v>
      </c>
      <c r="N973">
        <f t="shared" si="18"/>
        <v>639409.36999999918</v>
      </c>
      <c r="O973" s="9" t="s">
        <v>4</v>
      </c>
    </row>
    <row r="974" spans="1:15" x14ac:dyDescent="0.2">
      <c r="A974">
        <v>61</v>
      </c>
      <c r="B974">
        <v>5</v>
      </c>
      <c r="C974">
        <v>7</v>
      </c>
      <c r="D974" s="2">
        <v>2</v>
      </c>
      <c r="E974" s="2">
        <v>1</v>
      </c>
      <c r="F974" s="2" t="s">
        <v>5</v>
      </c>
      <c r="G974" s="2">
        <v>230.60000000043601</v>
      </c>
      <c r="H974" s="2" t="s">
        <v>8</v>
      </c>
      <c r="I974" s="2">
        <v>161028</v>
      </c>
      <c r="J974" s="2">
        <v>2000</v>
      </c>
      <c r="K974" s="2">
        <v>100</v>
      </c>
      <c r="L974" s="2">
        <v>0</v>
      </c>
      <c r="M974" s="2">
        <v>437725.17</v>
      </c>
      <c r="N974">
        <f t="shared" si="18"/>
        <v>598983.77000000048</v>
      </c>
      <c r="O974" s="9" t="s">
        <v>5</v>
      </c>
    </row>
    <row r="975" spans="1:15" x14ac:dyDescent="0.2">
      <c r="A975">
        <v>62</v>
      </c>
      <c r="B975">
        <v>5</v>
      </c>
      <c r="C975">
        <v>7</v>
      </c>
      <c r="D975" s="2">
        <v>2</v>
      </c>
      <c r="E975" s="2">
        <v>2</v>
      </c>
      <c r="F975" s="2" t="s">
        <v>5</v>
      </c>
      <c r="G975" s="2">
        <v>233.80000000017299</v>
      </c>
      <c r="H975" s="2" t="s">
        <v>8</v>
      </c>
      <c r="I975" s="2">
        <v>123650</v>
      </c>
      <c r="J975" s="2">
        <v>2000</v>
      </c>
      <c r="K975" s="2">
        <v>100</v>
      </c>
      <c r="L975" s="2">
        <v>0</v>
      </c>
      <c r="M975" s="2">
        <v>386725.57</v>
      </c>
      <c r="N975">
        <f t="shared" si="18"/>
        <v>510609.37000000017</v>
      </c>
      <c r="O975" s="9" t="s">
        <v>5</v>
      </c>
    </row>
    <row r="976" spans="1:15" x14ac:dyDescent="0.2">
      <c r="A976">
        <v>63</v>
      </c>
      <c r="B976">
        <v>5</v>
      </c>
      <c r="C976">
        <v>7</v>
      </c>
      <c r="D976" s="2">
        <v>2</v>
      </c>
      <c r="E976" s="2">
        <v>3</v>
      </c>
      <c r="F976" s="2" t="s">
        <v>5</v>
      </c>
      <c r="G976" s="2">
        <v>359.799999999666</v>
      </c>
      <c r="H976" s="2" t="s">
        <v>8</v>
      </c>
      <c r="I976" s="2">
        <v>395599.00000000099</v>
      </c>
      <c r="J976" s="2">
        <v>2000</v>
      </c>
      <c r="K976" s="2">
        <v>100</v>
      </c>
      <c r="L976" s="2">
        <v>0</v>
      </c>
      <c r="M976" s="2">
        <v>377365.97</v>
      </c>
      <c r="N976">
        <f t="shared" si="18"/>
        <v>773324.7700000006</v>
      </c>
      <c r="O976" s="9" t="s">
        <v>4</v>
      </c>
    </row>
    <row r="977" spans="1:15" x14ac:dyDescent="0.2">
      <c r="A977">
        <v>64</v>
      </c>
      <c r="B977">
        <v>5</v>
      </c>
      <c r="C977">
        <v>8</v>
      </c>
      <c r="D977" s="2">
        <v>2</v>
      </c>
      <c r="E977" s="2">
        <v>1</v>
      </c>
      <c r="F977" s="2" t="s">
        <v>5</v>
      </c>
      <c r="G977" s="2">
        <v>274.00000000028501</v>
      </c>
      <c r="H977" s="2" t="s">
        <v>8</v>
      </c>
      <c r="I977" s="2">
        <v>279384</v>
      </c>
      <c r="J977" s="2">
        <v>2000</v>
      </c>
      <c r="K977" s="2">
        <v>100</v>
      </c>
      <c r="L977" s="2">
        <v>0</v>
      </c>
      <c r="M977" s="2">
        <v>357525.97</v>
      </c>
      <c r="N977">
        <f t="shared" si="18"/>
        <v>637183.9700000002</v>
      </c>
      <c r="O977" s="9" t="s">
        <v>5</v>
      </c>
    </row>
    <row r="978" spans="1:15" x14ac:dyDescent="0.2">
      <c r="A978">
        <v>65</v>
      </c>
      <c r="B978">
        <v>5</v>
      </c>
      <c r="C978">
        <v>8</v>
      </c>
      <c r="D978" s="2">
        <v>2</v>
      </c>
      <c r="E978" s="2">
        <v>2</v>
      </c>
      <c r="F978" s="2" t="s">
        <v>5</v>
      </c>
      <c r="G978" s="2">
        <v>271.20000000024902</v>
      </c>
      <c r="H978" s="2" t="s">
        <v>8</v>
      </c>
      <c r="I978" s="2">
        <v>345789</v>
      </c>
      <c r="J978" s="2">
        <v>2000</v>
      </c>
      <c r="K978" s="2">
        <v>100</v>
      </c>
      <c r="L978" s="2">
        <v>0</v>
      </c>
      <c r="M978" s="2">
        <v>390205.57</v>
      </c>
      <c r="N978">
        <f t="shared" si="18"/>
        <v>736265.77000000025</v>
      </c>
      <c r="O978" s="9" t="s">
        <v>5</v>
      </c>
    </row>
    <row r="979" spans="1:15" x14ac:dyDescent="0.2">
      <c r="A979">
        <v>66</v>
      </c>
      <c r="B979">
        <v>5</v>
      </c>
      <c r="C979">
        <v>8</v>
      </c>
      <c r="D979" s="2">
        <v>2</v>
      </c>
      <c r="E979" s="2">
        <v>3</v>
      </c>
      <c r="F979" s="2" t="s">
        <v>5</v>
      </c>
      <c r="G979" s="2">
        <v>390.99999999976399</v>
      </c>
      <c r="H979" s="2" t="s">
        <v>8</v>
      </c>
      <c r="I979" s="2">
        <v>1149315</v>
      </c>
      <c r="J979" s="2">
        <v>2000</v>
      </c>
      <c r="K979" s="2">
        <v>100</v>
      </c>
      <c r="L979" s="2">
        <v>0</v>
      </c>
      <c r="M979" s="2">
        <v>393484.77</v>
      </c>
      <c r="N979">
        <f t="shared" si="18"/>
        <v>1543190.7699999998</v>
      </c>
      <c r="O979" s="9" t="s">
        <v>4</v>
      </c>
    </row>
    <row r="980" spans="1:15" x14ac:dyDescent="0.2">
      <c r="A980">
        <v>67</v>
      </c>
      <c r="B980">
        <v>5</v>
      </c>
      <c r="C980">
        <v>7</v>
      </c>
      <c r="D980" s="2">
        <v>2</v>
      </c>
      <c r="E980" s="2">
        <v>1</v>
      </c>
      <c r="F980" s="2" t="s">
        <v>5</v>
      </c>
      <c r="G980" s="2">
        <v>210.20000000007099</v>
      </c>
      <c r="H980" s="2" t="s">
        <v>8</v>
      </c>
      <c r="I980" s="2">
        <v>176762</v>
      </c>
      <c r="J980" s="2">
        <v>2000</v>
      </c>
      <c r="K980" s="2">
        <v>100</v>
      </c>
      <c r="L980" s="2">
        <v>0</v>
      </c>
      <c r="M980" s="2">
        <v>379524.37</v>
      </c>
      <c r="N980">
        <f t="shared" si="18"/>
        <v>556496.57000000007</v>
      </c>
      <c r="O980" s="9" t="s">
        <v>5</v>
      </c>
    </row>
    <row r="981" spans="1:15" x14ac:dyDescent="0.2">
      <c r="A981">
        <v>68</v>
      </c>
      <c r="B981">
        <v>5</v>
      </c>
      <c r="C981">
        <v>7</v>
      </c>
      <c r="D981" s="2">
        <v>2</v>
      </c>
      <c r="E981" s="2">
        <v>2</v>
      </c>
      <c r="F981" s="2" t="s">
        <v>5</v>
      </c>
      <c r="G981" s="2">
        <v>210.00000000022101</v>
      </c>
      <c r="H981" s="2" t="s">
        <v>8</v>
      </c>
      <c r="I981" s="2">
        <v>175160</v>
      </c>
      <c r="J981" s="2">
        <v>2000</v>
      </c>
      <c r="K981" s="2">
        <v>100</v>
      </c>
      <c r="L981" s="2">
        <v>0</v>
      </c>
      <c r="M981" s="2">
        <v>347684.37</v>
      </c>
      <c r="N981">
        <f t="shared" si="18"/>
        <v>523054.37000000023</v>
      </c>
      <c r="O981" s="9" t="s">
        <v>5</v>
      </c>
    </row>
    <row r="982" spans="1:15" x14ac:dyDescent="0.2">
      <c r="A982">
        <v>69</v>
      </c>
      <c r="B982">
        <v>5</v>
      </c>
      <c r="C982">
        <v>7</v>
      </c>
      <c r="D982" s="2">
        <v>2</v>
      </c>
      <c r="E982" s="2">
        <v>3</v>
      </c>
      <c r="F982" s="2" t="s">
        <v>5</v>
      </c>
      <c r="G982" s="2">
        <v>292.59999999986502</v>
      </c>
      <c r="H982" s="2" t="s">
        <v>8</v>
      </c>
      <c r="I982" s="2">
        <v>386187</v>
      </c>
      <c r="J982" s="2">
        <v>2000</v>
      </c>
      <c r="K982" s="2">
        <v>100</v>
      </c>
      <c r="L982" s="2">
        <v>0</v>
      </c>
      <c r="M982" s="2">
        <v>338923.97</v>
      </c>
      <c r="N982">
        <f t="shared" si="18"/>
        <v>725403.56999999983</v>
      </c>
      <c r="O982" s="9" t="s">
        <v>4</v>
      </c>
    </row>
    <row r="983" spans="1:15" x14ac:dyDescent="0.2">
      <c r="A983">
        <v>28</v>
      </c>
      <c r="B983">
        <v>5</v>
      </c>
      <c r="C983">
        <v>4</v>
      </c>
      <c r="D983" s="2">
        <v>2</v>
      </c>
      <c r="E983" s="2">
        <v>1</v>
      </c>
      <c r="F983" s="2" t="s">
        <v>5</v>
      </c>
      <c r="G983" s="2">
        <v>541.19999999961999</v>
      </c>
      <c r="H983" s="2" t="s">
        <v>8</v>
      </c>
      <c r="I983" s="2">
        <v>37176.000000000502</v>
      </c>
      <c r="J983" s="2">
        <v>3000</v>
      </c>
      <c r="K983" s="2">
        <v>100</v>
      </c>
      <c r="L983" s="2">
        <v>0</v>
      </c>
      <c r="M983" s="2">
        <v>518308.37</v>
      </c>
      <c r="N983">
        <f t="shared" si="18"/>
        <v>556025.57000000007</v>
      </c>
      <c r="O983" s="2" t="s">
        <v>5</v>
      </c>
    </row>
    <row r="984" spans="1:15" x14ac:dyDescent="0.2">
      <c r="A984">
        <v>29</v>
      </c>
      <c r="B984">
        <v>5</v>
      </c>
      <c r="C984">
        <v>5</v>
      </c>
      <c r="D984" s="2">
        <v>2</v>
      </c>
      <c r="E984" s="2">
        <v>2</v>
      </c>
      <c r="F984" s="2" t="s">
        <v>5</v>
      </c>
      <c r="G984" s="2">
        <v>547.39999999959798</v>
      </c>
      <c r="H984" s="2" t="s">
        <v>8</v>
      </c>
      <c r="I984" s="2">
        <v>71896.000000000597</v>
      </c>
      <c r="J984" s="2">
        <v>3000</v>
      </c>
      <c r="K984" s="2">
        <v>100</v>
      </c>
      <c r="L984" s="2">
        <v>0</v>
      </c>
      <c r="M984" s="2">
        <v>558027.56999999995</v>
      </c>
      <c r="N984">
        <f t="shared" si="18"/>
        <v>630470.9700000002</v>
      </c>
      <c r="O984" s="2" t="s">
        <v>5</v>
      </c>
    </row>
    <row r="985" spans="1:15" x14ac:dyDescent="0.2">
      <c r="A985">
        <v>30</v>
      </c>
      <c r="B985">
        <v>5</v>
      </c>
      <c r="C985">
        <v>5</v>
      </c>
      <c r="D985" s="2">
        <v>2</v>
      </c>
      <c r="E985" s="2">
        <v>3</v>
      </c>
      <c r="F985" s="2" t="s">
        <v>5</v>
      </c>
      <c r="G985" s="2">
        <v>598.60000000000502</v>
      </c>
      <c r="H985" s="2" t="s">
        <v>8</v>
      </c>
      <c r="I985" s="2">
        <v>251473</v>
      </c>
      <c r="J985" s="2">
        <v>3000</v>
      </c>
      <c r="K985" s="2">
        <v>100</v>
      </c>
      <c r="L985" s="2">
        <v>0</v>
      </c>
      <c r="M985" s="2">
        <v>564988.37</v>
      </c>
      <c r="N985">
        <f t="shared" si="18"/>
        <v>817059.97</v>
      </c>
      <c r="O985" s="2" t="s">
        <v>4</v>
      </c>
    </row>
    <row r="986" spans="1:15" x14ac:dyDescent="0.2">
      <c r="A986">
        <v>31</v>
      </c>
      <c r="B986">
        <v>5</v>
      </c>
      <c r="C986">
        <v>5</v>
      </c>
      <c r="D986" s="2">
        <v>2</v>
      </c>
      <c r="E986" s="2">
        <v>1</v>
      </c>
      <c r="F986" s="2" t="s">
        <v>5</v>
      </c>
      <c r="G986" s="2">
        <v>351.19999999970702</v>
      </c>
      <c r="H986" s="2" t="s">
        <v>8</v>
      </c>
      <c r="I986" s="2">
        <v>68826.999999999796</v>
      </c>
      <c r="J986" s="2">
        <v>3000</v>
      </c>
      <c r="K986" s="2">
        <v>100</v>
      </c>
      <c r="L986" s="2">
        <v>0</v>
      </c>
      <c r="M986" s="2">
        <v>495447.97</v>
      </c>
      <c r="N986">
        <f t="shared" si="18"/>
        <v>564626.16999999946</v>
      </c>
      <c r="O986" s="2" t="s">
        <v>5</v>
      </c>
    </row>
    <row r="987" spans="1:15" x14ac:dyDescent="0.2">
      <c r="A987">
        <v>32</v>
      </c>
      <c r="B987">
        <v>5</v>
      </c>
      <c r="C987">
        <v>5</v>
      </c>
      <c r="D987" s="2">
        <v>2</v>
      </c>
      <c r="E987" s="2">
        <v>2</v>
      </c>
      <c r="F987" s="2" t="s">
        <v>5</v>
      </c>
      <c r="G987" s="2">
        <v>356.00000000002302</v>
      </c>
      <c r="H987" s="2" t="s">
        <v>8</v>
      </c>
      <c r="I987" s="2">
        <v>64877.000000000102</v>
      </c>
      <c r="J987" s="2">
        <v>3000</v>
      </c>
      <c r="K987" s="2">
        <v>100</v>
      </c>
      <c r="L987" s="2">
        <v>0</v>
      </c>
      <c r="M987" s="2">
        <v>516267.97</v>
      </c>
      <c r="N987">
        <f t="shared" si="18"/>
        <v>581500.97000000009</v>
      </c>
      <c r="O987" s="2" t="s">
        <v>5</v>
      </c>
    </row>
    <row r="988" spans="1:15" x14ac:dyDescent="0.2">
      <c r="A988">
        <v>33</v>
      </c>
      <c r="B988">
        <v>5</v>
      </c>
      <c r="C988">
        <v>5</v>
      </c>
      <c r="D988" s="2">
        <v>2</v>
      </c>
      <c r="E988" s="2">
        <v>3</v>
      </c>
      <c r="F988" s="2" t="s">
        <v>5</v>
      </c>
      <c r="G988" s="2">
        <v>485.39999999981399</v>
      </c>
      <c r="H988" s="2" t="s">
        <v>8</v>
      </c>
      <c r="I988" s="2">
        <v>255639</v>
      </c>
      <c r="J988" s="2">
        <v>3000</v>
      </c>
      <c r="K988" s="2">
        <v>100</v>
      </c>
      <c r="L988" s="2">
        <v>0</v>
      </c>
      <c r="M988" s="2">
        <v>630747.17000000004</v>
      </c>
      <c r="N988">
        <f t="shared" si="18"/>
        <v>886871.56999999983</v>
      </c>
      <c r="O988" s="2" t="s">
        <v>4</v>
      </c>
    </row>
    <row r="989" spans="1:15" x14ac:dyDescent="0.2">
      <c r="A989">
        <v>34</v>
      </c>
      <c r="B989">
        <v>5</v>
      </c>
      <c r="C989">
        <v>5</v>
      </c>
      <c r="D989" s="2">
        <v>2</v>
      </c>
      <c r="E989" s="2">
        <v>1</v>
      </c>
      <c r="F989" s="2" t="s">
        <v>5</v>
      </c>
      <c r="G989" s="2">
        <v>307.60000000000798</v>
      </c>
      <c r="H989" s="2" t="s">
        <v>8</v>
      </c>
      <c r="I989" s="2">
        <v>49771.999999999898</v>
      </c>
      <c r="J989" s="2">
        <v>3000</v>
      </c>
      <c r="K989" s="2">
        <v>100</v>
      </c>
      <c r="L989" s="2">
        <v>0</v>
      </c>
      <c r="M989" s="2">
        <v>636327.56999999995</v>
      </c>
      <c r="N989">
        <f t="shared" si="18"/>
        <v>686407.16999999981</v>
      </c>
      <c r="O989" s="2" t="s">
        <v>5</v>
      </c>
    </row>
    <row r="990" spans="1:15" x14ac:dyDescent="0.2">
      <c r="A990">
        <v>35</v>
      </c>
      <c r="B990">
        <v>5</v>
      </c>
      <c r="C990">
        <v>6</v>
      </c>
      <c r="D990" s="2">
        <v>2</v>
      </c>
      <c r="E990" s="2">
        <v>1</v>
      </c>
      <c r="F990" s="2" t="s">
        <v>5</v>
      </c>
      <c r="G990" s="2">
        <v>378.80000000036802</v>
      </c>
      <c r="H990" s="2" t="s">
        <v>8</v>
      </c>
      <c r="I990" s="2">
        <v>110241</v>
      </c>
      <c r="J990" s="2">
        <v>3000</v>
      </c>
      <c r="K990" s="2">
        <v>100</v>
      </c>
      <c r="L990" s="2">
        <v>0</v>
      </c>
      <c r="M990" s="2">
        <v>569128.37</v>
      </c>
      <c r="N990">
        <f t="shared" si="18"/>
        <v>679748.17000000039</v>
      </c>
      <c r="O990" s="2" t="s">
        <v>5</v>
      </c>
    </row>
    <row r="991" spans="1:15" x14ac:dyDescent="0.2">
      <c r="A991">
        <v>36</v>
      </c>
      <c r="B991">
        <v>5</v>
      </c>
      <c r="C991">
        <v>6</v>
      </c>
      <c r="D991" s="2">
        <v>2</v>
      </c>
      <c r="E991" s="2">
        <v>2</v>
      </c>
      <c r="F991" s="2" t="s">
        <v>5</v>
      </c>
      <c r="G991" s="2">
        <v>225.399999999709</v>
      </c>
      <c r="H991" s="2" t="s">
        <v>8</v>
      </c>
      <c r="I991" s="2">
        <v>111119</v>
      </c>
      <c r="J991" s="2">
        <v>3000</v>
      </c>
      <c r="K991" s="2">
        <v>100</v>
      </c>
      <c r="L991" s="2">
        <v>0</v>
      </c>
      <c r="M991" s="2">
        <v>569487.97</v>
      </c>
      <c r="N991">
        <f t="shared" si="18"/>
        <v>680832.36999999965</v>
      </c>
      <c r="O991" s="2" t="s">
        <v>5</v>
      </c>
    </row>
    <row r="992" spans="1:15" x14ac:dyDescent="0.2">
      <c r="A992">
        <v>37</v>
      </c>
      <c r="B992">
        <v>5</v>
      </c>
      <c r="C992">
        <v>6</v>
      </c>
      <c r="D992" s="2">
        <v>2</v>
      </c>
      <c r="E992" s="2">
        <v>3</v>
      </c>
      <c r="F992" s="2" t="s">
        <v>5</v>
      </c>
      <c r="G992" s="2">
        <v>317.40000000049002</v>
      </c>
      <c r="H992" s="2" t="s">
        <v>8</v>
      </c>
      <c r="I992" s="2">
        <v>450438.99999999901</v>
      </c>
      <c r="J992" s="2">
        <v>3000</v>
      </c>
      <c r="K992" s="2">
        <v>100</v>
      </c>
      <c r="L992" s="2">
        <v>0</v>
      </c>
      <c r="M992" s="2">
        <v>548187.56999999995</v>
      </c>
      <c r="N992">
        <f t="shared" si="18"/>
        <v>998943.96999999951</v>
      </c>
      <c r="O992" s="2" t="s">
        <v>4</v>
      </c>
    </row>
    <row r="993" spans="1:15" x14ac:dyDescent="0.2">
      <c r="A993">
        <v>38</v>
      </c>
      <c r="B993">
        <v>5</v>
      </c>
      <c r="C993">
        <v>6</v>
      </c>
      <c r="D993" s="2">
        <v>2</v>
      </c>
      <c r="E993" s="2">
        <v>1</v>
      </c>
      <c r="F993" s="2" t="s">
        <v>5</v>
      </c>
      <c r="G993" s="2">
        <v>206.39999999971801</v>
      </c>
      <c r="H993" s="2" t="s">
        <v>8</v>
      </c>
      <c r="I993" s="2">
        <v>136472</v>
      </c>
      <c r="J993" s="2">
        <v>3000</v>
      </c>
      <c r="K993" s="2">
        <v>100</v>
      </c>
      <c r="L993" s="2">
        <v>0</v>
      </c>
      <c r="M993" s="2">
        <v>513867.57</v>
      </c>
      <c r="N993">
        <f t="shared" si="18"/>
        <v>650545.96999999974</v>
      </c>
      <c r="O993" s="2" t="s">
        <v>5</v>
      </c>
    </row>
    <row r="994" spans="1:15" x14ac:dyDescent="0.2">
      <c r="A994">
        <v>39</v>
      </c>
      <c r="B994">
        <v>5</v>
      </c>
      <c r="C994">
        <v>7</v>
      </c>
      <c r="D994" s="2">
        <v>2</v>
      </c>
      <c r="E994" s="2">
        <v>1</v>
      </c>
      <c r="F994" s="2" t="s">
        <v>5</v>
      </c>
      <c r="G994" s="2">
        <v>257.600000000124</v>
      </c>
      <c r="H994" s="2" t="s">
        <v>8</v>
      </c>
      <c r="I994" s="2">
        <v>207379</v>
      </c>
      <c r="J994" s="2">
        <v>3000</v>
      </c>
      <c r="K994" s="2">
        <v>100</v>
      </c>
      <c r="L994" s="2">
        <v>0</v>
      </c>
      <c r="M994" s="2">
        <v>625827.17000000004</v>
      </c>
      <c r="N994">
        <f t="shared" si="18"/>
        <v>833463.77000000014</v>
      </c>
      <c r="O994" s="2" t="s">
        <v>5</v>
      </c>
    </row>
    <row r="995" spans="1:15" x14ac:dyDescent="0.2">
      <c r="A995">
        <v>40</v>
      </c>
      <c r="B995">
        <v>5</v>
      </c>
      <c r="C995">
        <v>7</v>
      </c>
      <c r="D995" s="2">
        <v>2</v>
      </c>
      <c r="E995" s="2">
        <v>2</v>
      </c>
      <c r="F995" s="2" t="s">
        <v>5</v>
      </c>
      <c r="G995" s="2">
        <v>242.59999999962599</v>
      </c>
      <c r="H995" s="2" t="s">
        <v>8</v>
      </c>
      <c r="I995" s="2">
        <v>197622</v>
      </c>
      <c r="J995" s="2">
        <v>3000</v>
      </c>
      <c r="K995" s="2">
        <v>100</v>
      </c>
      <c r="L995" s="2">
        <v>0</v>
      </c>
      <c r="M995" s="2">
        <v>523827.97</v>
      </c>
      <c r="N995">
        <f t="shared" si="18"/>
        <v>721692.5699999996</v>
      </c>
      <c r="O995" s="2" t="s">
        <v>5</v>
      </c>
    </row>
    <row r="996" spans="1:15" x14ac:dyDescent="0.2">
      <c r="A996">
        <v>41</v>
      </c>
      <c r="B996">
        <v>5</v>
      </c>
      <c r="C996">
        <v>7</v>
      </c>
      <c r="D996" s="2">
        <v>2</v>
      </c>
      <c r="E996" s="2">
        <v>3</v>
      </c>
      <c r="F996" s="2" t="s">
        <v>5</v>
      </c>
      <c r="G996" s="2">
        <v>354.20000000030399</v>
      </c>
      <c r="H996" s="2" t="s">
        <v>8</v>
      </c>
      <c r="I996" s="2">
        <v>1010568</v>
      </c>
      <c r="J996" s="2">
        <v>3000</v>
      </c>
      <c r="K996" s="2">
        <v>100</v>
      </c>
      <c r="L996" s="2">
        <v>0</v>
      </c>
      <c r="M996" s="2">
        <v>610828.37</v>
      </c>
      <c r="N996">
        <f t="shared" si="18"/>
        <v>1621750.5700000003</v>
      </c>
      <c r="O996" s="2" t="s">
        <v>5</v>
      </c>
    </row>
    <row r="997" spans="1:15" x14ac:dyDescent="0.2">
      <c r="A997">
        <v>42</v>
      </c>
      <c r="B997">
        <v>5</v>
      </c>
      <c r="C997">
        <v>4</v>
      </c>
      <c r="D997" s="2">
        <v>2</v>
      </c>
      <c r="E997" s="2">
        <v>1</v>
      </c>
      <c r="F997" s="2" t="s">
        <v>5</v>
      </c>
      <c r="G997" s="2">
        <v>129.800000000202</v>
      </c>
      <c r="H997" s="2" t="s">
        <v>8</v>
      </c>
      <c r="I997" s="2">
        <v>33082.000000000298</v>
      </c>
      <c r="J997" s="2">
        <v>3000</v>
      </c>
      <c r="K997" s="2">
        <v>100</v>
      </c>
      <c r="L997" s="2">
        <v>0</v>
      </c>
      <c r="M997" s="2">
        <v>545008.37</v>
      </c>
      <c r="N997">
        <f t="shared" si="18"/>
        <v>578220.17000000051</v>
      </c>
      <c r="O997" s="2" t="s">
        <v>5</v>
      </c>
    </row>
    <row r="998" spans="1:15" x14ac:dyDescent="0.2">
      <c r="A998">
        <v>43</v>
      </c>
      <c r="B998">
        <v>5</v>
      </c>
      <c r="C998">
        <v>5</v>
      </c>
      <c r="D998" s="2">
        <v>2</v>
      </c>
      <c r="E998" s="2">
        <v>1</v>
      </c>
      <c r="F998" s="2" t="s">
        <v>5</v>
      </c>
      <c r="G998" s="2">
        <v>157.00000000009601</v>
      </c>
      <c r="H998" s="2" t="s">
        <v>8</v>
      </c>
      <c r="I998" s="2">
        <v>50701.000000000102</v>
      </c>
      <c r="J998" s="2">
        <v>3000</v>
      </c>
      <c r="K998" s="2">
        <v>100</v>
      </c>
      <c r="L998" s="2">
        <v>0</v>
      </c>
      <c r="M998" s="2">
        <v>524308.77</v>
      </c>
      <c r="N998">
        <f t="shared" si="18"/>
        <v>575166.77000000025</v>
      </c>
      <c r="O998" s="2" t="s">
        <v>5</v>
      </c>
    </row>
    <row r="999" spans="1:15" x14ac:dyDescent="0.2">
      <c r="A999">
        <v>44</v>
      </c>
      <c r="B999">
        <v>5</v>
      </c>
      <c r="C999">
        <v>5</v>
      </c>
      <c r="D999" s="2">
        <v>2</v>
      </c>
      <c r="E999" s="2">
        <v>2</v>
      </c>
      <c r="F999" s="2" t="s">
        <v>5</v>
      </c>
      <c r="G999" s="2">
        <v>156.599999999685</v>
      </c>
      <c r="H999" s="2" t="s">
        <v>8</v>
      </c>
      <c r="I999" s="2">
        <v>66129.000000000102</v>
      </c>
      <c r="J999" s="2">
        <v>3000</v>
      </c>
      <c r="K999" s="2">
        <v>100</v>
      </c>
      <c r="L999" s="2">
        <v>0</v>
      </c>
      <c r="M999" s="2">
        <v>526828.37</v>
      </c>
      <c r="N999">
        <f t="shared" si="18"/>
        <v>593113.96999999974</v>
      </c>
      <c r="O999" s="2" t="s">
        <v>5</v>
      </c>
    </row>
    <row r="1000" spans="1:15" x14ac:dyDescent="0.2">
      <c r="A1000">
        <v>45</v>
      </c>
      <c r="B1000">
        <v>5</v>
      </c>
      <c r="C1000">
        <v>5</v>
      </c>
      <c r="D1000" s="2">
        <v>2</v>
      </c>
      <c r="E1000" s="2">
        <v>3</v>
      </c>
      <c r="F1000" s="2" t="s">
        <v>5</v>
      </c>
      <c r="G1000" s="2">
        <v>211.00000000018301</v>
      </c>
      <c r="H1000" s="2" t="s">
        <v>8</v>
      </c>
      <c r="I1000" s="2">
        <v>256781.99999999901</v>
      </c>
      <c r="J1000" s="2">
        <v>3000</v>
      </c>
      <c r="K1000" s="2">
        <v>100</v>
      </c>
      <c r="L1000" s="2">
        <v>0</v>
      </c>
      <c r="M1000" s="2">
        <v>532827.56999999995</v>
      </c>
      <c r="N1000">
        <f t="shared" si="18"/>
        <v>789820.56999999913</v>
      </c>
      <c r="O1000" s="2" t="s">
        <v>5</v>
      </c>
    </row>
    <row r="1001" spans="1:15" x14ac:dyDescent="0.2">
      <c r="A1001">
        <v>46</v>
      </c>
      <c r="B1001">
        <v>5</v>
      </c>
      <c r="C1001">
        <v>6</v>
      </c>
      <c r="D1001" s="2">
        <v>2</v>
      </c>
      <c r="E1001" s="2">
        <v>1</v>
      </c>
      <c r="F1001" s="2" t="s">
        <v>5</v>
      </c>
      <c r="G1001" s="2">
        <v>189.400000000006</v>
      </c>
      <c r="H1001" s="2" t="s">
        <v>8</v>
      </c>
      <c r="I1001" s="2">
        <v>193839</v>
      </c>
      <c r="J1001" s="2">
        <v>3000</v>
      </c>
      <c r="K1001" s="2">
        <v>100</v>
      </c>
      <c r="L1001" s="2">
        <v>0</v>
      </c>
      <c r="M1001" s="2">
        <v>540509.17000000004</v>
      </c>
      <c r="N1001">
        <f t="shared" si="18"/>
        <v>734537.57000000007</v>
      </c>
      <c r="O1001" s="2" t="s">
        <v>5</v>
      </c>
    </row>
    <row r="1002" spans="1:15" x14ac:dyDescent="0.2">
      <c r="A1002">
        <v>47</v>
      </c>
      <c r="B1002">
        <v>5</v>
      </c>
      <c r="C1002">
        <v>6</v>
      </c>
      <c r="D1002" s="2">
        <v>2</v>
      </c>
      <c r="E1002" s="2">
        <v>2</v>
      </c>
      <c r="F1002" s="2" t="s">
        <v>5</v>
      </c>
      <c r="G1002" s="2">
        <v>193.80000000026601</v>
      </c>
      <c r="H1002" s="2" t="s">
        <v>8</v>
      </c>
      <c r="I1002" s="2">
        <v>113693.999999999</v>
      </c>
      <c r="J1002" s="2">
        <v>3000</v>
      </c>
      <c r="K1002" s="2">
        <v>100</v>
      </c>
      <c r="L1002" s="2">
        <v>0</v>
      </c>
      <c r="M1002" s="2">
        <v>527247.56999999995</v>
      </c>
      <c r="N1002">
        <f t="shared" si="18"/>
        <v>641135.36999999918</v>
      </c>
      <c r="O1002" s="2" t="s">
        <v>5</v>
      </c>
    </row>
    <row r="1003" spans="1:15" x14ac:dyDescent="0.2">
      <c r="A1003">
        <v>48</v>
      </c>
      <c r="B1003">
        <v>5</v>
      </c>
      <c r="C1003">
        <v>6</v>
      </c>
      <c r="D1003" s="2">
        <v>2</v>
      </c>
      <c r="E1003" s="2">
        <v>3</v>
      </c>
      <c r="F1003" s="2" t="s">
        <v>5</v>
      </c>
      <c r="G1003" s="2">
        <v>249.79999999992199</v>
      </c>
      <c r="H1003" s="2" t="s">
        <v>8</v>
      </c>
      <c r="I1003" s="2">
        <v>251965</v>
      </c>
      <c r="J1003" s="2">
        <v>3000</v>
      </c>
      <c r="K1003" s="2">
        <v>100</v>
      </c>
      <c r="L1003" s="2">
        <v>0</v>
      </c>
      <c r="M1003" s="2">
        <v>656129.17000000004</v>
      </c>
      <c r="N1003">
        <f t="shared" si="18"/>
        <v>908343.97</v>
      </c>
      <c r="O1003" s="2" t="s">
        <v>5</v>
      </c>
    </row>
    <row r="1004" spans="1:15" x14ac:dyDescent="0.2">
      <c r="A1004">
        <v>49</v>
      </c>
      <c r="B1004">
        <v>5</v>
      </c>
      <c r="C1004">
        <v>6</v>
      </c>
      <c r="D1004" s="2">
        <v>2</v>
      </c>
      <c r="E1004" s="2">
        <v>1</v>
      </c>
      <c r="F1004" s="2" t="s">
        <v>5</v>
      </c>
      <c r="G1004" s="2">
        <v>183.19999999931699</v>
      </c>
      <c r="H1004" s="2" t="s">
        <v>8</v>
      </c>
      <c r="I1004" s="2">
        <v>102215.999999999</v>
      </c>
      <c r="J1004" s="2">
        <v>3000</v>
      </c>
      <c r="K1004" s="2">
        <v>100</v>
      </c>
      <c r="L1004" s="2">
        <v>0</v>
      </c>
      <c r="M1004" s="2">
        <v>568468.37</v>
      </c>
      <c r="N1004">
        <f t="shared" si="18"/>
        <v>670867.56999999832</v>
      </c>
      <c r="O1004" s="2" t="s">
        <v>5</v>
      </c>
    </row>
    <row r="1005" spans="1:15" x14ac:dyDescent="0.2">
      <c r="A1005">
        <v>50</v>
      </c>
      <c r="B1005">
        <v>5</v>
      </c>
      <c r="C1005">
        <v>6</v>
      </c>
      <c r="D1005" s="2">
        <v>2</v>
      </c>
      <c r="E1005" s="2">
        <v>2</v>
      </c>
      <c r="F1005" s="2" t="s">
        <v>5</v>
      </c>
      <c r="G1005" s="2">
        <v>190.800000000024</v>
      </c>
      <c r="H1005" s="2" t="s">
        <v>8</v>
      </c>
      <c r="I1005" s="2">
        <v>146021.99999999901</v>
      </c>
      <c r="J1005" s="2">
        <v>3000</v>
      </c>
      <c r="K1005" s="2">
        <v>100</v>
      </c>
      <c r="L1005" s="2">
        <v>0</v>
      </c>
      <c r="M1005" s="2">
        <v>517468.37</v>
      </c>
      <c r="N1005">
        <f t="shared" si="18"/>
        <v>663681.16999999899</v>
      </c>
      <c r="O1005" s="2" t="s">
        <v>5</v>
      </c>
    </row>
    <row r="1006" spans="1:15" x14ac:dyDescent="0.2">
      <c r="A1006">
        <v>51</v>
      </c>
      <c r="B1006">
        <v>5</v>
      </c>
      <c r="C1006">
        <v>6</v>
      </c>
      <c r="D1006" s="2">
        <v>2</v>
      </c>
      <c r="E1006" s="2">
        <v>3</v>
      </c>
      <c r="F1006" s="2" t="s">
        <v>5</v>
      </c>
      <c r="G1006" s="2">
        <v>252.19999999990301</v>
      </c>
      <c r="H1006" s="2" t="s">
        <v>8</v>
      </c>
      <c r="I1006" s="2">
        <v>203922</v>
      </c>
      <c r="J1006" s="2">
        <v>3000</v>
      </c>
      <c r="K1006" s="2">
        <v>100</v>
      </c>
      <c r="L1006" s="2">
        <v>0</v>
      </c>
      <c r="M1006" s="2">
        <v>563127.17000000004</v>
      </c>
      <c r="N1006">
        <f t="shared" si="18"/>
        <v>767301.36999999988</v>
      </c>
      <c r="O1006" s="2" t="s">
        <v>5</v>
      </c>
    </row>
    <row r="1007" spans="1:15" x14ac:dyDescent="0.2">
      <c r="A1007">
        <v>52</v>
      </c>
      <c r="B1007">
        <v>5</v>
      </c>
      <c r="C1007">
        <v>7</v>
      </c>
      <c r="D1007" s="2">
        <v>2</v>
      </c>
      <c r="E1007" s="2">
        <v>1</v>
      </c>
      <c r="F1007" s="2" t="s">
        <v>5</v>
      </c>
      <c r="G1007" s="2">
        <v>219.40000000029201</v>
      </c>
      <c r="H1007" s="2" t="s">
        <v>8</v>
      </c>
      <c r="I1007" s="2">
        <v>251747</v>
      </c>
      <c r="J1007" s="2">
        <v>3000</v>
      </c>
      <c r="K1007" s="2">
        <v>100</v>
      </c>
      <c r="L1007" s="2">
        <v>0</v>
      </c>
      <c r="M1007" s="2">
        <v>519747.57</v>
      </c>
      <c r="N1007">
        <f t="shared" ref="N1007:N1024" si="19">G1007+I1007+M1007</f>
        <v>771713.97000000032</v>
      </c>
      <c r="O1007" s="2" t="s">
        <v>5</v>
      </c>
    </row>
    <row r="1008" spans="1:15" x14ac:dyDescent="0.2">
      <c r="A1008">
        <v>53</v>
      </c>
      <c r="B1008">
        <v>5</v>
      </c>
      <c r="C1008">
        <v>7</v>
      </c>
      <c r="D1008" s="2">
        <v>2</v>
      </c>
      <c r="E1008" s="2">
        <v>2</v>
      </c>
      <c r="F1008" s="2" t="s">
        <v>5</v>
      </c>
      <c r="G1008" s="2">
        <v>218.80000000038501</v>
      </c>
      <c r="H1008" s="2" t="s">
        <v>8</v>
      </c>
      <c r="I1008" s="2">
        <v>209296.99999999901</v>
      </c>
      <c r="J1008" s="2">
        <v>3000</v>
      </c>
      <c r="K1008" s="2">
        <v>100</v>
      </c>
      <c r="L1008" s="2">
        <v>0</v>
      </c>
      <c r="M1008" s="2">
        <v>573507.97</v>
      </c>
      <c r="N1008">
        <f t="shared" si="19"/>
        <v>783023.76999999932</v>
      </c>
      <c r="O1008" s="2" t="s">
        <v>5</v>
      </c>
    </row>
    <row r="1009" spans="1:15" x14ac:dyDescent="0.2">
      <c r="A1009">
        <v>54</v>
      </c>
      <c r="B1009">
        <v>5</v>
      </c>
      <c r="C1009">
        <v>7</v>
      </c>
      <c r="D1009" s="2">
        <v>2</v>
      </c>
      <c r="E1009" s="2">
        <v>3</v>
      </c>
      <c r="F1009" s="2" t="s">
        <v>5</v>
      </c>
      <c r="G1009" s="2">
        <v>306.40000000019501</v>
      </c>
      <c r="H1009" s="2" t="s">
        <v>8</v>
      </c>
      <c r="I1009" s="2">
        <v>515255</v>
      </c>
      <c r="J1009" s="2">
        <v>3000</v>
      </c>
      <c r="K1009" s="2">
        <v>100</v>
      </c>
      <c r="L1009" s="2">
        <v>0</v>
      </c>
      <c r="M1009" s="2">
        <v>583406.77</v>
      </c>
      <c r="N1009">
        <f t="shared" si="19"/>
        <v>1098968.1700000002</v>
      </c>
      <c r="O1009" s="2" t="s">
        <v>4</v>
      </c>
    </row>
    <row r="1010" spans="1:15" x14ac:dyDescent="0.2">
      <c r="A1010">
        <v>55</v>
      </c>
      <c r="B1010">
        <v>5</v>
      </c>
      <c r="C1010">
        <v>5</v>
      </c>
      <c r="D1010" s="2">
        <v>2</v>
      </c>
      <c r="E1010" s="2">
        <v>1</v>
      </c>
      <c r="F1010" s="2" t="s">
        <v>5</v>
      </c>
      <c r="G1010" s="2">
        <v>140.60000000064599</v>
      </c>
      <c r="H1010" s="2" t="s">
        <v>8</v>
      </c>
      <c r="I1010" s="2">
        <v>51733.999999999702</v>
      </c>
      <c r="J1010" s="2">
        <v>3000</v>
      </c>
      <c r="K1010" s="2">
        <v>100</v>
      </c>
      <c r="L1010" s="2">
        <v>0</v>
      </c>
      <c r="M1010" s="2">
        <v>543148.37</v>
      </c>
      <c r="N1010">
        <f t="shared" si="19"/>
        <v>595022.97000000032</v>
      </c>
      <c r="O1010" s="2" t="s">
        <v>5</v>
      </c>
    </row>
    <row r="1011" spans="1:15" x14ac:dyDescent="0.2">
      <c r="A1011">
        <v>56</v>
      </c>
      <c r="B1011">
        <v>5</v>
      </c>
      <c r="C1011">
        <v>5</v>
      </c>
      <c r="D1011" s="2">
        <v>2</v>
      </c>
      <c r="E1011" s="2">
        <v>2</v>
      </c>
      <c r="F1011" s="2" t="s">
        <v>5</v>
      </c>
      <c r="G1011" s="2">
        <v>137.60000000004899</v>
      </c>
      <c r="H1011" s="2" t="s">
        <v>8</v>
      </c>
      <c r="I1011" s="2">
        <v>57291.000000001099</v>
      </c>
      <c r="J1011" s="2">
        <v>3000</v>
      </c>
      <c r="K1011" s="2">
        <v>100</v>
      </c>
      <c r="L1011" s="2">
        <v>0</v>
      </c>
      <c r="M1011" s="2">
        <v>502587.97</v>
      </c>
      <c r="N1011">
        <f t="shared" si="19"/>
        <v>560016.57000000111</v>
      </c>
      <c r="O1011" s="2" t="s">
        <v>5</v>
      </c>
    </row>
    <row r="1012" spans="1:15" x14ac:dyDescent="0.2">
      <c r="A1012">
        <v>57</v>
      </c>
      <c r="B1012">
        <v>5</v>
      </c>
      <c r="C1012">
        <v>5</v>
      </c>
      <c r="D1012" s="2">
        <v>2</v>
      </c>
      <c r="E1012" s="2">
        <v>3</v>
      </c>
      <c r="F1012" s="2" t="s">
        <v>5</v>
      </c>
      <c r="G1012" s="2">
        <v>183.39999999987799</v>
      </c>
      <c r="H1012" s="2" t="s">
        <v>8</v>
      </c>
      <c r="I1012" s="2">
        <v>96692.000000000902</v>
      </c>
      <c r="J1012" s="2">
        <v>3000</v>
      </c>
      <c r="K1012" s="2">
        <v>100</v>
      </c>
      <c r="L1012" s="2">
        <v>0</v>
      </c>
      <c r="M1012" s="2">
        <v>637407.97</v>
      </c>
      <c r="N1012">
        <f t="shared" si="19"/>
        <v>734283.37000000081</v>
      </c>
      <c r="O1012" s="2" t="s">
        <v>5</v>
      </c>
    </row>
    <row r="1013" spans="1:15" x14ac:dyDescent="0.2">
      <c r="A1013">
        <v>58</v>
      </c>
      <c r="B1013">
        <v>5</v>
      </c>
      <c r="C1013">
        <v>6</v>
      </c>
      <c r="D1013" s="2">
        <v>2</v>
      </c>
      <c r="E1013" s="2">
        <v>1</v>
      </c>
      <c r="F1013" s="2" t="s">
        <v>5</v>
      </c>
      <c r="G1013" s="2">
        <v>215.599999999228</v>
      </c>
      <c r="H1013" s="2" t="s">
        <v>8</v>
      </c>
      <c r="I1013" s="2">
        <v>86040.000000000597</v>
      </c>
      <c r="J1013" s="2">
        <v>3000</v>
      </c>
      <c r="K1013" s="2">
        <v>100</v>
      </c>
      <c r="L1013" s="2">
        <v>0</v>
      </c>
      <c r="M1013" s="2">
        <v>553407.97</v>
      </c>
      <c r="N1013">
        <f t="shared" si="19"/>
        <v>639663.56999999983</v>
      </c>
      <c r="O1013" s="2" t="s">
        <v>5</v>
      </c>
    </row>
    <row r="1014" spans="1:15" x14ac:dyDescent="0.2">
      <c r="A1014">
        <v>59</v>
      </c>
      <c r="B1014">
        <v>5</v>
      </c>
      <c r="C1014">
        <v>6</v>
      </c>
      <c r="D1014" s="2">
        <v>2</v>
      </c>
      <c r="E1014" s="2">
        <v>2</v>
      </c>
      <c r="F1014" s="2" t="s">
        <v>5</v>
      </c>
      <c r="G1014" s="2">
        <v>212.39999999984599</v>
      </c>
      <c r="H1014" s="2" t="s">
        <v>8</v>
      </c>
      <c r="I1014" s="2">
        <v>68540.000000000495</v>
      </c>
      <c r="J1014" s="2">
        <v>3000</v>
      </c>
      <c r="K1014" s="2">
        <v>100</v>
      </c>
      <c r="L1014" s="2">
        <v>0</v>
      </c>
      <c r="M1014" s="2">
        <v>496047.97</v>
      </c>
      <c r="N1014">
        <f t="shared" si="19"/>
        <v>564800.37000000034</v>
      </c>
      <c r="O1014" s="2" t="s">
        <v>5</v>
      </c>
    </row>
    <row r="1015" spans="1:15" x14ac:dyDescent="0.2">
      <c r="A1015">
        <v>60</v>
      </c>
      <c r="B1015">
        <v>5</v>
      </c>
      <c r="C1015">
        <v>6</v>
      </c>
      <c r="D1015" s="2">
        <v>2</v>
      </c>
      <c r="E1015" s="2">
        <v>3</v>
      </c>
      <c r="F1015" s="2" t="s">
        <v>5</v>
      </c>
      <c r="G1015" s="2">
        <v>288.40000000016602</v>
      </c>
      <c r="H1015" s="2" t="s">
        <v>8</v>
      </c>
      <c r="I1015" s="2">
        <v>278874.99999999901</v>
      </c>
      <c r="J1015" s="2">
        <v>3000</v>
      </c>
      <c r="K1015" s="2">
        <v>100</v>
      </c>
      <c r="L1015" s="2">
        <v>0</v>
      </c>
      <c r="M1015" s="2">
        <v>532409.56999999995</v>
      </c>
      <c r="N1015">
        <f t="shared" si="19"/>
        <v>811572.96999999904</v>
      </c>
      <c r="O1015" s="2" t="s">
        <v>5</v>
      </c>
    </row>
    <row r="1016" spans="1:15" x14ac:dyDescent="0.2">
      <c r="A1016">
        <v>61</v>
      </c>
      <c r="B1016">
        <v>5</v>
      </c>
      <c r="C1016">
        <v>7</v>
      </c>
      <c r="D1016" s="2">
        <v>2</v>
      </c>
      <c r="E1016" s="2">
        <v>1</v>
      </c>
      <c r="F1016" s="2" t="s">
        <v>5</v>
      </c>
      <c r="G1016" s="2">
        <v>230.60000000043601</v>
      </c>
      <c r="H1016" s="2" t="s">
        <v>8</v>
      </c>
      <c r="I1016" s="2">
        <v>161028</v>
      </c>
      <c r="J1016" s="2">
        <v>3000</v>
      </c>
      <c r="K1016" s="2">
        <v>100</v>
      </c>
      <c r="L1016" s="2">
        <v>0</v>
      </c>
      <c r="M1016" s="2">
        <v>648627.97</v>
      </c>
      <c r="N1016">
        <f t="shared" si="19"/>
        <v>809886.57000000041</v>
      </c>
      <c r="O1016" s="2" t="s">
        <v>5</v>
      </c>
    </row>
    <row r="1017" spans="1:15" x14ac:dyDescent="0.2">
      <c r="A1017">
        <v>62</v>
      </c>
      <c r="B1017">
        <v>5</v>
      </c>
      <c r="C1017">
        <v>7</v>
      </c>
      <c r="D1017" s="2">
        <v>2</v>
      </c>
      <c r="E1017" s="2">
        <v>2</v>
      </c>
      <c r="F1017" s="2" t="s">
        <v>5</v>
      </c>
      <c r="G1017" s="2">
        <v>233.80000000017299</v>
      </c>
      <c r="H1017" s="2" t="s">
        <v>8</v>
      </c>
      <c r="I1017" s="2">
        <v>123650</v>
      </c>
      <c r="J1017" s="2">
        <v>3000</v>
      </c>
      <c r="K1017" s="2">
        <v>100</v>
      </c>
      <c r="L1017" s="2">
        <v>0</v>
      </c>
      <c r="M1017" s="2">
        <v>572128.77</v>
      </c>
      <c r="N1017">
        <f t="shared" si="19"/>
        <v>696012.57000000018</v>
      </c>
      <c r="O1017" s="2" t="s">
        <v>5</v>
      </c>
    </row>
    <row r="1018" spans="1:15" x14ac:dyDescent="0.2">
      <c r="A1018">
        <v>63</v>
      </c>
      <c r="B1018">
        <v>5</v>
      </c>
      <c r="C1018">
        <v>7</v>
      </c>
      <c r="D1018" s="2">
        <v>2</v>
      </c>
      <c r="E1018" s="2">
        <v>3</v>
      </c>
      <c r="F1018" s="2" t="s">
        <v>5</v>
      </c>
      <c r="G1018" s="2">
        <v>359.799999999666</v>
      </c>
      <c r="H1018" s="2" t="s">
        <v>8</v>
      </c>
      <c r="I1018" s="2">
        <v>395599.00000000099</v>
      </c>
      <c r="J1018" s="2">
        <v>3000</v>
      </c>
      <c r="K1018" s="2">
        <v>100</v>
      </c>
      <c r="L1018" s="2">
        <v>0</v>
      </c>
      <c r="M1018" s="2">
        <v>558089.56999999995</v>
      </c>
      <c r="N1018">
        <f t="shared" si="19"/>
        <v>954048.37000000058</v>
      </c>
      <c r="O1018" s="2" t="s">
        <v>4</v>
      </c>
    </row>
    <row r="1019" spans="1:15" x14ac:dyDescent="0.2">
      <c r="A1019">
        <v>64</v>
      </c>
      <c r="B1019">
        <v>5</v>
      </c>
      <c r="C1019">
        <v>8</v>
      </c>
      <c r="D1019" s="2">
        <v>2</v>
      </c>
      <c r="E1019" s="2">
        <v>1</v>
      </c>
      <c r="F1019" s="2" t="s">
        <v>5</v>
      </c>
      <c r="G1019" s="2">
        <v>274.00000000028501</v>
      </c>
      <c r="H1019" s="2" t="s">
        <v>8</v>
      </c>
      <c r="I1019" s="2">
        <v>279384</v>
      </c>
      <c r="J1019" s="2">
        <v>3000</v>
      </c>
      <c r="K1019" s="2">
        <v>100</v>
      </c>
      <c r="L1019" s="2">
        <v>0</v>
      </c>
      <c r="M1019" s="2">
        <v>528328.77</v>
      </c>
      <c r="N1019">
        <f t="shared" si="19"/>
        <v>807986.77000000025</v>
      </c>
      <c r="O1019" s="2" t="s">
        <v>5</v>
      </c>
    </row>
    <row r="1020" spans="1:15" x14ac:dyDescent="0.2">
      <c r="A1020">
        <v>65</v>
      </c>
      <c r="B1020">
        <v>5</v>
      </c>
      <c r="C1020">
        <v>8</v>
      </c>
      <c r="D1020" s="2">
        <v>2</v>
      </c>
      <c r="E1020" s="2">
        <v>2</v>
      </c>
      <c r="F1020" s="2" t="s">
        <v>5</v>
      </c>
      <c r="G1020" s="2">
        <v>271.20000000024902</v>
      </c>
      <c r="H1020" s="2" t="s">
        <v>8</v>
      </c>
      <c r="I1020" s="2">
        <v>345789</v>
      </c>
      <c r="J1020" s="2">
        <v>3000</v>
      </c>
      <c r="K1020" s="2">
        <v>100</v>
      </c>
      <c r="L1020" s="2">
        <v>0</v>
      </c>
      <c r="M1020" s="2">
        <v>577348.77</v>
      </c>
      <c r="N1020">
        <f t="shared" si="19"/>
        <v>923408.9700000002</v>
      </c>
      <c r="O1020" s="2" t="s">
        <v>5</v>
      </c>
    </row>
    <row r="1021" spans="1:15" x14ac:dyDescent="0.2">
      <c r="A1021">
        <v>66</v>
      </c>
      <c r="B1021">
        <v>5</v>
      </c>
      <c r="C1021">
        <v>8</v>
      </c>
      <c r="D1021" s="2">
        <v>2</v>
      </c>
      <c r="E1021" s="2">
        <v>3</v>
      </c>
      <c r="F1021" s="2" t="s">
        <v>5</v>
      </c>
      <c r="G1021" s="2">
        <v>390.99999999976399</v>
      </c>
      <c r="H1021" s="2" t="s">
        <v>8</v>
      </c>
      <c r="I1021" s="2">
        <v>1149315</v>
      </c>
      <c r="J1021" s="2">
        <v>3000</v>
      </c>
      <c r="K1021" s="2">
        <v>100</v>
      </c>
      <c r="L1021" s="2">
        <v>0</v>
      </c>
      <c r="M1021" s="2">
        <v>582268.37</v>
      </c>
      <c r="N1021">
        <f t="shared" si="19"/>
        <v>1731974.3699999996</v>
      </c>
      <c r="O1021" s="2" t="s">
        <v>4</v>
      </c>
    </row>
    <row r="1022" spans="1:15" x14ac:dyDescent="0.2">
      <c r="A1022">
        <v>67</v>
      </c>
      <c r="B1022">
        <v>5</v>
      </c>
      <c r="C1022">
        <v>7</v>
      </c>
      <c r="D1022" s="2">
        <v>2</v>
      </c>
      <c r="E1022" s="2">
        <v>1</v>
      </c>
      <c r="F1022" s="2" t="s">
        <v>5</v>
      </c>
      <c r="G1022" s="2">
        <v>210.20000000007099</v>
      </c>
      <c r="H1022" s="2" t="s">
        <v>8</v>
      </c>
      <c r="I1022" s="2">
        <v>176762</v>
      </c>
      <c r="J1022" s="2">
        <v>3000</v>
      </c>
      <c r="K1022" s="2">
        <v>100</v>
      </c>
      <c r="L1022" s="2">
        <v>0</v>
      </c>
      <c r="M1022" s="2">
        <v>561327.97</v>
      </c>
      <c r="N1022">
        <f t="shared" si="19"/>
        <v>738300.17</v>
      </c>
      <c r="O1022" s="2" t="s">
        <v>5</v>
      </c>
    </row>
    <row r="1023" spans="1:15" x14ac:dyDescent="0.2">
      <c r="A1023">
        <v>68</v>
      </c>
      <c r="B1023">
        <v>5</v>
      </c>
      <c r="C1023">
        <v>7</v>
      </c>
      <c r="D1023" s="2">
        <v>2</v>
      </c>
      <c r="E1023" s="2">
        <v>2</v>
      </c>
      <c r="F1023" s="2" t="s">
        <v>5</v>
      </c>
      <c r="G1023" s="2">
        <v>210.00000000022101</v>
      </c>
      <c r="H1023" s="2" t="s">
        <v>8</v>
      </c>
      <c r="I1023" s="2">
        <v>175160</v>
      </c>
      <c r="J1023" s="2">
        <v>3000</v>
      </c>
      <c r="K1023" s="2">
        <v>100</v>
      </c>
      <c r="L1023" s="2">
        <v>0</v>
      </c>
      <c r="M1023" s="2">
        <v>513567.17</v>
      </c>
      <c r="N1023">
        <f t="shared" si="19"/>
        <v>688937.17000000016</v>
      </c>
      <c r="O1023" s="2" t="s">
        <v>5</v>
      </c>
    </row>
    <row r="1024" spans="1:15" x14ac:dyDescent="0.2">
      <c r="A1024">
        <v>69</v>
      </c>
      <c r="B1024">
        <v>5</v>
      </c>
      <c r="C1024">
        <v>7</v>
      </c>
      <c r="D1024" s="2">
        <v>2</v>
      </c>
      <c r="E1024" s="2">
        <v>3</v>
      </c>
      <c r="F1024" s="2" t="s">
        <v>5</v>
      </c>
      <c r="G1024" s="2">
        <v>292.59999999986502</v>
      </c>
      <c r="H1024" s="2" t="s">
        <v>8</v>
      </c>
      <c r="I1024" s="2">
        <v>386187</v>
      </c>
      <c r="J1024" s="2">
        <v>3000</v>
      </c>
      <c r="K1024" s="2">
        <v>100</v>
      </c>
      <c r="L1024" s="2">
        <v>0</v>
      </c>
      <c r="M1024" s="2">
        <v>500427.17</v>
      </c>
      <c r="N1024">
        <f t="shared" si="19"/>
        <v>886906.76999999979</v>
      </c>
      <c r="O1024" s="2" t="s">
        <v>4</v>
      </c>
    </row>
    <row r="1025" spans="1:15" x14ac:dyDescent="0.2">
      <c r="A1025">
        <v>28</v>
      </c>
      <c r="B1025">
        <v>5</v>
      </c>
      <c r="C1025">
        <v>4</v>
      </c>
      <c r="D1025" s="2">
        <v>2</v>
      </c>
      <c r="E1025" s="2">
        <v>1</v>
      </c>
      <c r="F1025" s="2" t="s">
        <v>5</v>
      </c>
      <c r="G1025" s="2">
        <v>541.19999999961999</v>
      </c>
      <c r="H1025" s="2" t="s">
        <v>8</v>
      </c>
      <c r="I1025" s="2">
        <v>37176.000000000502</v>
      </c>
      <c r="J1025" s="2">
        <v>2000</v>
      </c>
      <c r="K1025" s="2">
        <v>200</v>
      </c>
      <c r="L1025" s="2">
        <v>0</v>
      </c>
      <c r="M1025" s="2">
        <v>550847.97</v>
      </c>
      <c r="N1025">
        <f t="shared" si="18"/>
        <v>588565.17000000004</v>
      </c>
      <c r="O1025" s="9" t="s">
        <v>5</v>
      </c>
    </row>
    <row r="1026" spans="1:15" x14ac:dyDescent="0.2">
      <c r="A1026">
        <v>29</v>
      </c>
      <c r="B1026">
        <v>5</v>
      </c>
      <c r="C1026">
        <v>5</v>
      </c>
      <c r="D1026" s="2">
        <v>2</v>
      </c>
      <c r="E1026" s="2">
        <v>2</v>
      </c>
      <c r="F1026" s="2" t="s">
        <v>5</v>
      </c>
      <c r="G1026" s="2">
        <v>547.39999999959798</v>
      </c>
      <c r="H1026" s="2" t="s">
        <v>8</v>
      </c>
      <c r="I1026" s="2">
        <v>71896.000000000597</v>
      </c>
      <c r="J1026" s="2">
        <v>2000</v>
      </c>
      <c r="K1026" s="2">
        <v>200</v>
      </c>
      <c r="L1026" s="2">
        <v>0</v>
      </c>
      <c r="M1026" s="2">
        <v>577327.17000000004</v>
      </c>
      <c r="N1026">
        <f t="shared" si="18"/>
        <v>649770.5700000003</v>
      </c>
      <c r="O1026" s="9" t="s">
        <v>5</v>
      </c>
    </row>
    <row r="1027" spans="1:15" x14ac:dyDescent="0.2">
      <c r="A1027">
        <v>30</v>
      </c>
      <c r="B1027">
        <v>5</v>
      </c>
      <c r="C1027">
        <v>5</v>
      </c>
      <c r="D1027" s="2">
        <v>2</v>
      </c>
      <c r="E1027" s="2">
        <v>3</v>
      </c>
      <c r="F1027" s="2" t="s">
        <v>5</v>
      </c>
      <c r="G1027" s="2">
        <v>598.60000000000502</v>
      </c>
      <c r="H1027" s="2" t="s">
        <v>8</v>
      </c>
      <c r="I1027" s="2">
        <v>251473</v>
      </c>
      <c r="J1027" s="2">
        <v>2000</v>
      </c>
      <c r="K1027" s="2">
        <v>200</v>
      </c>
      <c r="L1027" s="2">
        <v>0</v>
      </c>
      <c r="M1027" s="2">
        <v>581968.77</v>
      </c>
      <c r="N1027">
        <f t="shared" si="18"/>
        <v>834040.37</v>
      </c>
      <c r="O1027" s="9" t="s">
        <v>4</v>
      </c>
    </row>
    <row r="1028" spans="1:15" x14ac:dyDescent="0.2">
      <c r="A1028">
        <v>31</v>
      </c>
      <c r="B1028">
        <v>5</v>
      </c>
      <c r="C1028">
        <v>5</v>
      </c>
      <c r="D1028" s="2">
        <v>2</v>
      </c>
      <c r="E1028" s="2">
        <v>1</v>
      </c>
      <c r="F1028" s="2" t="s">
        <v>5</v>
      </c>
      <c r="G1028" s="2">
        <v>351.19999999970702</v>
      </c>
      <c r="H1028" s="2" t="s">
        <v>8</v>
      </c>
      <c r="I1028" s="2">
        <v>68826.999999999796</v>
      </c>
      <c r="J1028" s="2">
        <v>2000</v>
      </c>
      <c r="K1028" s="2">
        <v>200</v>
      </c>
      <c r="L1028" s="2">
        <v>0</v>
      </c>
      <c r="M1028" s="2">
        <v>535607.17000000004</v>
      </c>
      <c r="N1028">
        <f t="shared" si="18"/>
        <v>604785.36999999953</v>
      </c>
      <c r="O1028" s="9" t="s">
        <v>5</v>
      </c>
    </row>
    <row r="1029" spans="1:15" x14ac:dyDescent="0.2">
      <c r="A1029">
        <v>32</v>
      </c>
      <c r="B1029">
        <v>5</v>
      </c>
      <c r="C1029">
        <v>5</v>
      </c>
      <c r="D1029" s="2">
        <v>2</v>
      </c>
      <c r="E1029" s="2">
        <v>2</v>
      </c>
      <c r="F1029" s="2" t="s">
        <v>5</v>
      </c>
      <c r="G1029" s="2">
        <v>356.00000000002302</v>
      </c>
      <c r="H1029" s="2" t="s">
        <v>8</v>
      </c>
      <c r="I1029" s="2">
        <v>64877.000000000102</v>
      </c>
      <c r="J1029" s="2">
        <v>2000</v>
      </c>
      <c r="K1029" s="2">
        <v>200</v>
      </c>
      <c r="L1029" s="2">
        <v>0</v>
      </c>
      <c r="M1029" s="2">
        <v>549487.56999999995</v>
      </c>
      <c r="N1029">
        <f t="shared" si="18"/>
        <v>614720.57000000007</v>
      </c>
      <c r="O1029" s="9" t="s">
        <v>5</v>
      </c>
    </row>
    <row r="1030" spans="1:15" x14ac:dyDescent="0.2">
      <c r="A1030">
        <v>33</v>
      </c>
      <c r="B1030">
        <v>5</v>
      </c>
      <c r="C1030">
        <v>5</v>
      </c>
      <c r="D1030" s="2">
        <v>2</v>
      </c>
      <c r="E1030" s="2">
        <v>3</v>
      </c>
      <c r="F1030" s="2" t="s">
        <v>5</v>
      </c>
      <c r="G1030" s="2">
        <v>485.39999999981399</v>
      </c>
      <c r="H1030" s="2" t="s">
        <v>8</v>
      </c>
      <c r="I1030" s="2">
        <v>255639</v>
      </c>
      <c r="J1030" s="2">
        <v>2000</v>
      </c>
      <c r="K1030" s="2">
        <v>200</v>
      </c>
      <c r="L1030" s="2">
        <v>0</v>
      </c>
      <c r="M1030" s="2">
        <v>625807.17000000004</v>
      </c>
      <c r="N1030">
        <f t="shared" si="18"/>
        <v>881931.56999999983</v>
      </c>
      <c r="O1030" s="9" t="s">
        <v>5</v>
      </c>
    </row>
    <row r="1031" spans="1:15" x14ac:dyDescent="0.2">
      <c r="A1031">
        <v>34</v>
      </c>
      <c r="B1031">
        <v>5</v>
      </c>
      <c r="C1031">
        <v>5</v>
      </c>
      <c r="D1031" s="2">
        <v>2</v>
      </c>
      <c r="E1031" s="2">
        <v>1</v>
      </c>
      <c r="F1031" s="2" t="s">
        <v>5</v>
      </c>
      <c r="G1031" s="2">
        <v>307.60000000000798</v>
      </c>
      <c r="H1031" s="2" t="s">
        <v>8</v>
      </c>
      <c r="I1031" s="2">
        <v>49771.999999999898</v>
      </c>
      <c r="J1031" s="2">
        <v>2000</v>
      </c>
      <c r="K1031" s="2">
        <v>200</v>
      </c>
      <c r="L1031" s="2">
        <v>0</v>
      </c>
      <c r="M1031" s="2">
        <v>629527.17000000004</v>
      </c>
      <c r="N1031">
        <f t="shared" si="18"/>
        <v>679606.7699999999</v>
      </c>
      <c r="O1031" s="9" t="s">
        <v>5</v>
      </c>
    </row>
    <row r="1032" spans="1:15" x14ac:dyDescent="0.2">
      <c r="A1032">
        <v>35</v>
      </c>
      <c r="B1032">
        <v>5</v>
      </c>
      <c r="C1032">
        <v>6</v>
      </c>
      <c r="D1032" s="2">
        <v>2</v>
      </c>
      <c r="E1032" s="2">
        <v>1</v>
      </c>
      <c r="F1032" s="2" t="s">
        <v>5</v>
      </c>
      <c r="G1032" s="2">
        <v>378.80000000036802</v>
      </c>
      <c r="H1032" s="2" t="s">
        <v>8</v>
      </c>
      <c r="I1032" s="2">
        <v>110241</v>
      </c>
      <c r="J1032" s="2">
        <v>2000</v>
      </c>
      <c r="K1032" s="2">
        <v>200</v>
      </c>
      <c r="L1032" s="2">
        <v>0</v>
      </c>
      <c r="M1032" s="2">
        <v>584727.56999999995</v>
      </c>
      <c r="N1032">
        <f t="shared" si="18"/>
        <v>695347.37000000034</v>
      </c>
      <c r="O1032" s="9" t="s">
        <v>5</v>
      </c>
    </row>
    <row r="1033" spans="1:15" x14ac:dyDescent="0.2">
      <c r="A1033">
        <v>36</v>
      </c>
      <c r="B1033">
        <v>5</v>
      </c>
      <c r="C1033">
        <v>6</v>
      </c>
      <c r="D1033" s="2">
        <v>2</v>
      </c>
      <c r="E1033" s="2">
        <v>2</v>
      </c>
      <c r="F1033" s="2" t="s">
        <v>5</v>
      </c>
      <c r="G1033" s="2">
        <v>225.399999999709</v>
      </c>
      <c r="H1033" s="2" t="s">
        <v>8</v>
      </c>
      <c r="I1033" s="2">
        <v>111119</v>
      </c>
      <c r="J1033" s="2">
        <v>2000</v>
      </c>
      <c r="K1033" s="2">
        <v>200</v>
      </c>
      <c r="L1033" s="2">
        <v>0</v>
      </c>
      <c r="M1033" s="2">
        <v>584967.56999999995</v>
      </c>
      <c r="N1033">
        <f t="shared" si="18"/>
        <v>696311.96999999962</v>
      </c>
      <c r="O1033" s="9" t="s">
        <v>5</v>
      </c>
    </row>
    <row r="1034" spans="1:15" x14ac:dyDescent="0.2">
      <c r="A1034">
        <v>37</v>
      </c>
      <c r="B1034">
        <v>5</v>
      </c>
      <c r="C1034">
        <v>6</v>
      </c>
      <c r="D1034" s="2">
        <v>2</v>
      </c>
      <c r="E1034" s="2">
        <v>3</v>
      </c>
      <c r="F1034" s="2" t="s">
        <v>5</v>
      </c>
      <c r="G1034" s="2">
        <v>317.40000000049002</v>
      </c>
      <c r="H1034" s="2" t="s">
        <v>8</v>
      </c>
      <c r="I1034" s="2">
        <v>450438.99999999901</v>
      </c>
      <c r="J1034" s="2">
        <v>2000</v>
      </c>
      <c r="K1034" s="2">
        <v>200</v>
      </c>
      <c r="L1034" s="2">
        <v>0</v>
      </c>
      <c r="M1034" s="2">
        <v>570767.56999999995</v>
      </c>
      <c r="N1034">
        <f t="shared" si="18"/>
        <v>1021523.9699999995</v>
      </c>
      <c r="O1034" s="9" t="s">
        <v>4</v>
      </c>
    </row>
    <row r="1035" spans="1:15" x14ac:dyDescent="0.2">
      <c r="A1035">
        <v>38</v>
      </c>
      <c r="B1035">
        <v>5</v>
      </c>
      <c r="C1035">
        <v>6</v>
      </c>
      <c r="D1035" s="2">
        <v>2</v>
      </c>
      <c r="E1035" s="2">
        <v>1</v>
      </c>
      <c r="F1035" s="2" t="s">
        <v>5</v>
      </c>
      <c r="G1035" s="2">
        <v>206.39999999971801</v>
      </c>
      <c r="H1035" s="2" t="s">
        <v>8</v>
      </c>
      <c r="I1035" s="2">
        <v>136472</v>
      </c>
      <c r="J1035" s="2">
        <v>2000</v>
      </c>
      <c r="K1035" s="2">
        <v>200</v>
      </c>
      <c r="L1035" s="2">
        <v>0</v>
      </c>
      <c r="M1035" s="2">
        <v>547887.17000000004</v>
      </c>
      <c r="N1035">
        <f t="shared" si="18"/>
        <v>684565.56999999983</v>
      </c>
      <c r="O1035" s="9" t="s">
        <v>5</v>
      </c>
    </row>
    <row r="1036" spans="1:15" x14ac:dyDescent="0.2">
      <c r="A1036">
        <v>39</v>
      </c>
      <c r="B1036">
        <v>5</v>
      </c>
      <c r="C1036">
        <v>7</v>
      </c>
      <c r="D1036" s="2">
        <v>2</v>
      </c>
      <c r="E1036" s="2">
        <v>1</v>
      </c>
      <c r="F1036" s="2" t="s">
        <v>5</v>
      </c>
      <c r="G1036" s="2">
        <v>257.600000000124</v>
      </c>
      <c r="H1036" s="2" t="s">
        <v>8</v>
      </c>
      <c r="I1036" s="2">
        <v>207379</v>
      </c>
      <c r="J1036" s="2">
        <v>2000</v>
      </c>
      <c r="K1036" s="2">
        <v>200</v>
      </c>
      <c r="L1036" s="2">
        <v>0</v>
      </c>
      <c r="M1036" s="2">
        <v>622526.77</v>
      </c>
      <c r="N1036">
        <f t="shared" si="18"/>
        <v>830163.37000000011</v>
      </c>
      <c r="O1036" s="9" t="s">
        <v>5</v>
      </c>
    </row>
    <row r="1037" spans="1:15" x14ac:dyDescent="0.2">
      <c r="A1037">
        <v>40</v>
      </c>
      <c r="B1037">
        <v>5</v>
      </c>
      <c r="C1037">
        <v>7</v>
      </c>
      <c r="D1037" s="2">
        <v>2</v>
      </c>
      <c r="E1037" s="2">
        <v>2</v>
      </c>
      <c r="F1037" s="2" t="s">
        <v>5</v>
      </c>
      <c r="G1037" s="2">
        <v>242.59999999962599</v>
      </c>
      <c r="H1037" s="2" t="s">
        <v>8</v>
      </c>
      <c r="I1037" s="2">
        <v>197622</v>
      </c>
      <c r="J1037" s="2">
        <v>2000</v>
      </c>
      <c r="K1037" s="2">
        <v>200</v>
      </c>
      <c r="L1037" s="2">
        <v>0</v>
      </c>
      <c r="M1037" s="2">
        <v>554527.97</v>
      </c>
      <c r="N1037">
        <f t="shared" si="18"/>
        <v>752392.5699999996</v>
      </c>
      <c r="O1037" s="9" t="s">
        <v>5</v>
      </c>
    </row>
    <row r="1038" spans="1:15" x14ac:dyDescent="0.2">
      <c r="A1038">
        <v>41</v>
      </c>
      <c r="B1038">
        <v>5</v>
      </c>
      <c r="C1038">
        <v>7</v>
      </c>
      <c r="D1038" s="2">
        <v>2</v>
      </c>
      <c r="E1038" s="2">
        <v>3</v>
      </c>
      <c r="F1038" s="2" t="s">
        <v>5</v>
      </c>
      <c r="G1038" s="2">
        <v>354.20000000030399</v>
      </c>
      <c r="H1038" s="2" t="s">
        <v>8</v>
      </c>
      <c r="I1038" s="2">
        <v>1010568</v>
      </c>
      <c r="J1038" s="2">
        <v>2000</v>
      </c>
      <c r="K1038" s="2">
        <v>200</v>
      </c>
      <c r="L1038" s="2">
        <v>0</v>
      </c>
      <c r="M1038" s="2">
        <v>612527.97</v>
      </c>
      <c r="N1038">
        <f t="shared" si="18"/>
        <v>1623450.1700000004</v>
      </c>
      <c r="O1038" s="9" t="s">
        <v>5</v>
      </c>
    </row>
    <row r="1039" spans="1:15" x14ac:dyDescent="0.2">
      <c r="A1039">
        <v>42</v>
      </c>
      <c r="B1039">
        <v>5</v>
      </c>
      <c r="C1039">
        <v>4</v>
      </c>
      <c r="D1039" s="2">
        <v>2</v>
      </c>
      <c r="E1039" s="2">
        <v>1</v>
      </c>
      <c r="F1039" s="2" t="s">
        <v>5</v>
      </c>
      <c r="G1039" s="2">
        <v>129.800000000202</v>
      </c>
      <c r="H1039" s="2" t="s">
        <v>8</v>
      </c>
      <c r="I1039" s="2">
        <v>33082.000000000298</v>
      </c>
      <c r="J1039" s="2">
        <v>2000</v>
      </c>
      <c r="K1039" s="2">
        <v>200</v>
      </c>
      <c r="L1039" s="2">
        <v>0</v>
      </c>
      <c r="M1039" s="2">
        <v>568647.97</v>
      </c>
      <c r="N1039">
        <f t="shared" si="18"/>
        <v>601859.77000000048</v>
      </c>
      <c r="O1039" s="9" t="s">
        <v>5</v>
      </c>
    </row>
    <row r="1040" spans="1:15" x14ac:dyDescent="0.2">
      <c r="A1040">
        <v>43</v>
      </c>
      <c r="B1040">
        <v>5</v>
      </c>
      <c r="C1040">
        <v>5</v>
      </c>
      <c r="D1040" s="2">
        <v>2</v>
      </c>
      <c r="E1040" s="2">
        <v>1</v>
      </c>
      <c r="F1040" s="2" t="s">
        <v>5</v>
      </c>
      <c r="G1040" s="2">
        <v>157.00000000009601</v>
      </c>
      <c r="H1040" s="2" t="s">
        <v>8</v>
      </c>
      <c r="I1040" s="2">
        <v>50701.000000000102</v>
      </c>
      <c r="J1040" s="2">
        <v>2000</v>
      </c>
      <c r="K1040" s="2">
        <v>200</v>
      </c>
      <c r="L1040" s="2">
        <v>0</v>
      </c>
      <c r="M1040" s="2">
        <v>554847.17000000004</v>
      </c>
      <c r="N1040">
        <f t="shared" si="18"/>
        <v>605705.17000000027</v>
      </c>
      <c r="O1040" s="9" t="s">
        <v>5</v>
      </c>
    </row>
    <row r="1041" spans="1:15" x14ac:dyDescent="0.2">
      <c r="A1041">
        <v>44</v>
      </c>
      <c r="B1041">
        <v>5</v>
      </c>
      <c r="C1041">
        <v>5</v>
      </c>
      <c r="D1041" s="2">
        <v>2</v>
      </c>
      <c r="E1041" s="2">
        <v>2</v>
      </c>
      <c r="F1041" s="2" t="s">
        <v>5</v>
      </c>
      <c r="G1041" s="2">
        <v>156.599999999685</v>
      </c>
      <c r="H1041" s="2" t="s">
        <v>8</v>
      </c>
      <c r="I1041" s="2">
        <v>66129.000000000102</v>
      </c>
      <c r="J1041" s="2">
        <v>2000</v>
      </c>
      <c r="K1041" s="2">
        <v>200</v>
      </c>
      <c r="L1041" s="2">
        <v>0</v>
      </c>
      <c r="M1041" s="2">
        <v>556527.56999999995</v>
      </c>
      <c r="N1041">
        <f t="shared" si="18"/>
        <v>622813.16999999969</v>
      </c>
      <c r="O1041" s="9" t="s">
        <v>5</v>
      </c>
    </row>
    <row r="1042" spans="1:15" x14ac:dyDescent="0.2">
      <c r="A1042">
        <v>45</v>
      </c>
      <c r="B1042">
        <v>5</v>
      </c>
      <c r="C1042">
        <v>5</v>
      </c>
      <c r="D1042" s="2">
        <v>2</v>
      </c>
      <c r="E1042" s="2">
        <v>3</v>
      </c>
      <c r="F1042" s="2" t="s">
        <v>5</v>
      </c>
      <c r="G1042" s="2">
        <v>211.00000000018301</v>
      </c>
      <c r="H1042" s="2" t="s">
        <v>8</v>
      </c>
      <c r="I1042" s="2">
        <v>256781.99999999901</v>
      </c>
      <c r="J1042" s="2">
        <v>2000</v>
      </c>
      <c r="K1042" s="2">
        <v>200</v>
      </c>
      <c r="L1042" s="2">
        <v>0</v>
      </c>
      <c r="M1042" s="2">
        <v>560526.77</v>
      </c>
      <c r="N1042">
        <f t="shared" si="18"/>
        <v>817519.7699999992</v>
      </c>
      <c r="O1042" s="9" t="s">
        <v>4</v>
      </c>
    </row>
    <row r="1043" spans="1:15" x14ac:dyDescent="0.2">
      <c r="A1043">
        <v>46</v>
      </c>
      <c r="B1043">
        <v>5</v>
      </c>
      <c r="C1043">
        <v>6</v>
      </c>
      <c r="D1043" s="2">
        <v>2</v>
      </c>
      <c r="E1043" s="2">
        <v>1</v>
      </c>
      <c r="F1043" s="2" t="s">
        <v>5</v>
      </c>
      <c r="G1043" s="2">
        <v>189.400000000006</v>
      </c>
      <c r="H1043" s="2" t="s">
        <v>8</v>
      </c>
      <c r="I1043" s="2">
        <v>193839</v>
      </c>
      <c r="J1043" s="2">
        <v>2000</v>
      </c>
      <c r="K1043" s="2">
        <v>200</v>
      </c>
      <c r="L1043" s="2">
        <v>0</v>
      </c>
      <c r="M1043" s="2">
        <v>565648.37</v>
      </c>
      <c r="N1043">
        <f t="shared" si="18"/>
        <v>759676.77</v>
      </c>
      <c r="O1043" s="9" t="s">
        <v>5</v>
      </c>
    </row>
    <row r="1044" spans="1:15" x14ac:dyDescent="0.2">
      <c r="A1044">
        <v>47</v>
      </c>
      <c r="B1044">
        <v>5</v>
      </c>
      <c r="C1044">
        <v>6</v>
      </c>
      <c r="D1044" s="2">
        <v>2</v>
      </c>
      <c r="E1044" s="2">
        <v>2</v>
      </c>
      <c r="F1044" s="2" t="s">
        <v>5</v>
      </c>
      <c r="G1044" s="2">
        <v>193.80000000026601</v>
      </c>
      <c r="H1044" s="2" t="s">
        <v>8</v>
      </c>
      <c r="I1044" s="2">
        <v>113693.999999999</v>
      </c>
      <c r="J1044" s="2">
        <v>2000</v>
      </c>
      <c r="K1044" s="2">
        <v>200</v>
      </c>
      <c r="L1044" s="2">
        <v>0</v>
      </c>
      <c r="M1044" s="2">
        <v>556807.17000000004</v>
      </c>
      <c r="N1044">
        <f t="shared" si="18"/>
        <v>670694.96999999927</v>
      </c>
      <c r="O1044" s="9" t="s">
        <v>5</v>
      </c>
    </row>
    <row r="1045" spans="1:15" x14ac:dyDescent="0.2">
      <c r="A1045">
        <v>48</v>
      </c>
      <c r="B1045">
        <v>5</v>
      </c>
      <c r="C1045">
        <v>6</v>
      </c>
      <c r="D1045" s="2">
        <v>2</v>
      </c>
      <c r="E1045" s="2">
        <v>3</v>
      </c>
      <c r="F1045" s="2" t="s">
        <v>5</v>
      </c>
      <c r="G1045" s="2">
        <v>249.79999999992199</v>
      </c>
      <c r="H1045" s="2" t="s">
        <v>8</v>
      </c>
      <c r="I1045" s="2">
        <v>251965</v>
      </c>
      <c r="J1045" s="2">
        <v>2000</v>
      </c>
      <c r="K1045" s="2">
        <v>200</v>
      </c>
      <c r="L1045" s="2">
        <v>0</v>
      </c>
      <c r="M1045" s="2">
        <v>642728.37</v>
      </c>
      <c r="N1045">
        <f t="shared" si="18"/>
        <v>894943.16999999993</v>
      </c>
      <c r="O1045" s="9" t="s">
        <v>5</v>
      </c>
    </row>
    <row r="1046" spans="1:15" x14ac:dyDescent="0.2">
      <c r="A1046">
        <v>49</v>
      </c>
      <c r="B1046">
        <v>5</v>
      </c>
      <c r="C1046">
        <v>6</v>
      </c>
      <c r="D1046" s="2">
        <v>2</v>
      </c>
      <c r="E1046" s="2">
        <v>1</v>
      </c>
      <c r="F1046" s="2" t="s">
        <v>5</v>
      </c>
      <c r="G1046" s="2">
        <v>183.19999999931699</v>
      </c>
      <c r="H1046" s="2" t="s">
        <v>8</v>
      </c>
      <c r="I1046" s="2">
        <v>102215.999999999</v>
      </c>
      <c r="J1046" s="2">
        <v>2000</v>
      </c>
      <c r="K1046" s="2">
        <v>200</v>
      </c>
      <c r="L1046" s="2">
        <v>0</v>
      </c>
      <c r="M1046" s="2">
        <v>584287.97</v>
      </c>
      <c r="N1046">
        <f t="shared" si="18"/>
        <v>686687.1699999983</v>
      </c>
      <c r="O1046" s="9" t="s">
        <v>5</v>
      </c>
    </row>
    <row r="1047" spans="1:15" x14ac:dyDescent="0.2">
      <c r="A1047">
        <v>50</v>
      </c>
      <c r="B1047">
        <v>5</v>
      </c>
      <c r="C1047">
        <v>6</v>
      </c>
      <c r="D1047" s="2">
        <v>2</v>
      </c>
      <c r="E1047" s="2">
        <v>2</v>
      </c>
      <c r="F1047" s="2" t="s">
        <v>5</v>
      </c>
      <c r="G1047" s="2">
        <v>190.800000000024</v>
      </c>
      <c r="H1047" s="2" t="s">
        <v>8</v>
      </c>
      <c r="I1047" s="2">
        <v>146021.99999999901</v>
      </c>
      <c r="J1047" s="2">
        <v>2000</v>
      </c>
      <c r="K1047" s="2">
        <v>200</v>
      </c>
      <c r="L1047" s="2">
        <v>0</v>
      </c>
      <c r="M1047" s="2">
        <v>550287.56999999995</v>
      </c>
      <c r="N1047">
        <f t="shared" si="18"/>
        <v>696500.36999999895</v>
      </c>
      <c r="O1047" s="9" t="s">
        <v>5</v>
      </c>
    </row>
    <row r="1048" spans="1:15" x14ac:dyDescent="0.2">
      <c r="A1048">
        <v>51</v>
      </c>
      <c r="B1048">
        <v>5</v>
      </c>
      <c r="C1048">
        <v>6</v>
      </c>
      <c r="D1048" s="2">
        <v>2</v>
      </c>
      <c r="E1048" s="2">
        <v>3</v>
      </c>
      <c r="F1048" s="2" t="s">
        <v>5</v>
      </c>
      <c r="G1048" s="2">
        <v>252.19999999990301</v>
      </c>
      <c r="H1048" s="2" t="s">
        <v>8</v>
      </c>
      <c r="I1048" s="2">
        <v>203922</v>
      </c>
      <c r="J1048" s="2">
        <v>2000</v>
      </c>
      <c r="K1048" s="2">
        <v>200</v>
      </c>
      <c r="L1048" s="2">
        <v>0</v>
      </c>
      <c r="M1048" s="2">
        <v>580726.77</v>
      </c>
      <c r="N1048">
        <f t="shared" si="18"/>
        <v>784900.97</v>
      </c>
      <c r="O1048" s="9" t="s">
        <v>4</v>
      </c>
    </row>
    <row r="1049" spans="1:15" x14ac:dyDescent="0.2">
      <c r="A1049">
        <v>52</v>
      </c>
      <c r="B1049">
        <v>5</v>
      </c>
      <c r="C1049">
        <v>7</v>
      </c>
      <c r="D1049" s="2">
        <v>2</v>
      </c>
      <c r="E1049" s="2">
        <v>1</v>
      </c>
      <c r="F1049" s="2" t="s">
        <v>5</v>
      </c>
      <c r="G1049" s="2">
        <v>219.40000000029201</v>
      </c>
      <c r="H1049" s="2" t="s">
        <v>8</v>
      </c>
      <c r="I1049" s="2">
        <v>251747</v>
      </c>
      <c r="J1049" s="2">
        <v>2000</v>
      </c>
      <c r="K1049" s="2">
        <v>200</v>
      </c>
      <c r="L1049" s="2">
        <v>0</v>
      </c>
      <c r="M1049" s="2">
        <v>551807.17000000004</v>
      </c>
      <c r="N1049">
        <f t="shared" si="18"/>
        <v>803773.5700000003</v>
      </c>
      <c r="O1049" s="9" t="s">
        <v>5</v>
      </c>
    </row>
    <row r="1050" spans="1:15" x14ac:dyDescent="0.2">
      <c r="A1050">
        <v>53</v>
      </c>
      <c r="B1050">
        <v>5</v>
      </c>
      <c r="C1050">
        <v>7</v>
      </c>
      <c r="D1050" s="2">
        <v>2</v>
      </c>
      <c r="E1050" s="2">
        <v>2</v>
      </c>
      <c r="F1050" s="2" t="s">
        <v>5</v>
      </c>
      <c r="G1050" s="2">
        <v>218.80000000038501</v>
      </c>
      <c r="H1050" s="2" t="s">
        <v>8</v>
      </c>
      <c r="I1050" s="2">
        <v>209296.99999999901</v>
      </c>
      <c r="J1050" s="2">
        <v>2000</v>
      </c>
      <c r="K1050" s="2">
        <v>200</v>
      </c>
      <c r="L1050" s="2">
        <v>0</v>
      </c>
      <c r="M1050" s="2">
        <v>587647.56999999995</v>
      </c>
      <c r="N1050">
        <f t="shared" si="18"/>
        <v>797163.36999999941</v>
      </c>
      <c r="O1050" s="9" t="s">
        <v>5</v>
      </c>
    </row>
    <row r="1051" spans="1:15" x14ac:dyDescent="0.2">
      <c r="A1051">
        <v>54</v>
      </c>
      <c r="B1051">
        <v>5</v>
      </c>
      <c r="C1051">
        <v>7</v>
      </c>
      <c r="D1051" s="2">
        <v>2</v>
      </c>
      <c r="E1051" s="2">
        <v>3</v>
      </c>
      <c r="F1051" s="2" t="s">
        <v>5</v>
      </c>
      <c r="G1051" s="2">
        <v>306.40000000019501</v>
      </c>
      <c r="H1051" s="2" t="s">
        <v>8</v>
      </c>
      <c r="I1051" s="2">
        <v>515255</v>
      </c>
      <c r="J1051" s="2">
        <v>2000</v>
      </c>
      <c r="K1051" s="2">
        <v>200</v>
      </c>
      <c r="L1051" s="2">
        <v>0</v>
      </c>
      <c r="M1051" s="2">
        <v>594245.97</v>
      </c>
      <c r="N1051">
        <f t="shared" si="18"/>
        <v>1109807.3700000001</v>
      </c>
      <c r="O1051" s="9" t="s">
        <v>4</v>
      </c>
    </row>
    <row r="1052" spans="1:15" x14ac:dyDescent="0.2">
      <c r="A1052">
        <v>55</v>
      </c>
      <c r="B1052">
        <v>5</v>
      </c>
      <c r="C1052">
        <v>5</v>
      </c>
      <c r="D1052" s="2">
        <v>2</v>
      </c>
      <c r="E1052" s="2">
        <v>1</v>
      </c>
      <c r="F1052" s="2" t="s">
        <v>5</v>
      </c>
      <c r="G1052" s="2">
        <v>140.60000000064599</v>
      </c>
      <c r="H1052" s="2" t="s">
        <v>8</v>
      </c>
      <c r="I1052" s="2">
        <v>51733.999999999702</v>
      </c>
      <c r="J1052" s="2">
        <v>2000</v>
      </c>
      <c r="K1052" s="2">
        <v>200</v>
      </c>
      <c r="L1052" s="2">
        <v>0</v>
      </c>
      <c r="M1052" s="2">
        <v>567407.17000000004</v>
      </c>
      <c r="N1052">
        <f t="shared" si="18"/>
        <v>619281.77000000037</v>
      </c>
      <c r="O1052" s="9" t="s">
        <v>5</v>
      </c>
    </row>
    <row r="1053" spans="1:15" x14ac:dyDescent="0.2">
      <c r="A1053">
        <v>56</v>
      </c>
      <c r="B1053">
        <v>5</v>
      </c>
      <c r="C1053">
        <v>5</v>
      </c>
      <c r="D1053" s="2">
        <v>2</v>
      </c>
      <c r="E1053" s="2">
        <v>2</v>
      </c>
      <c r="F1053" s="2" t="s">
        <v>5</v>
      </c>
      <c r="G1053" s="2">
        <v>137.60000000004899</v>
      </c>
      <c r="H1053" s="2" t="s">
        <v>8</v>
      </c>
      <c r="I1053" s="2">
        <v>57291.000000001099</v>
      </c>
      <c r="J1053" s="2">
        <v>2000</v>
      </c>
      <c r="K1053" s="2">
        <v>200</v>
      </c>
      <c r="L1053" s="2">
        <v>0</v>
      </c>
      <c r="M1053" s="2">
        <v>540367.56999999995</v>
      </c>
      <c r="N1053">
        <f t="shared" si="18"/>
        <v>597796.17000000109</v>
      </c>
      <c r="O1053" s="9" t="s">
        <v>5</v>
      </c>
    </row>
    <row r="1054" spans="1:15" x14ac:dyDescent="0.2">
      <c r="A1054">
        <v>57</v>
      </c>
      <c r="B1054">
        <v>5</v>
      </c>
      <c r="C1054">
        <v>5</v>
      </c>
      <c r="D1054" s="2">
        <v>2</v>
      </c>
      <c r="E1054" s="2">
        <v>3</v>
      </c>
      <c r="F1054" s="2" t="s">
        <v>5</v>
      </c>
      <c r="G1054" s="2">
        <v>183.39999999987799</v>
      </c>
      <c r="H1054" s="2" t="s">
        <v>8</v>
      </c>
      <c r="I1054" s="2">
        <v>96692.000000000902</v>
      </c>
      <c r="J1054" s="2">
        <v>2000</v>
      </c>
      <c r="K1054" s="2">
        <v>200</v>
      </c>
      <c r="L1054" s="2">
        <v>0</v>
      </c>
      <c r="M1054" s="2">
        <v>630247.17000000004</v>
      </c>
      <c r="N1054">
        <f t="shared" si="18"/>
        <v>727122.57000000076</v>
      </c>
      <c r="O1054" s="9" t="s">
        <v>5</v>
      </c>
    </row>
    <row r="1055" spans="1:15" x14ac:dyDescent="0.2">
      <c r="A1055">
        <v>58</v>
      </c>
      <c r="B1055">
        <v>5</v>
      </c>
      <c r="C1055">
        <v>6</v>
      </c>
      <c r="D1055" s="2">
        <v>2</v>
      </c>
      <c r="E1055" s="2">
        <v>1</v>
      </c>
      <c r="F1055" s="2" t="s">
        <v>5</v>
      </c>
      <c r="G1055" s="2">
        <v>215.599999999228</v>
      </c>
      <c r="H1055" s="2" t="s">
        <v>8</v>
      </c>
      <c r="I1055" s="2">
        <v>86040.000000000597</v>
      </c>
      <c r="J1055" s="2">
        <v>2000</v>
      </c>
      <c r="K1055" s="2">
        <v>200</v>
      </c>
      <c r="L1055" s="2">
        <v>0</v>
      </c>
      <c r="M1055" s="2">
        <v>574247.17000000004</v>
      </c>
      <c r="N1055">
        <f t="shared" si="18"/>
        <v>660502.7699999999</v>
      </c>
      <c r="O1055" s="9" t="s">
        <v>5</v>
      </c>
    </row>
    <row r="1056" spans="1:15" x14ac:dyDescent="0.2">
      <c r="A1056">
        <v>59</v>
      </c>
      <c r="B1056">
        <v>5</v>
      </c>
      <c r="C1056">
        <v>6</v>
      </c>
      <c r="D1056" s="2">
        <v>2</v>
      </c>
      <c r="E1056" s="2">
        <v>2</v>
      </c>
      <c r="F1056" s="2" t="s">
        <v>5</v>
      </c>
      <c r="G1056" s="2">
        <v>212.39999999984599</v>
      </c>
      <c r="H1056" s="2" t="s">
        <v>8</v>
      </c>
      <c r="I1056" s="2">
        <v>68540.000000000495</v>
      </c>
      <c r="J1056" s="2">
        <v>2000</v>
      </c>
      <c r="K1056" s="2">
        <v>200</v>
      </c>
      <c r="L1056" s="2">
        <v>0</v>
      </c>
      <c r="M1056" s="2">
        <v>536006.77</v>
      </c>
      <c r="N1056">
        <f t="shared" si="18"/>
        <v>604759.17000000039</v>
      </c>
      <c r="O1056" s="9" t="s">
        <v>5</v>
      </c>
    </row>
    <row r="1057" spans="1:15" x14ac:dyDescent="0.2">
      <c r="A1057">
        <v>60</v>
      </c>
      <c r="B1057">
        <v>5</v>
      </c>
      <c r="C1057">
        <v>6</v>
      </c>
      <c r="D1057" s="2">
        <v>2</v>
      </c>
      <c r="E1057" s="2">
        <v>3</v>
      </c>
      <c r="F1057" s="2" t="s">
        <v>5</v>
      </c>
      <c r="G1057" s="2">
        <v>288.40000000016602</v>
      </c>
      <c r="H1057" s="2" t="s">
        <v>8</v>
      </c>
      <c r="I1057" s="2">
        <v>278874.99999999901</v>
      </c>
      <c r="J1057" s="2">
        <v>2000</v>
      </c>
      <c r="K1057" s="2">
        <v>200</v>
      </c>
      <c r="L1057" s="2">
        <v>0</v>
      </c>
      <c r="M1057" s="2">
        <v>560248.37</v>
      </c>
      <c r="N1057">
        <f t="shared" si="18"/>
        <v>839411.76999999909</v>
      </c>
      <c r="O1057" s="9" t="s">
        <v>5</v>
      </c>
    </row>
    <row r="1058" spans="1:15" x14ac:dyDescent="0.2">
      <c r="A1058">
        <v>61</v>
      </c>
      <c r="B1058">
        <v>5</v>
      </c>
      <c r="C1058">
        <v>7</v>
      </c>
      <c r="D1058" s="2">
        <v>2</v>
      </c>
      <c r="E1058" s="2">
        <v>1</v>
      </c>
      <c r="F1058" s="2" t="s">
        <v>5</v>
      </c>
      <c r="G1058" s="2">
        <v>230.60000000043601</v>
      </c>
      <c r="H1058" s="2" t="s">
        <v>8</v>
      </c>
      <c r="I1058" s="2">
        <v>161028</v>
      </c>
      <c r="J1058" s="2">
        <v>2000</v>
      </c>
      <c r="K1058" s="2">
        <v>200</v>
      </c>
      <c r="L1058" s="2">
        <v>0</v>
      </c>
      <c r="M1058" s="2">
        <v>637727.17000000004</v>
      </c>
      <c r="N1058">
        <f t="shared" si="18"/>
        <v>798985.77000000048</v>
      </c>
      <c r="O1058" s="9" t="s">
        <v>5</v>
      </c>
    </row>
    <row r="1059" spans="1:15" x14ac:dyDescent="0.2">
      <c r="A1059">
        <v>62</v>
      </c>
      <c r="B1059">
        <v>5</v>
      </c>
      <c r="C1059">
        <v>7</v>
      </c>
      <c r="D1059" s="2">
        <v>2</v>
      </c>
      <c r="E1059" s="2">
        <v>2</v>
      </c>
      <c r="F1059" s="2" t="s">
        <v>5</v>
      </c>
      <c r="G1059" s="2">
        <v>233.80000000017299</v>
      </c>
      <c r="H1059" s="2" t="s">
        <v>8</v>
      </c>
      <c r="I1059" s="2">
        <v>123650</v>
      </c>
      <c r="J1059" s="2">
        <v>2000</v>
      </c>
      <c r="K1059" s="2">
        <v>200</v>
      </c>
      <c r="L1059" s="2">
        <v>0</v>
      </c>
      <c r="M1059" s="2">
        <v>586727.56999999995</v>
      </c>
      <c r="N1059">
        <f t="shared" si="18"/>
        <v>710611.37000000011</v>
      </c>
      <c r="O1059" s="9" t="s">
        <v>5</v>
      </c>
    </row>
    <row r="1060" spans="1:15" x14ac:dyDescent="0.2">
      <c r="A1060">
        <v>63</v>
      </c>
      <c r="B1060">
        <v>5</v>
      </c>
      <c r="C1060">
        <v>7</v>
      </c>
      <c r="D1060" s="2">
        <v>2</v>
      </c>
      <c r="E1060" s="2">
        <v>3</v>
      </c>
      <c r="F1060" s="2" t="s">
        <v>5</v>
      </c>
      <c r="G1060" s="2">
        <v>359.799999999666</v>
      </c>
      <c r="H1060" s="2" t="s">
        <v>8</v>
      </c>
      <c r="I1060" s="2">
        <v>395599.00000000099</v>
      </c>
      <c r="J1060" s="2">
        <v>2000</v>
      </c>
      <c r="K1060" s="2">
        <v>200</v>
      </c>
      <c r="L1060" s="2">
        <v>0</v>
      </c>
      <c r="M1060" s="2">
        <v>577369.17000000004</v>
      </c>
      <c r="N1060">
        <f t="shared" si="18"/>
        <v>973327.97000000067</v>
      </c>
      <c r="O1060" s="9" t="s">
        <v>4</v>
      </c>
    </row>
    <row r="1061" spans="1:15" x14ac:dyDescent="0.2">
      <c r="A1061">
        <v>64</v>
      </c>
      <c r="B1061">
        <v>5</v>
      </c>
      <c r="C1061">
        <v>8</v>
      </c>
      <c r="D1061" s="2">
        <v>2</v>
      </c>
      <c r="E1061" s="2">
        <v>1</v>
      </c>
      <c r="F1061" s="2" t="s">
        <v>5</v>
      </c>
      <c r="G1061" s="2">
        <v>274.00000000028501</v>
      </c>
      <c r="H1061" s="2" t="s">
        <v>8</v>
      </c>
      <c r="I1061" s="2">
        <v>279384</v>
      </c>
      <c r="J1061" s="2">
        <v>2000</v>
      </c>
      <c r="K1061" s="2">
        <v>200</v>
      </c>
      <c r="L1061" s="2">
        <v>0</v>
      </c>
      <c r="M1061" s="2">
        <v>557527.97</v>
      </c>
      <c r="N1061">
        <f t="shared" si="18"/>
        <v>837185.9700000002</v>
      </c>
      <c r="O1061" s="9" t="s">
        <v>5</v>
      </c>
    </row>
    <row r="1062" spans="1:15" x14ac:dyDescent="0.2">
      <c r="A1062">
        <v>65</v>
      </c>
      <c r="B1062">
        <v>5</v>
      </c>
      <c r="C1062">
        <v>8</v>
      </c>
      <c r="D1062" s="2">
        <v>2</v>
      </c>
      <c r="E1062" s="2">
        <v>2</v>
      </c>
      <c r="F1062" s="2" t="s">
        <v>5</v>
      </c>
      <c r="G1062" s="2">
        <v>271.20000000024902</v>
      </c>
      <c r="H1062" s="2" t="s">
        <v>8</v>
      </c>
      <c r="I1062" s="2">
        <v>345789</v>
      </c>
      <c r="J1062" s="2">
        <v>2000</v>
      </c>
      <c r="K1062" s="2">
        <v>200</v>
      </c>
      <c r="L1062" s="2">
        <v>0</v>
      </c>
      <c r="M1062" s="2">
        <v>590207.97</v>
      </c>
      <c r="N1062">
        <f t="shared" si="18"/>
        <v>936268.17000000016</v>
      </c>
      <c r="O1062" s="9" t="s">
        <v>5</v>
      </c>
    </row>
    <row r="1063" spans="1:15" x14ac:dyDescent="0.2">
      <c r="A1063">
        <v>66</v>
      </c>
      <c r="B1063">
        <v>5</v>
      </c>
      <c r="C1063">
        <v>8</v>
      </c>
      <c r="D1063" s="2">
        <v>2</v>
      </c>
      <c r="E1063" s="2">
        <v>3</v>
      </c>
      <c r="F1063" s="2" t="s">
        <v>5</v>
      </c>
      <c r="G1063" s="2">
        <v>390.99999999976399</v>
      </c>
      <c r="H1063" s="2" t="s">
        <v>8</v>
      </c>
      <c r="I1063" s="2">
        <v>1149315</v>
      </c>
      <c r="J1063" s="2">
        <v>2000</v>
      </c>
      <c r="K1063" s="2">
        <v>200</v>
      </c>
      <c r="L1063" s="2">
        <v>0</v>
      </c>
      <c r="M1063" s="2">
        <v>593487.56999999995</v>
      </c>
      <c r="N1063">
        <f t="shared" si="18"/>
        <v>1743193.5699999998</v>
      </c>
      <c r="O1063" s="9" t="s">
        <v>4</v>
      </c>
    </row>
    <row r="1064" spans="1:15" x14ac:dyDescent="0.2">
      <c r="A1064">
        <v>67</v>
      </c>
      <c r="B1064">
        <v>5</v>
      </c>
      <c r="C1064">
        <v>7</v>
      </c>
      <c r="D1064" s="2">
        <v>2</v>
      </c>
      <c r="E1064" s="2">
        <v>1</v>
      </c>
      <c r="F1064" s="2" t="s">
        <v>5</v>
      </c>
      <c r="G1064" s="2">
        <v>210.20000000007099</v>
      </c>
      <c r="H1064" s="2" t="s">
        <v>8</v>
      </c>
      <c r="I1064" s="2">
        <v>176762</v>
      </c>
      <c r="J1064" s="2">
        <v>2000</v>
      </c>
      <c r="K1064" s="2">
        <v>200</v>
      </c>
      <c r="L1064" s="2">
        <v>0</v>
      </c>
      <c r="M1064" s="2">
        <v>579527.56999999995</v>
      </c>
      <c r="N1064">
        <f t="shared" si="18"/>
        <v>756499.77</v>
      </c>
      <c r="O1064" s="9" t="s">
        <v>5</v>
      </c>
    </row>
    <row r="1065" spans="1:15" x14ac:dyDescent="0.2">
      <c r="A1065">
        <v>68</v>
      </c>
      <c r="B1065">
        <v>5</v>
      </c>
      <c r="C1065">
        <v>7</v>
      </c>
      <c r="D1065" s="2">
        <v>2</v>
      </c>
      <c r="E1065" s="2">
        <v>2</v>
      </c>
      <c r="F1065" s="2" t="s">
        <v>5</v>
      </c>
      <c r="G1065" s="2">
        <v>210.00000000022101</v>
      </c>
      <c r="H1065" s="2" t="s">
        <v>8</v>
      </c>
      <c r="I1065" s="2">
        <v>175160</v>
      </c>
      <c r="J1065" s="2">
        <v>2000</v>
      </c>
      <c r="K1065" s="2">
        <v>200</v>
      </c>
      <c r="L1065" s="2">
        <v>0</v>
      </c>
      <c r="M1065" s="2">
        <v>547686.77</v>
      </c>
      <c r="N1065">
        <f t="shared" si="18"/>
        <v>723056.77000000025</v>
      </c>
      <c r="O1065" s="9" t="s">
        <v>5</v>
      </c>
    </row>
    <row r="1066" spans="1:15" x14ac:dyDescent="0.2">
      <c r="A1066">
        <v>69</v>
      </c>
      <c r="B1066">
        <v>5</v>
      </c>
      <c r="C1066">
        <v>7</v>
      </c>
      <c r="D1066" s="2">
        <v>2</v>
      </c>
      <c r="E1066" s="2">
        <v>3</v>
      </c>
      <c r="F1066" s="2" t="s">
        <v>5</v>
      </c>
      <c r="G1066" s="2">
        <v>292.59999999986502</v>
      </c>
      <c r="H1066" s="2" t="s">
        <v>8</v>
      </c>
      <c r="I1066" s="2">
        <v>386187</v>
      </c>
      <c r="J1066" s="2">
        <v>2000</v>
      </c>
      <c r="K1066" s="2">
        <v>200</v>
      </c>
      <c r="L1066" s="2">
        <v>0</v>
      </c>
      <c r="M1066" s="2">
        <v>538926.37</v>
      </c>
      <c r="N1066">
        <f t="shared" si="18"/>
        <v>925405.96999999986</v>
      </c>
      <c r="O1066" s="9" t="s">
        <v>5</v>
      </c>
    </row>
    <row r="1067" spans="1:15" x14ac:dyDescent="0.2">
      <c r="A1067">
        <v>28</v>
      </c>
      <c r="B1067">
        <v>5</v>
      </c>
      <c r="C1067">
        <v>4</v>
      </c>
      <c r="D1067" s="2">
        <v>2</v>
      </c>
      <c r="E1067" s="2">
        <v>1</v>
      </c>
      <c r="F1067" s="2" t="s">
        <v>5</v>
      </c>
      <c r="G1067" s="2">
        <v>541.19999999961999</v>
      </c>
      <c r="H1067" s="2" t="s">
        <v>8</v>
      </c>
      <c r="I1067" s="2">
        <v>37176.000000000502</v>
      </c>
      <c r="J1067" s="2">
        <v>1000</v>
      </c>
      <c r="K1067" s="2">
        <v>500</v>
      </c>
      <c r="L1067" s="2">
        <v>0</v>
      </c>
      <c r="M1067" s="2">
        <v>583384.77</v>
      </c>
      <c r="N1067">
        <f t="shared" si="18"/>
        <v>621101.97000000009</v>
      </c>
      <c r="O1067" s="9" t="s">
        <v>5</v>
      </c>
    </row>
    <row r="1068" spans="1:15" x14ac:dyDescent="0.2">
      <c r="A1068">
        <v>29</v>
      </c>
      <c r="B1068">
        <v>5</v>
      </c>
      <c r="C1068">
        <v>5</v>
      </c>
      <c r="D1068" s="2">
        <v>2</v>
      </c>
      <c r="E1068" s="2">
        <v>2</v>
      </c>
      <c r="F1068" s="2" t="s">
        <v>5</v>
      </c>
      <c r="G1068" s="2">
        <v>547.39999999959798</v>
      </c>
      <c r="H1068" s="2" t="s">
        <v>8</v>
      </c>
      <c r="I1068" s="2">
        <v>71896.000000000597</v>
      </c>
      <c r="J1068" s="2">
        <v>1000</v>
      </c>
      <c r="K1068" s="2">
        <v>500</v>
      </c>
      <c r="L1068" s="2">
        <v>0</v>
      </c>
      <c r="M1068" s="2">
        <v>596623.97</v>
      </c>
      <c r="N1068">
        <f t="shared" si="18"/>
        <v>669067.37000000011</v>
      </c>
      <c r="O1068" s="9" t="s">
        <v>5</v>
      </c>
    </row>
    <row r="1069" spans="1:15" x14ac:dyDescent="0.2">
      <c r="A1069">
        <v>30</v>
      </c>
      <c r="B1069">
        <v>5</v>
      </c>
      <c r="C1069">
        <v>5</v>
      </c>
      <c r="D1069" s="2">
        <v>2</v>
      </c>
      <c r="E1069" s="2">
        <v>3</v>
      </c>
      <c r="F1069" s="2" t="s">
        <v>5</v>
      </c>
      <c r="G1069" s="2">
        <v>598.60000000000502</v>
      </c>
      <c r="H1069" s="2" t="s">
        <v>8</v>
      </c>
      <c r="I1069" s="2">
        <v>251473</v>
      </c>
      <c r="J1069" s="2">
        <v>1000</v>
      </c>
      <c r="K1069" s="2">
        <v>500</v>
      </c>
      <c r="L1069" s="2">
        <v>0</v>
      </c>
      <c r="M1069" s="2">
        <v>598944.77</v>
      </c>
      <c r="N1069">
        <f t="shared" si="18"/>
        <v>851016.37</v>
      </c>
      <c r="O1069" s="9" t="s">
        <v>4</v>
      </c>
    </row>
    <row r="1070" spans="1:15" x14ac:dyDescent="0.2">
      <c r="A1070">
        <v>31</v>
      </c>
      <c r="B1070">
        <v>5</v>
      </c>
      <c r="C1070">
        <v>5</v>
      </c>
      <c r="D1070" s="2">
        <v>2</v>
      </c>
      <c r="E1070" s="2">
        <v>1</v>
      </c>
      <c r="F1070" s="2" t="s">
        <v>5</v>
      </c>
      <c r="G1070" s="2">
        <v>351.19999999970702</v>
      </c>
      <c r="H1070" s="2" t="s">
        <v>8</v>
      </c>
      <c r="I1070" s="2">
        <v>68826.999999999796</v>
      </c>
      <c r="J1070" s="2">
        <v>1000</v>
      </c>
      <c r="K1070" s="2">
        <v>500</v>
      </c>
      <c r="L1070" s="2">
        <v>0</v>
      </c>
      <c r="M1070" s="2">
        <v>575764.37</v>
      </c>
      <c r="N1070">
        <f t="shared" si="18"/>
        <v>644942.56999999948</v>
      </c>
      <c r="O1070" s="9" t="s">
        <v>5</v>
      </c>
    </row>
    <row r="1071" spans="1:15" x14ac:dyDescent="0.2">
      <c r="A1071">
        <v>32</v>
      </c>
      <c r="B1071">
        <v>5</v>
      </c>
      <c r="C1071">
        <v>5</v>
      </c>
      <c r="D1071" s="2">
        <v>2</v>
      </c>
      <c r="E1071" s="2">
        <v>2</v>
      </c>
      <c r="F1071" s="2" t="s">
        <v>5</v>
      </c>
      <c r="G1071" s="2">
        <v>356.00000000002302</v>
      </c>
      <c r="H1071" s="2" t="s">
        <v>8</v>
      </c>
      <c r="I1071" s="2">
        <v>64877.000000000102</v>
      </c>
      <c r="J1071" s="2">
        <v>1000</v>
      </c>
      <c r="K1071" s="2">
        <v>500</v>
      </c>
      <c r="L1071" s="2">
        <v>0</v>
      </c>
      <c r="M1071" s="2">
        <v>582704.37</v>
      </c>
      <c r="N1071">
        <f t="shared" ref="N1071:N1108" si="20">G1071+I1071+M1071</f>
        <v>647937.37000000011</v>
      </c>
      <c r="O1071" s="9" t="s">
        <v>5</v>
      </c>
    </row>
    <row r="1072" spans="1:15" x14ac:dyDescent="0.2">
      <c r="A1072">
        <v>33</v>
      </c>
      <c r="B1072">
        <v>5</v>
      </c>
      <c r="C1072">
        <v>5</v>
      </c>
      <c r="D1072" s="2">
        <v>2</v>
      </c>
      <c r="E1072" s="2">
        <v>3</v>
      </c>
      <c r="F1072" s="2" t="s">
        <v>5</v>
      </c>
      <c r="G1072" s="2">
        <v>485.39999999981399</v>
      </c>
      <c r="H1072" s="2" t="s">
        <v>8</v>
      </c>
      <c r="I1072" s="2">
        <v>255639</v>
      </c>
      <c r="J1072" s="2">
        <v>1000</v>
      </c>
      <c r="K1072" s="2">
        <v>500</v>
      </c>
      <c r="L1072" s="2">
        <v>0</v>
      </c>
      <c r="M1072" s="2">
        <v>620863.56999999995</v>
      </c>
      <c r="N1072">
        <f t="shared" si="20"/>
        <v>876987.96999999974</v>
      </c>
      <c r="O1072" s="9" t="s">
        <v>4</v>
      </c>
    </row>
    <row r="1073" spans="1:15" x14ac:dyDescent="0.2">
      <c r="A1073">
        <v>34</v>
      </c>
      <c r="B1073">
        <v>5</v>
      </c>
      <c r="C1073">
        <v>5</v>
      </c>
      <c r="D1073" s="2">
        <v>2</v>
      </c>
      <c r="E1073" s="2">
        <v>1</v>
      </c>
      <c r="F1073" s="2" t="s">
        <v>5</v>
      </c>
      <c r="G1073" s="2">
        <v>307.60000000000798</v>
      </c>
      <c r="H1073" s="2" t="s">
        <v>8</v>
      </c>
      <c r="I1073" s="2">
        <v>49771.999999999898</v>
      </c>
      <c r="J1073" s="2">
        <v>1000</v>
      </c>
      <c r="K1073" s="2">
        <v>500</v>
      </c>
      <c r="L1073" s="2">
        <v>0</v>
      </c>
      <c r="M1073" s="2">
        <v>622723.97</v>
      </c>
      <c r="N1073">
        <f t="shared" si="20"/>
        <v>672803.56999999983</v>
      </c>
      <c r="O1073" s="9" t="s">
        <v>5</v>
      </c>
    </row>
    <row r="1074" spans="1:15" x14ac:dyDescent="0.2">
      <c r="A1074">
        <v>35</v>
      </c>
      <c r="B1074">
        <v>5</v>
      </c>
      <c r="C1074">
        <v>6</v>
      </c>
      <c r="D1074" s="2">
        <v>2</v>
      </c>
      <c r="E1074" s="2">
        <v>1</v>
      </c>
      <c r="F1074" s="2" t="s">
        <v>5</v>
      </c>
      <c r="G1074" s="2">
        <v>378.80000000036802</v>
      </c>
      <c r="H1074" s="2" t="s">
        <v>8</v>
      </c>
      <c r="I1074" s="2">
        <v>110241</v>
      </c>
      <c r="J1074" s="2">
        <v>1000</v>
      </c>
      <c r="K1074" s="2">
        <v>500</v>
      </c>
      <c r="L1074" s="2">
        <v>0</v>
      </c>
      <c r="M1074" s="2">
        <v>600323.97</v>
      </c>
      <c r="N1074">
        <f t="shared" si="20"/>
        <v>710943.77000000037</v>
      </c>
      <c r="O1074" s="9" t="s">
        <v>5</v>
      </c>
    </row>
    <row r="1075" spans="1:15" x14ac:dyDescent="0.2">
      <c r="A1075">
        <v>36</v>
      </c>
      <c r="B1075">
        <v>5</v>
      </c>
      <c r="C1075">
        <v>6</v>
      </c>
      <c r="D1075" s="2">
        <v>2</v>
      </c>
      <c r="E1075" s="2">
        <v>2</v>
      </c>
      <c r="F1075" s="2" t="s">
        <v>5</v>
      </c>
      <c r="G1075" s="2">
        <v>225.399999999709</v>
      </c>
      <c r="H1075" s="2" t="s">
        <v>8</v>
      </c>
      <c r="I1075" s="2">
        <v>111119</v>
      </c>
      <c r="J1075" s="2">
        <v>1000</v>
      </c>
      <c r="K1075" s="2">
        <v>500</v>
      </c>
      <c r="L1075" s="2">
        <v>0</v>
      </c>
      <c r="M1075" s="2">
        <v>600444.37</v>
      </c>
      <c r="N1075">
        <f t="shared" si="20"/>
        <v>711788.76999999967</v>
      </c>
      <c r="O1075" s="9" t="s">
        <v>4</v>
      </c>
    </row>
    <row r="1076" spans="1:15" x14ac:dyDescent="0.2">
      <c r="A1076">
        <v>37</v>
      </c>
      <c r="B1076">
        <v>5</v>
      </c>
      <c r="C1076">
        <v>6</v>
      </c>
      <c r="D1076" s="2">
        <v>2</v>
      </c>
      <c r="E1076" s="2">
        <v>3</v>
      </c>
      <c r="F1076" s="2" t="s">
        <v>5</v>
      </c>
      <c r="G1076" s="2">
        <v>317.40000000049002</v>
      </c>
      <c r="H1076" s="2" t="s">
        <v>8</v>
      </c>
      <c r="I1076" s="2">
        <v>450438.99999999901</v>
      </c>
      <c r="J1076" s="2">
        <v>1000</v>
      </c>
      <c r="K1076" s="2">
        <v>500</v>
      </c>
      <c r="L1076" s="2">
        <v>0</v>
      </c>
      <c r="M1076" s="2">
        <v>593344.37</v>
      </c>
      <c r="N1076">
        <f t="shared" si="20"/>
        <v>1044100.7699999996</v>
      </c>
      <c r="O1076" s="9" t="s">
        <v>4</v>
      </c>
    </row>
    <row r="1077" spans="1:15" x14ac:dyDescent="0.2">
      <c r="A1077">
        <v>38</v>
      </c>
      <c r="B1077">
        <v>5</v>
      </c>
      <c r="C1077">
        <v>6</v>
      </c>
      <c r="D1077" s="2">
        <v>2</v>
      </c>
      <c r="E1077" s="2">
        <v>1</v>
      </c>
      <c r="F1077" s="2" t="s">
        <v>5</v>
      </c>
      <c r="G1077" s="2">
        <v>206.39999999971801</v>
      </c>
      <c r="H1077" s="2" t="s">
        <v>8</v>
      </c>
      <c r="I1077" s="2">
        <v>136472</v>
      </c>
      <c r="J1077" s="2">
        <v>1000</v>
      </c>
      <c r="K1077" s="2">
        <v>500</v>
      </c>
      <c r="L1077" s="2">
        <v>0</v>
      </c>
      <c r="M1077" s="2">
        <v>581903.97</v>
      </c>
      <c r="N1077">
        <f t="shared" si="20"/>
        <v>718582.36999999965</v>
      </c>
      <c r="O1077" s="9" t="s">
        <v>5</v>
      </c>
    </row>
    <row r="1078" spans="1:15" x14ac:dyDescent="0.2">
      <c r="A1078">
        <v>39</v>
      </c>
      <c r="B1078">
        <v>5</v>
      </c>
      <c r="C1078">
        <v>7</v>
      </c>
      <c r="D1078" s="2">
        <v>2</v>
      </c>
      <c r="E1078" s="2">
        <v>1</v>
      </c>
      <c r="F1078" s="2" t="s">
        <v>5</v>
      </c>
      <c r="G1078" s="2">
        <v>257.600000000124</v>
      </c>
      <c r="H1078" s="2" t="s">
        <v>8</v>
      </c>
      <c r="I1078" s="2">
        <v>207379</v>
      </c>
      <c r="J1078" s="2">
        <v>1000</v>
      </c>
      <c r="K1078" s="2">
        <v>500</v>
      </c>
      <c r="L1078" s="2">
        <v>0</v>
      </c>
      <c r="M1078" s="2">
        <v>619223.56999999995</v>
      </c>
      <c r="N1078">
        <f t="shared" si="20"/>
        <v>826860.17</v>
      </c>
      <c r="O1078" s="9" t="s">
        <v>5</v>
      </c>
    </row>
    <row r="1079" spans="1:15" x14ac:dyDescent="0.2">
      <c r="A1079">
        <v>40</v>
      </c>
      <c r="B1079">
        <v>5</v>
      </c>
      <c r="C1079">
        <v>7</v>
      </c>
      <c r="D1079" s="2">
        <v>2</v>
      </c>
      <c r="E1079" s="2">
        <v>2</v>
      </c>
      <c r="F1079" s="2" t="s">
        <v>5</v>
      </c>
      <c r="G1079" s="2">
        <v>242.59999999962599</v>
      </c>
      <c r="H1079" s="2" t="s">
        <v>8</v>
      </c>
      <c r="I1079" s="2">
        <v>197622</v>
      </c>
      <c r="J1079" s="2">
        <v>1000</v>
      </c>
      <c r="K1079" s="2">
        <v>500</v>
      </c>
      <c r="L1079" s="2">
        <v>0</v>
      </c>
      <c r="M1079" s="2">
        <v>585224.77</v>
      </c>
      <c r="N1079">
        <f t="shared" si="20"/>
        <v>783089.36999999965</v>
      </c>
      <c r="O1079" s="9" t="s">
        <v>4</v>
      </c>
    </row>
    <row r="1080" spans="1:15" x14ac:dyDescent="0.2">
      <c r="A1080">
        <v>41</v>
      </c>
      <c r="B1080">
        <v>5</v>
      </c>
      <c r="C1080">
        <v>7</v>
      </c>
      <c r="D1080" s="2">
        <v>2</v>
      </c>
      <c r="E1080" s="2">
        <v>3</v>
      </c>
      <c r="F1080" s="2" t="s">
        <v>5</v>
      </c>
      <c r="G1080" s="2">
        <v>354.20000000030399</v>
      </c>
      <c r="H1080" s="2" t="s">
        <v>8</v>
      </c>
      <c r="I1080" s="2">
        <v>1010568</v>
      </c>
      <c r="J1080" s="2">
        <v>1000</v>
      </c>
      <c r="K1080" s="2">
        <v>500</v>
      </c>
      <c r="L1080" s="2">
        <v>0</v>
      </c>
      <c r="M1080" s="2">
        <v>614224.37</v>
      </c>
      <c r="N1080">
        <f t="shared" si="20"/>
        <v>1625146.5700000003</v>
      </c>
      <c r="O1080" s="9" t="s">
        <v>4</v>
      </c>
    </row>
    <row r="1081" spans="1:15" x14ac:dyDescent="0.2">
      <c r="A1081">
        <v>42</v>
      </c>
      <c r="B1081">
        <v>5</v>
      </c>
      <c r="C1081">
        <v>4</v>
      </c>
      <c r="D1081" s="2">
        <v>2</v>
      </c>
      <c r="E1081" s="2">
        <v>1</v>
      </c>
      <c r="F1081" s="2" t="s">
        <v>5</v>
      </c>
      <c r="G1081" s="2">
        <v>129.800000000202</v>
      </c>
      <c r="H1081" s="2" t="s">
        <v>8</v>
      </c>
      <c r="I1081" s="2">
        <v>33082.000000000298</v>
      </c>
      <c r="J1081" s="2">
        <v>1000</v>
      </c>
      <c r="K1081" s="2">
        <v>500</v>
      </c>
      <c r="L1081" s="2">
        <v>0</v>
      </c>
      <c r="M1081" s="2">
        <v>592284.77</v>
      </c>
      <c r="N1081">
        <f t="shared" si="20"/>
        <v>625496.57000000053</v>
      </c>
      <c r="O1081" s="9" t="s">
        <v>5</v>
      </c>
    </row>
    <row r="1082" spans="1:15" x14ac:dyDescent="0.2">
      <c r="A1082">
        <v>43</v>
      </c>
      <c r="B1082">
        <v>5</v>
      </c>
      <c r="C1082">
        <v>5</v>
      </c>
      <c r="D1082" s="2">
        <v>2</v>
      </c>
      <c r="E1082" s="2">
        <v>1</v>
      </c>
      <c r="F1082" s="2" t="s">
        <v>5</v>
      </c>
      <c r="G1082" s="2">
        <v>157.00000000009601</v>
      </c>
      <c r="H1082" s="2" t="s">
        <v>8</v>
      </c>
      <c r="I1082" s="2">
        <v>50701.000000000102</v>
      </c>
      <c r="J1082" s="2">
        <v>1000</v>
      </c>
      <c r="K1082" s="2">
        <v>500</v>
      </c>
      <c r="L1082" s="2">
        <v>0</v>
      </c>
      <c r="M1082" s="2">
        <v>585385.17000000004</v>
      </c>
      <c r="N1082">
        <f t="shared" si="20"/>
        <v>636243.17000000027</v>
      </c>
      <c r="O1082" s="9" t="s">
        <v>5</v>
      </c>
    </row>
    <row r="1083" spans="1:15" x14ac:dyDescent="0.2">
      <c r="A1083">
        <v>44</v>
      </c>
      <c r="B1083">
        <v>5</v>
      </c>
      <c r="C1083">
        <v>5</v>
      </c>
      <c r="D1083" s="2">
        <v>2</v>
      </c>
      <c r="E1083" s="2">
        <v>2</v>
      </c>
      <c r="F1083" s="2" t="s">
        <v>5</v>
      </c>
      <c r="G1083" s="2">
        <v>156.599999999685</v>
      </c>
      <c r="H1083" s="2" t="s">
        <v>8</v>
      </c>
      <c r="I1083" s="2">
        <v>66129.000000000102</v>
      </c>
      <c r="J1083" s="2">
        <v>1000</v>
      </c>
      <c r="K1083" s="2">
        <v>500</v>
      </c>
      <c r="L1083" s="2">
        <v>0</v>
      </c>
      <c r="M1083" s="2">
        <v>586224.37</v>
      </c>
      <c r="N1083">
        <f t="shared" si="20"/>
        <v>652509.96999999974</v>
      </c>
      <c r="O1083" s="9" t="s">
        <v>5</v>
      </c>
    </row>
    <row r="1084" spans="1:15" x14ac:dyDescent="0.2">
      <c r="A1084">
        <v>45</v>
      </c>
      <c r="B1084">
        <v>5</v>
      </c>
      <c r="C1084">
        <v>5</v>
      </c>
      <c r="D1084" s="2">
        <v>2</v>
      </c>
      <c r="E1084" s="2">
        <v>3</v>
      </c>
      <c r="F1084" s="2" t="s">
        <v>5</v>
      </c>
      <c r="G1084" s="2">
        <v>211.00000000018301</v>
      </c>
      <c r="H1084" s="2" t="s">
        <v>8</v>
      </c>
      <c r="I1084" s="2">
        <v>256781.99999999901</v>
      </c>
      <c r="J1084" s="2">
        <v>1000</v>
      </c>
      <c r="K1084" s="2">
        <v>500</v>
      </c>
      <c r="L1084" s="2">
        <v>0</v>
      </c>
      <c r="M1084" s="2">
        <v>588224.77</v>
      </c>
      <c r="N1084">
        <f t="shared" si="20"/>
        <v>845217.7699999992</v>
      </c>
      <c r="O1084" s="9" t="s">
        <v>4</v>
      </c>
    </row>
    <row r="1085" spans="1:15" x14ac:dyDescent="0.2">
      <c r="A1085">
        <v>46</v>
      </c>
      <c r="B1085">
        <v>5</v>
      </c>
      <c r="C1085">
        <v>6</v>
      </c>
      <c r="D1085" s="2">
        <v>2</v>
      </c>
      <c r="E1085" s="2">
        <v>1</v>
      </c>
      <c r="F1085" s="2" t="s">
        <v>5</v>
      </c>
      <c r="G1085" s="2">
        <v>189.400000000006</v>
      </c>
      <c r="H1085" s="2" t="s">
        <v>8</v>
      </c>
      <c r="I1085" s="2">
        <v>193839</v>
      </c>
      <c r="J1085" s="2">
        <v>1000</v>
      </c>
      <c r="K1085" s="2">
        <v>500</v>
      </c>
      <c r="L1085" s="2">
        <v>0</v>
      </c>
      <c r="M1085" s="2">
        <v>590785.56999999995</v>
      </c>
      <c r="N1085">
        <f t="shared" si="20"/>
        <v>784813.97</v>
      </c>
      <c r="O1085" s="9" t="s">
        <v>5</v>
      </c>
    </row>
    <row r="1086" spans="1:15" x14ac:dyDescent="0.2">
      <c r="A1086">
        <v>47</v>
      </c>
      <c r="B1086">
        <v>5</v>
      </c>
      <c r="C1086">
        <v>6</v>
      </c>
      <c r="D1086" s="2">
        <v>2</v>
      </c>
      <c r="E1086" s="2">
        <v>2</v>
      </c>
      <c r="F1086" s="2" t="s">
        <v>5</v>
      </c>
      <c r="G1086" s="2">
        <v>193.80000000026601</v>
      </c>
      <c r="H1086" s="2" t="s">
        <v>8</v>
      </c>
      <c r="I1086" s="2">
        <v>113693.999999999</v>
      </c>
      <c r="J1086" s="2">
        <v>1000</v>
      </c>
      <c r="K1086" s="2">
        <v>500</v>
      </c>
      <c r="L1086" s="2">
        <v>0</v>
      </c>
      <c r="M1086" s="2">
        <v>586363.97</v>
      </c>
      <c r="N1086">
        <f t="shared" si="20"/>
        <v>700251.7699999992</v>
      </c>
      <c r="O1086" s="9" t="s">
        <v>5</v>
      </c>
    </row>
    <row r="1087" spans="1:15" x14ac:dyDescent="0.2">
      <c r="A1087">
        <v>48</v>
      </c>
      <c r="B1087">
        <v>5</v>
      </c>
      <c r="C1087">
        <v>6</v>
      </c>
      <c r="D1087" s="2">
        <v>2</v>
      </c>
      <c r="E1087" s="2">
        <v>3</v>
      </c>
      <c r="F1087" s="2" t="s">
        <v>5</v>
      </c>
      <c r="G1087" s="2">
        <v>249.79999999992199</v>
      </c>
      <c r="H1087" s="2" t="s">
        <v>8</v>
      </c>
      <c r="I1087" s="2">
        <v>251965</v>
      </c>
      <c r="J1087" s="2">
        <v>1000</v>
      </c>
      <c r="K1087" s="2">
        <v>500</v>
      </c>
      <c r="L1087" s="2">
        <v>0</v>
      </c>
      <c r="M1087" s="2">
        <v>629325.17000000004</v>
      </c>
      <c r="N1087">
        <f t="shared" si="20"/>
        <v>881539.97</v>
      </c>
      <c r="O1087" s="9" t="s">
        <v>5</v>
      </c>
    </row>
    <row r="1088" spans="1:15" x14ac:dyDescent="0.2">
      <c r="A1088">
        <v>49</v>
      </c>
      <c r="B1088">
        <v>5</v>
      </c>
      <c r="C1088">
        <v>6</v>
      </c>
      <c r="D1088" s="2">
        <v>2</v>
      </c>
      <c r="E1088" s="2">
        <v>1</v>
      </c>
      <c r="F1088" s="2" t="s">
        <v>5</v>
      </c>
      <c r="G1088" s="2">
        <v>183.19999999931699</v>
      </c>
      <c r="H1088" s="2" t="s">
        <v>8</v>
      </c>
      <c r="I1088" s="2">
        <v>102215.999999999</v>
      </c>
      <c r="J1088" s="2">
        <v>1000</v>
      </c>
      <c r="K1088" s="2">
        <v>500</v>
      </c>
      <c r="L1088" s="2">
        <v>0</v>
      </c>
      <c r="M1088" s="2">
        <v>600105.17000000004</v>
      </c>
      <c r="N1088">
        <f t="shared" si="20"/>
        <v>702504.36999999837</v>
      </c>
      <c r="O1088" s="9" t="s">
        <v>5</v>
      </c>
    </row>
    <row r="1089" spans="1:15" x14ac:dyDescent="0.2">
      <c r="A1089">
        <v>50</v>
      </c>
      <c r="B1089">
        <v>5</v>
      </c>
      <c r="C1089">
        <v>6</v>
      </c>
      <c r="D1089" s="2">
        <v>2</v>
      </c>
      <c r="E1089" s="2">
        <v>2</v>
      </c>
      <c r="F1089" s="2" t="s">
        <v>5</v>
      </c>
      <c r="G1089" s="2">
        <v>190.800000000024</v>
      </c>
      <c r="H1089" s="2" t="s">
        <v>8</v>
      </c>
      <c r="I1089" s="2">
        <v>146021.99999999901</v>
      </c>
      <c r="J1089" s="2">
        <v>1000</v>
      </c>
      <c r="K1089" s="2">
        <v>500</v>
      </c>
      <c r="L1089" s="2">
        <v>0</v>
      </c>
      <c r="M1089" s="2">
        <v>583104.37</v>
      </c>
      <c r="N1089">
        <f t="shared" si="20"/>
        <v>729317.16999999899</v>
      </c>
      <c r="O1089" s="9" t="s">
        <v>5</v>
      </c>
    </row>
    <row r="1090" spans="1:15" x14ac:dyDescent="0.2">
      <c r="A1090">
        <v>51</v>
      </c>
      <c r="B1090">
        <v>5</v>
      </c>
      <c r="C1090">
        <v>6</v>
      </c>
      <c r="D1090" s="2">
        <v>2</v>
      </c>
      <c r="E1090" s="2">
        <v>3</v>
      </c>
      <c r="F1090" s="2" t="s">
        <v>5</v>
      </c>
      <c r="G1090" s="2">
        <v>252.19999999990301</v>
      </c>
      <c r="H1090" s="2" t="s">
        <v>8</v>
      </c>
      <c r="I1090" s="2">
        <v>203922</v>
      </c>
      <c r="J1090" s="2">
        <v>1000</v>
      </c>
      <c r="K1090" s="2">
        <v>500</v>
      </c>
      <c r="L1090" s="2">
        <v>0</v>
      </c>
      <c r="M1090" s="2">
        <v>598323.56999999995</v>
      </c>
      <c r="N1090">
        <f t="shared" si="20"/>
        <v>802497.76999999979</v>
      </c>
      <c r="O1090" s="9" t="s">
        <v>4</v>
      </c>
    </row>
    <row r="1091" spans="1:15" x14ac:dyDescent="0.2">
      <c r="A1091">
        <v>52</v>
      </c>
      <c r="B1091">
        <v>5</v>
      </c>
      <c r="C1091">
        <v>7</v>
      </c>
      <c r="D1091" s="2">
        <v>2</v>
      </c>
      <c r="E1091" s="2">
        <v>1</v>
      </c>
      <c r="F1091" s="2" t="s">
        <v>5</v>
      </c>
      <c r="G1091" s="2">
        <v>219.40000000029201</v>
      </c>
      <c r="H1091" s="2" t="s">
        <v>8</v>
      </c>
      <c r="I1091" s="2">
        <v>251747</v>
      </c>
      <c r="J1091" s="2">
        <v>1000</v>
      </c>
      <c r="K1091" s="2">
        <v>500</v>
      </c>
      <c r="L1091" s="2">
        <v>0</v>
      </c>
      <c r="M1091" s="2">
        <v>583863.97</v>
      </c>
      <c r="N1091">
        <f t="shared" si="20"/>
        <v>835830.37000000023</v>
      </c>
      <c r="O1091" s="9" t="s">
        <v>4</v>
      </c>
    </row>
    <row r="1092" spans="1:15" x14ac:dyDescent="0.2">
      <c r="A1092">
        <v>53</v>
      </c>
      <c r="B1092">
        <v>5</v>
      </c>
      <c r="C1092">
        <v>7</v>
      </c>
      <c r="D1092" s="2">
        <v>2</v>
      </c>
      <c r="E1092" s="2">
        <v>2</v>
      </c>
      <c r="F1092" s="2" t="s">
        <v>5</v>
      </c>
      <c r="G1092" s="2">
        <v>218.80000000038501</v>
      </c>
      <c r="H1092" s="2" t="s">
        <v>8</v>
      </c>
      <c r="I1092" s="2">
        <v>209296.99999999901</v>
      </c>
      <c r="J1092" s="2">
        <v>1000</v>
      </c>
      <c r="K1092" s="2">
        <v>500</v>
      </c>
      <c r="L1092" s="2">
        <v>0</v>
      </c>
      <c r="M1092" s="2">
        <v>601784.37</v>
      </c>
      <c r="N1092">
        <f t="shared" si="20"/>
        <v>811300.16999999946</v>
      </c>
      <c r="O1092" s="9" t="s">
        <v>5</v>
      </c>
    </row>
    <row r="1093" spans="1:15" x14ac:dyDescent="0.2">
      <c r="A1093">
        <v>54</v>
      </c>
      <c r="B1093">
        <v>5</v>
      </c>
      <c r="C1093">
        <v>7</v>
      </c>
      <c r="D1093" s="2">
        <v>2</v>
      </c>
      <c r="E1093" s="2">
        <v>3</v>
      </c>
      <c r="F1093" s="2" t="s">
        <v>5</v>
      </c>
      <c r="G1093" s="2">
        <v>306.40000000019501</v>
      </c>
      <c r="H1093" s="2" t="s">
        <v>8</v>
      </c>
      <c r="I1093" s="2">
        <v>515255</v>
      </c>
      <c r="J1093" s="2">
        <v>1000</v>
      </c>
      <c r="K1093" s="2">
        <v>500</v>
      </c>
      <c r="L1093" s="2">
        <v>0</v>
      </c>
      <c r="M1093" s="2">
        <v>605083.56999999995</v>
      </c>
      <c r="N1093">
        <f t="shared" si="20"/>
        <v>1120644.9700000002</v>
      </c>
      <c r="O1093" s="9" t="s">
        <v>4</v>
      </c>
    </row>
    <row r="1094" spans="1:15" x14ac:dyDescent="0.2">
      <c r="A1094">
        <v>55</v>
      </c>
      <c r="B1094">
        <v>5</v>
      </c>
      <c r="C1094">
        <v>5</v>
      </c>
      <c r="D1094" s="2">
        <v>2</v>
      </c>
      <c r="E1094" s="2">
        <v>1</v>
      </c>
      <c r="F1094" s="2" t="s">
        <v>5</v>
      </c>
      <c r="G1094" s="2">
        <v>140.60000000064599</v>
      </c>
      <c r="H1094" s="2" t="s">
        <v>8</v>
      </c>
      <c r="I1094" s="2">
        <v>51733.999999999702</v>
      </c>
      <c r="J1094" s="2">
        <v>1000</v>
      </c>
      <c r="K1094" s="2">
        <v>500</v>
      </c>
      <c r="L1094" s="2">
        <v>0</v>
      </c>
      <c r="M1094" s="2">
        <v>591664.37</v>
      </c>
      <c r="N1094">
        <f t="shared" si="20"/>
        <v>643538.97000000032</v>
      </c>
      <c r="O1094" s="9" t="s">
        <v>5</v>
      </c>
    </row>
    <row r="1095" spans="1:15" x14ac:dyDescent="0.2">
      <c r="A1095">
        <v>56</v>
      </c>
      <c r="B1095">
        <v>5</v>
      </c>
      <c r="C1095">
        <v>5</v>
      </c>
      <c r="D1095" s="2">
        <v>2</v>
      </c>
      <c r="E1095" s="2">
        <v>2</v>
      </c>
      <c r="F1095" s="2" t="s">
        <v>5</v>
      </c>
      <c r="G1095" s="2">
        <v>137.60000000004899</v>
      </c>
      <c r="H1095" s="2" t="s">
        <v>8</v>
      </c>
      <c r="I1095" s="2">
        <v>57291.000000001099</v>
      </c>
      <c r="J1095" s="2">
        <v>1000</v>
      </c>
      <c r="K1095" s="2">
        <v>500</v>
      </c>
      <c r="L1095" s="2">
        <v>0</v>
      </c>
      <c r="M1095" s="2">
        <v>578144.37</v>
      </c>
      <c r="N1095">
        <f t="shared" si="20"/>
        <v>635572.97000000114</v>
      </c>
      <c r="O1095" s="9" t="s">
        <v>5</v>
      </c>
    </row>
    <row r="1096" spans="1:15" x14ac:dyDescent="0.2">
      <c r="A1096">
        <v>57</v>
      </c>
      <c r="B1096">
        <v>5</v>
      </c>
      <c r="C1096">
        <v>5</v>
      </c>
      <c r="D1096" s="2">
        <v>2</v>
      </c>
      <c r="E1096" s="2">
        <v>3</v>
      </c>
      <c r="F1096" s="2" t="s">
        <v>5</v>
      </c>
      <c r="G1096" s="2">
        <v>183.39999999987799</v>
      </c>
      <c r="H1096" s="2" t="s">
        <v>8</v>
      </c>
      <c r="I1096" s="2">
        <v>96692.000000000902</v>
      </c>
      <c r="J1096" s="2">
        <v>1000</v>
      </c>
      <c r="K1096" s="2">
        <v>500</v>
      </c>
      <c r="L1096" s="2">
        <v>0</v>
      </c>
      <c r="M1096" s="2">
        <v>623084.77</v>
      </c>
      <c r="N1096">
        <f t="shared" si="20"/>
        <v>719960.17000000086</v>
      </c>
      <c r="O1096" s="9" t="s">
        <v>5</v>
      </c>
    </row>
    <row r="1097" spans="1:15" x14ac:dyDescent="0.2">
      <c r="A1097">
        <v>58</v>
      </c>
      <c r="B1097">
        <v>5</v>
      </c>
      <c r="C1097">
        <v>6</v>
      </c>
      <c r="D1097" s="2">
        <v>2</v>
      </c>
      <c r="E1097" s="2">
        <v>1</v>
      </c>
      <c r="F1097" s="2" t="s">
        <v>5</v>
      </c>
      <c r="G1097" s="2">
        <v>215.599999999228</v>
      </c>
      <c r="H1097" s="2" t="s">
        <v>8</v>
      </c>
      <c r="I1097" s="2">
        <v>86040.000000000597</v>
      </c>
      <c r="J1097" s="2">
        <v>1000</v>
      </c>
      <c r="K1097" s="2">
        <v>500</v>
      </c>
      <c r="L1097" s="2">
        <v>0</v>
      </c>
      <c r="M1097" s="2">
        <v>595083.97</v>
      </c>
      <c r="N1097">
        <f t="shared" si="20"/>
        <v>681339.56999999983</v>
      </c>
      <c r="O1097" s="9" t="s">
        <v>5</v>
      </c>
    </row>
    <row r="1098" spans="1:15" x14ac:dyDescent="0.2">
      <c r="A1098">
        <v>59</v>
      </c>
      <c r="B1098">
        <v>5</v>
      </c>
      <c r="C1098">
        <v>6</v>
      </c>
      <c r="D1098" s="2">
        <v>2</v>
      </c>
      <c r="E1098" s="2">
        <v>2</v>
      </c>
      <c r="F1098" s="2" t="s">
        <v>5</v>
      </c>
      <c r="G1098" s="2">
        <v>212.39999999984599</v>
      </c>
      <c r="H1098" s="2" t="s">
        <v>8</v>
      </c>
      <c r="I1098" s="2">
        <v>68540.000000000495</v>
      </c>
      <c r="J1098" s="2">
        <v>1000</v>
      </c>
      <c r="K1098" s="2">
        <v>500</v>
      </c>
      <c r="L1098" s="2">
        <v>0</v>
      </c>
      <c r="M1098" s="2">
        <v>575963.97</v>
      </c>
      <c r="N1098">
        <f t="shared" si="20"/>
        <v>644716.37000000034</v>
      </c>
      <c r="O1098" s="9" t="s">
        <v>5</v>
      </c>
    </row>
    <row r="1099" spans="1:15" x14ac:dyDescent="0.2">
      <c r="A1099">
        <v>60</v>
      </c>
      <c r="B1099">
        <v>5</v>
      </c>
      <c r="C1099">
        <v>6</v>
      </c>
      <c r="D1099" s="2">
        <v>2</v>
      </c>
      <c r="E1099" s="2">
        <v>3</v>
      </c>
      <c r="F1099" s="2" t="s">
        <v>5</v>
      </c>
      <c r="G1099" s="2">
        <v>288.40000000016602</v>
      </c>
      <c r="H1099" s="2" t="s">
        <v>8</v>
      </c>
      <c r="I1099" s="2">
        <v>278874.99999999901</v>
      </c>
      <c r="J1099" s="2">
        <v>1000</v>
      </c>
      <c r="K1099" s="2">
        <v>500</v>
      </c>
      <c r="L1099" s="2">
        <v>0</v>
      </c>
      <c r="M1099" s="2">
        <v>588085.17000000004</v>
      </c>
      <c r="N1099">
        <f t="shared" si="20"/>
        <v>867248.56999999913</v>
      </c>
      <c r="O1099" s="9" t="s">
        <v>5</v>
      </c>
    </row>
    <row r="1100" spans="1:15" x14ac:dyDescent="0.2">
      <c r="A1100">
        <v>61</v>
      </c>
      <c r="B1100">
        <v>5</v>
      </c>
      <c r="C1100">
        <v>7</v>
      </c>
      <c r="D1100" s="2">
        <v>2</v>
      </c>
      <c r="E1100" s="2">
        <v>1</v>
      </c>
      <c r="F1100" s="2" t="s">
        <v>5</v>
      </c>
      <c r="G1100" s="2">
        <v>230.60000000043601</v>
      </c>
      <c r="H1100" s="2" t="s">
        <v>8</v>
      </c>
      <c r="I1100" s="2">
        <v>161028</v>
      </c>
      <c r="J1100" s="2">
        <v>1000</v>
      </c>
      <c r="K1100" s="2">
        <v>500</v>
      </c>
      <c r="L1100" s="2">
        <v>0</v>
      </c>
      <c r="M1100" s="2">
        <v>626824.37</v>
      </c>
      <c r="N1100">
        <f t="shared" si="20"/>
        <v>788082.97000000044</v>
      </c>
      <c r="O1100" s="9" t="s">
        <v>5</v>
      </c>
    </row>
    <row r="1101" spans="1:15" x14ac:dyDescent="0.2">
      <c r="A1101">
        <v>62</v>
      </c>
      <c r="B1101">
        <v>5</v>
      </c>
      <c r="C1101">
        <v>7</v>
      </c>
      <c r="D1101" s="2">
        <v>2</v>
      </c>
      <c r="E1101" s="2">
        <v>2</v>
      </c>
      <c r="F1101" s="2" t="s">
        <v>5</v>
      </c>
      <c r="G1101" s="2">
        <v>233.80000000017299</v>
      </c>
      <c r="H1101" s="2" t="s">
        <v>8</v>
      </c>
      <c r="I1101" s="2">
        <v>123650</v>
      </c>
      <c r="J1101" s="2">
        <v>1000</v>
      </c>
      <c r="K1101" s="2">
        <v>500</v>
      </c>
      <c r="L1101" s="2">
        <v>0</v>
      </c>
      <c r="M1101" s="2">
        <v>601325.17000000004</v>
      </c>
      <c r="N1101">
        <f t="shared" si="20"/>
        <v>725208.9700000002</v>
      </c>
      <c r="O1101" s="9" t="s">
        <v>5</v>
      </c>
    </row>
    <row r="1102" spans="1:15" x14ac:dyDescent="0.2">
      <c r="A1102">
        <v>63</v>
      </c>
      <c r="B1102">
        <v>5</v>
      </c>
      <c r="C1102">
        <v>7</v>
      </c>
      <c r="D1102" s="2">
        <v>2</v>
      </c>
      <c r="E1102" s="2">
        <v>3</v>
      </c>
      <c r="F1102" s="2" t="s">
        <v>5</v>
      </c>
      <c r="G1102" s="2">
        <v>359.799999999666</v>
      </c>
      <c r="H1102" s="2" t="s">
        <v>8</v>
      </c>
      <c r="I1102" s="2">
        <v>395599.00000000099</v>
      </c>
      <c r="J1102" s="2">
        <v>1000</v>
      </c>
      <c r="K1102" s="2">
        <v>500</v>
      </c>
      <c r="L1102" s="2">
        <v>0</v>
      </c>
      <c r="M1102" s="2">
        <v>596645.17000000004</v>
      </c>
      <c r="N1102">
        <f t="shared" si="20"/>
        <v>992603.97000000067</v>
      </c>
      <c r="O1102" s="9" t="s">
        <v>4</v>
      </c>
    </row>
    <row r="1103" spans="1:15" x14ac:dyDescent="0.2">
      <c r="A1103">
        <v>64</v>
      </c>
      <c r="B1103">
        <v>5</v>
      </c>
      <c r="C1103">
        <v>8</v>
      </c>
      <c r="D1103" s="2">
        <v>2</v>
      </c>
      <c r="E1103" s="2">
        <v>1</v>
      </c>
      <c r="F1103" s="2" t="s">
        <v>5</v>
      </c>
      <c r="G1103" s="2">
        <v>274.00000000028501</v>
      </c>
      <c r="H1103" s="2" t="s">
        <v>8</v>
      </c>
      <c r="I1103" s="2">
        <v>279384</v>
      </c>
      <c r="J1103" s="2">
        <v>1000</v>
      </c>
      <c r="K1103" s="2">
        <v>500</v>
      </c>
      <c r="L1103" s="2">
        <v>0</v>
      </c>
      <c r="M1103" s="2">
        <v>586725.56999999995</v>
      </c>
      <c r="N1103">
        <f t="shared" si="20"/>
        <v>866383.5700000003</v>
      </c>
      <c r="O1103" s="9" t="s">
        <v>5</v>
      </c>
    </row>
    <row r="1104" spans="1:15" x14ac:dyDescent="0.2">
      <c r="A1104">
        <v>65</v>
      </c>
      <c r="B1104">
        <v>5</v>
      </c>
      <c r="C1104">
        <v>8</v>
      </c>
      <c r="D1104" s="2">
        <v>2</v>
      </c>
      <c r="E1104" s="2">
        <v>2</v>
      </c>
      <c r="F1104" s="2" t="s">
        <v>5</v>
      </c>
      <c r="G1104" s="2">
        <v>271.20000000024902</v>
      </c>
      <c r="H1104" s="2" t="s">
        <v>8</v>
      </c>
      <c r="I1104" s="2">
        <v>345789</v>
      </c>
      <c r="J1104" s="2">
        <v>1000</v>
      </c>
      <c r="K1104" s="2">
        <v>500</v>
      </c>
      <c r="L1104" s="2">
        <v>0</v>
      </c>
      <c r="M1104" s="2">
        <v>603064.77</v>
      </c>
      <c r="N1104">
        <f t="shared" si="20"/>
        <v>949124.9700000002</v>
      </c>
      <c r="O1104" s="9" t="s">
        <v>5</v>
      </c>
    </row>
    <row r="1105" spans="1:15" x14ac:dyDescent="0.2">
      <c r="A1105">
        <v>66</v>
      </c>
      <c r="B1105">
        <v>5</v>
      </c>
      <c r="C1105">
        <v>8</v>
      </c>
      <c r="D1105" s="2">
        <v>2</v>
      </c>
      <c r="E1105" s="2">
        <v>3</v>
      </c>
      <c r="F1105" s="2" t="s">
        <v>5</v>
      </c>
      <c r="G1105" s="2">
        <v>390.99999999976399</v>
      </c>
      <c r="H1105" s="2" t="s">
        <v>8</v>
      </c>
      <c r="I1105" s="2">
        <v>1149315</v>
      </c>
      <c r="J1105" s="2">
        <v>1000</v>
      </c>
      <c r="K1105" s="2">
        <v>500</v>
      </c>
      <c r="L1105" s="2">
        <v>0</v>
      </c>
      <c r="M1105" s="2">
        <v>604704.77</v>
      </c>
      <c r="N1105">
        <f t="shared" si="20"/>
        <v>1754410.7699999998</v>
      </c>
      <c r="O1105" s="9" t="s">
        <v>4</v>
      </c>
    </row>
    <row r="1106" spans="1:15" x14ac:dyDescent="0.2">
      <c r="A1106">
        <v>67</v>
      </c>
      <c r="B1106">
        <v>5</v>
      </c>
      <c r="C1106">
        <v>7</v>
      </c>
      <c r="D1106" s="2">
        <v>2</v>
      </c>
      <c r="E1106" s="2">
        <v>1</v>
      </c>
      <c r="F1106" s="2" t="s">
        <v>5</v>
      </c>
      <c r="G1106" s="2">
        <v>210.20000000007099</v>
      </c>
      <c r="H1106" s="2" t="s">
        <v>8</v>
      </c>
      <c r="I1106" s="2">
        <v>176762</v>
      </c>
      <c r="J1106" s="2">
        <v>1000</v>
      </c>
      <c r="K1106" s="2">
        <v>500</v>
      </c>
      <c r="L1106" s="2">
        <v>0</v>
      </c>
      <c r="M1106" s="2">
        <v>597724.37</v>
      </c>
      <c r="N1106">
        <f t="shared" si="20"/>
        <v>774696.57000000007</v>
      </c>
      <c r="O1106" s="9" t="s">
        <v>5</v>
      </c>
    </row>
    <row r="1107" spans="1:15" x14ac:dyDescent="0.2">
      <c r="A1107">
        <v>68</v>
      </c>
      <c r="B1107">
        <v>5</v>
      </c>
      <c r="C1107">
        <v>7</v>
      </c>
      <c r="D1107" s="2">
        <v>2</v>
      </c>
      <c r="E1107" s="2">
        <v>2</v>
      </c>
      <c r="F1107" s="2" t="s">
        <v>5</v>
      </c>
      <c r="G1107" s="2">
        <v>210.00000000022101</v>
      </c>
      <c r="H1107" s="2" t="s">
        <v>8</v>
      </c>
      <c r="I1107" s="2">
        <v>175160</v>
      </c>
      <c r="J1107" s="2">
        <v>1000</v>
      </c>
      <c r="K1107" s="2">
        <v>500</v>
      </c>
      <c r="L1107" s="2">
        <v>0</v>
      </c>
      <c r="M1107" s="2">
        <v>581803.97</v>
      </c>
      <c r="N1107">
        <f t="shared" si="20"/>
        <v>757173.9700000002</v>
      </c>
      <c r="O1107" s="9" t="s">
        <v>5</v>
      </c>
    </row>
    <row r="1108" spans="1:15" x14ac:dyDescent="0.2">
      <c r="A1108">
        <v>69</v>
      </c>
      <c r="B1108">
        <v>5</v>
      </c>
      <c r="C1108">
        <v>7</v>
      </c>
      <c r="D1108" s="2">
        <v>2</v>
      </c>
      <c r="E1108" s="2">
        <v>3</v>
      </c>
      <c r="F1108" s="2" t="s">
        <v>5</v>
      </c>
      <c r="G1108" s="2">
        <v>292.59999999986502</v>
      </c>
      <c r="H1108" s="2" t="s">
        <v>8</v>
      </c>
      <c r="I1108" s="2">
        <v>386187</v>
      </c>
      <c r="J1108" s="2">
        <v>1000</v>
      </c>
      <c r="K1108" s="2">
        <v>500</v>
      </c>
      <c r="L1108" s="2">
        <v>0</v>
      </c>
      <c r="M1108" s="2">
        <v>577423.17000000004</v>
      </c>
      <c r="N1108">
        <f t="shared" si="20"/>
        <v>963902.7699999999</v>
      </c>
      <c r="O1108" s="9" t="s">
        <v>4</v>
      </c>
    </row>
    <row r="1109" spans="1:15" x14ac:dyDescent="0.2">
      <c r="A1109">
        <v>28</v>
      </c>
      <c r="B1109">
        <v>5</v>
      </c>
      <c r="C1109">
        <v>4</v>
      </c>
      <c r="D1109" s="2">
        <v>2</v>
      </c>
      <c r="E1109" s="2">
        <v>1</v>
      </c>
      <c r="F1109" s="2" t="s">
        <v>5</v>
      </c>
      <c r="G1109" s="2">
        <v>541.19999999961999</v>
      </c>
      <c r="H1109" s="2" t="s">
        <v>8</v>
      </c>
      <c r="I1109" s="2">
        <v>37176.000000000502</v>
      </c>
      <c r="J1109" s="2">
        <v>1000</v>
      </c>
      <c r="K1109" s="2">
        <v>700</v>
      </c>
      <c r="L1109" s="2">
        <v>0</v>
      </c>
      <c r="M1109" s="2">
        <v>783387.57</v>
      </c>
      <c r="N1109">
        <f t="shared" ref="N1109:N1198" si="21">G1109+I1109+M1109</f>
        <v>821104.77</v>
      </c>
      <c r="O1109" s="2" t="s">
        <v>5</v>
      </c>
    </row>
    <row r="1110" spans="1:15" x14ac:dyDescent="0.2">
      <c r="A1110">
        <v>29</v>
      </c>
      <c r="B1110">
        <v>5</v>
      </c>
      <c r="C1110">
        <v>5</v>
      </c>
      <c r="D1110" s="2">
        <v>2</v>
      </c>
      <c r="E1110" s="2">
        <v>2</v>
      </c>
      <c r="F1110" s="2" t="s">
        <v>5</v>
      </c>
      <c r="G1110" s="2">
        <v>547.39999999959798</v>
      </c>
      <c r="H1110" s="2" t="s">
        <v>8</v>
      </c>
      <c r="I1110" s="2">
        <v>71896.000000000597</v>
      </c>
      <c r="J1110" s="2">
        <v>1000</v>
      </c>
      <c r="K1110" s="2">
        <v>700</v>
      </c>
      <c r="L1110" s="2">
        <v>0</v>
      </c>
      <c r="M1110" s="2">
        <v>796626.77</v>
      </c>
      <c r="N1110">
        <f t="shared" si="21"/>
        <v>869070.17000000016</v>
      </c>
      <c r="O1110" s="2" t="s">
        <v>5</v>
      </c>
    </row>
    <row r="1111" spans="1:15" x14ac:dyDescent="0.2">
      <c r="A1111">
        <v>30</v>
      </c>
      <c r="B1111">
        <v>5</v>
      </c>
      <c r="C1111">
        <v>5</v>
      </c>
      <c r="D1111" s="2">
        <v>2</v>
      </c>
      <c r="E1111" s="2">
        <v>3</v>
      </c>
      <c r="F1111" s="2" t="s">
        <v>5</v>
      </c>
      <c r="G1111" s="2">
        <v>598.60000000000502</v>
      </c>
      <c r="H1111" s="2" t="s">
        <v>8</v>
      </c>
      <c r="I1111" s="2">
        <v>251473</v>
      </c>
      <c r="J1111" s="2">
        <v>1000</v>
      </c>
      <c r="K1111" s="2">
        <v>700</v>
      </c>
      <c r="L1111" s="2">
        <v>0</v>
      </c>
      <c r="M1111" s="2">
        <v>798947.17</v>
      </c>
      <c r="N1111">
        <f t="shared" si="21"/>
        <v>1051018.77</v>
      </c>
      <c r="O1111" s="2" t="s">
        <v>5</v>
      </c>
    </row>
    <row r="1112" spans="1:15" x14ac:dyDescent="0.2">
      <c r="A1112">
        <v>31</v>
      </c>
      <c r="B1112">
        <v>5</v>
      </c>
      <c r="C1112">
        <v>5</v>
      </c>
      <c r="D1112" s="2">
        <v>2</v>
      </c>
      <c r="E1112" s="2">
        <v>1</v>
      </c>
      <c r="F1112" s="2" t="s">
        <v>5</v>
      </c>
      <c r="G1112" s="2">
        <v>351.19999999970702</v>
      </c>
      <c r="H1112" s="2" t="s">
        <v>8</v>
      </c>
      <c r="I1112" s="2">
        <v>68826.999999999796</v>
      </c>
      <c r="J1112" s="2">
        <v>1000</v>
      </c>
      <c r="K1112" s="2">
        <v>700</v>
      </c>
      <c r="L1112" s="2">
        <v>0</v>
      </c>
      <c r="M1112" s="2">
        <v>775767.57</v>
      </c>
      <c r="N1112">
        <f t="shared" si="21"/>
        <v>844945.76999999944</v>
      </c>
      <c r="O1112" s="2" t="s">
        <v>5</v>
      </c>
    </row>
    <row r="1113" spans="1:15" x14ac:dyDescent="0.2">
      <c r="A1113">
        <v>32</v>
      </c>
      <c r="B1113">
        <v>5</v>
      </c>
      <c r="C1113">
        <v>5</v>
      </c>
      <c r="D1113" s="2">
        <v>2</v>
      </c>
      <c r="E1113" s="2">
        <v>2</v>
      </c>
      <c r="F1113" s="2" t="s">
        <v>5</v>
      </c>
      <c r="G1113" s="2">
        <v>356.00000000002302</v>
      </c>
      <c r="H1113" s="2" t="s">
        <v>8</v>
      </c>
      <c r="I1113" s="2">
        <v>64877.000000000102</v>
      </c>
      <c r="J1113" s="2">
        <v>1000</v>
      </c>
      <c r="K1113" s="2">
        <v>700</v>
      </c>
      <c r="L1113" s="2">
        <v>0</v>
      </c>
      <c r="M1113" s="2">
        <v>782707.17</v>
      </c>
      <c r="N1113">
        <f t="shared" si="21"/>
        <v>847940.17000000016</v>
      </c>
      <c r="O1113" s="2" t="s">
        <v>5</v>
      </c>
    </row>
    <row r="1114" spans="1:15" x14ac:dyDescent="0.2">
      <c r="A1114">
        <v>33</v>
      </c>
      <c r="B1114">
        <v>5</v>
      </c>
      <c r="C1114">
        <v>5</v>
      </c>
      <c r="D1114" s="2">
        <v>2</v>
      </c>
      <c r="E1114" s="2">
        <v>3</v>
      </c>
      <c r="F1114" s="2" t="s">
        <v>5</v>
      </c>
      <c r="G1114" s="2">
        <v>485.39999999981399</v>
      </c>
      <c r="H1114" s="2" t="s">
        <v>8</v>
      </c>
      <c r="I1114" s="2">
        <v>255639</v>
      </c>
      <c r="J1114" s="2">
        <v>1000</v>
      </c>
      <c r="K1114" s="2">
        <v>700</v>
      </c>
      <c r="L1114" s="2">
        <v>0</v>
      </c>
      <c r="M1114" s="2">
        <v>820866.77</v>
      </c>
      <c r="N1114">
        <f t="shared" si="21"/>
        <v>1076991.17</v>
      </c>
      <c r="O1114" s="2" t="s">
        <v>5</v>
      </c>
    </row>
    <row r="1115" spans="1:15" x14ac:dyDescent="0.2">
      <c r="A1115">
        <v>34</v>
      </c>
      <c r="B1115">
        <v>5</v>
      </c>
      <c r="C1115">
        <v>5</v>
      </c>
      <c r="D1115" s="2">
        <v>2</v>
      </c>
      <c r="E1115" s="2">
        <v>1</v>
      </c>
      <c r="F1115" s="2" t="s">
        <v>5</v>
      </c>
      <c r="G1115" s="2">
        <v>307.60000000000798</v>
      </c>
      <c r="H1115" s="2" t="s">
        <v>8</v>
      </c>
      <c r="I1115" s="2">
        <v>49771.999999999898</v>
      </c>
      <c r="J1115" s="2">
        <v>1000</v>
      </c>
      <c r="K1115" s="2">
        <v>700</v>
      </c>
      <c r="L1115" s="2">
        <v>0</v>
      </c>
      <c r="M1115" s="2">
        <v>822726.77</v>
      </c>
      <c r="N1115">
        <f t="shared" si="21"/>
        <v>872806.36999999988</v>
      </c>
      <c r="O1115" s="2" t="s">
        <v>5</v>
      </c>
    </row>
    <row r="1116" spans="1:15" x14ac:dyDescent="0.2">
      <c r="A1116">
        <v>35</v>
      </c>
      <c r="B1116">
        <v>5</v>
      </c>
      <c r="C1116">
        <v>6</v>
      </c>
      <c r="D1116" s="2">
        <v>2</v>
      </c>
      <c r="E1116" s="2">
        <v>1</v>
      </c>
      <c r="F1116" s="2" t="s">
        <v>5</v>
      </c>
      <c r="G1116" s="2">
        <v>378.80000000036802</v>
      </c>
      <c r="H1116" s="2" t="s">
        <v>8</v>
      </c>
      <c r="I1116" s="2">
        <v>110241</v>
      </c>
      <c r="J1116" s="2">
        <v>1000</v>
      </c>
      <c r="K1116" s="2">
        <v>700</v>
      </c>
      <c r="L1116" s="2">
        <v>0</v>
      </c>
      <c r="M1116" s="2">
        <v>800326.77</v>
      </c>
      <c r="N1116">
        <f t="shared" si="21"/>
        <v>910946.57000000041</v>
      </c>
      <c r="O1116" s="2" t="s">
        <v>5</v>
      </c>
    </row>
    <row r="1117" spans="1:15" x14ac:dyDescent="0.2">
      <c r="A1117">
        <v>36</v>
      </c>
      <c r="B1117">
        <v>5</v>
      </c>
      <c r="C1117">
        <v>6</v>
      </c>
      <c r="D1117" s="2">
        <v>2</v>
      </c>
      <c r="E1117" s="2">
        <v>2</v>
      </c>
      <c r="F1117" s="2" t="s">
        <v>5</v>
      </c>
      <c r="G1117" s="2">
        <v>225.399999999709</v>
      </c>
      <c r="H1117" s="2" t="s">
        <v>8</v>
      </c>
      <c r="I1117" s="2">
        <v>111119</v>
      </c>
      <c r="J1117" s="2">
        <v>1000</v>
      </c>
      <c r="K1117" s="2">
        <v>700</v>
      </c>
      <c r="L1117" s="2">
        <v>0</v>
      </c>
      <c r="M1117" s="2">
        <v>800447.57</v>
      </c>
      <c r="N1117">
        <f t="shared" si="21"/>
        <v>911791.96999999962</v>
      </c>
      <c r="O1117" s="2" t="s">
        <v>4</v>
      </c>
    </row>
    <row r="1118" spans="1:15" x14ac:dyDescent="0.2">
      <c r="A1118">
        <v>37</v>
      </c>
      <c r="B1118">
        <v>5</v>
      </c>
      <c r="C1118">
        <v>6</v>
      </c>
      <c r="D1118" s="2">
        <v>2</v>
      </c>
      <c r="E1118" s="2">
        <v>3</v>
      </c>
      <c r="F1118" s="2" t="s">
        <v>5</v>
      </c>
      <c r="G1118" s="2">
        <v>317.40000000049002</v>
      </c>
      <c r="H1118" s="2" t="s">
        <v>8</v>
      </c>
      <c r="I1118" s="2">
        <v>450438.99999999901</v>
      </c>
      <c r="J1118" s="2">
        <v>1000</v>
      </c>
      <c r="K1118" s="2">
        <v>700</v>
      </c>
      <c r="L1118" s="2">
        <v>0</v>
      </c>
      <c r="M1118" s="2">
        <v>793347.17</v>
      </c>
      <c r="N1118">
        <f t="shared" si="21"/>
        <v>1244103.5699999996</v>
      </c>
      <c r="O1118" s="2" t="s">
        <v>4</v>
      </c>
    </row>
    <row r="1119" spans="1:15" x14ac:dyDescent="0.2">
      <c r="A1119">
        <v>38</v>
      </c>
      <c r="B1119">
        <v>5</v>
      </c>
      <c r="C1119">
        <v>6</v>
      </c>
      <c r="D1119" s="2">
        <v>2</v>
      </c>
      <c r="E1119" s="2">
        <v>1</v>
      </c>
      <c r="F1119" s="2" t="s">
        <v>5</v>
      </c>
      <c r="G1119" s="2">
        <v>206.39999999971801</v>
      </c>
      <c r="H1119" s="2" t="s">
        <v>8</v>
      </c>
      <c r="I1119" s="2">
        <v>136472</v>
      </c>
      <c r="J1119" s="2">
        <v>1000</v>
      </c>
      <c r="K1119" s="2">
        <v>700</v>
      </c>
      <c r="L1119" s="2">
        <v>0</v>
      </c>
      <c r="M1119" s="2">
        <v>781906.77</v>
      </c>
      <c r="N1119">
        <f t="shared" si="21"/>
        <v>918585.16999999969</v>
      </c>
      <c r="O1119" s="2" t="s">
        <v>5</v>
      </c>
    </row>
    <row r="1120" spans="1:15" x14ac:dyDescent="0.2">
      <c r="A1120">
        <v>39</v>
      </c>
      <c r="B1120">
        <v>5</v>
      </c>
      <c r="C1120">
        <v>7</v>
      </c>
      <c r="D1120" s="2">
        <v>2</v>
      </c>
      <c r="E1120" s="2">
        <v>1</v>
      </c>
      <c r="F1120" s="2" t="s">
        <v>5</v>
      </c>
      <c r="G1120" s="2">
        <v>257.600000000124</v>
      </c>
      <c r="H1120" s="2" t="s">
        <v>8</v>
      </c>
      <c r="I1120" s="2">
        <v>207379</v>
      </c>
      <c r="J1120" s="2">
        <v>1000</v>
      </c>
      <c r="K1120" s="2">
        <v>700</v>
      </c>
      <c r="L1120" s="2">
        <v>0</v>
      </c>
      <c r="M1120" s="2">
        <v>819226.37</v>
      </c>
      <c r="N1120">
        <f t="shared" si="21"/>
        <v>1026862.9700000001</v>
      </c>
      <c r="O1120" s="2" t="s">
        <v>5</v>
      </c>
    </row>
    <row r="1121" spans="1:15" x14ac:dyDescent="0.2">
      <c r="A1121">
        <v>40</v>
      </c>
      <c r="B1121">
        <v>5</v>
      </c>
      <c r="C1121">
        <v>7</v>
      </c>
      <c r="D1121" s="2">
        <v>2</v>
      </c>
      <c r="E1121" s="2">
        <v>2</v>
      </c>
      <c r="F1121" s="2" t="s">
        <v>5</v>
      </c>
      <c r="G1121" s="2">
        <v>242.59999999962599</v>
      </c>
      <c r="H1121" s="2" t="s">
        <v>8</v>
      </c>
      <c r="I1121" s="2">
        <v>197622</v>
      </c>
      <c r="J1121" s="2">
        <v>1000</v>
      </c>
      <c r="K1121" s="2">
        <v>700</v>
      </c>
      <c r="L1121" s="2">
        <v>0</v>
      </c>
      <c r="M1121" s="2">
        <v>785226.77</v>
      </c>
      <c r="N1121">
        <f t="shared" si="21"/>
        <v>983091.36999999965</v>
      </c>
      <c r="O1121" s="2" t="s">
        <v>5</v>
      </c>
    </row>
    <row r="1122" spans="1:15" x14ac:dyDescent="0.2">
      <c r="A1122">
        <v>41</v>
      </c>
      <c r="B1122">
        <v>5</v>
      </c>
      <c r="C1122">
        <v>7</v>
      </c>
      <c r="D1122" s="2">
        <v>2</v>
      </c>
      <c r="E1122" s="2">
        <v>3</v>
      </c>
      <c r="F1122" s="2" t="s">
        <v>5</v>
      </c>
      <c r="G1122" s="2">
        <v>354.20000000030399</v>
      </c>
      <c r="H1122" s="2" t="s">
        <v>8</v>
      </c>
      <c r="I1122" s="2">
        <v>1010568</v>
      </c>
      <c r="J1122" s="2">
        <v>1000</v>
      </c>
      <c r="K1122" s="2">
        <v>700</v>
      </c>
      <c r="L1122" s="2">
        <v>0</v>
      </c>
      <c r="M1122" s="2">
        <v>814227.57</v>
      </c>
      <c r="N1122">
        <f t="shared" si="21"/>
        <v>1825149.7700000003</v>
      </c>
      <c r="O1122" s="2" t="s">
        <v>4</v>
      </c>
    </row>
    <row r="1123" spans="1:15" x14ac:dyDescent="0.2">
      <c r="A1123">
        <v>42</v>
      </c>
      <c r="B1123">
        <v>5</v>
      </c>
      <c r="C1123">
        <v>4</v>
      </c>
      <c r="D1123" s="2">
        <v>2</v>
      </c>
      <c r="E1123" s="2">
        <v>1</v>
      </c>
      <c r="F1123" s="2" t="s">
        <v>5</v>
      </c>
      <c r="G1123" s="2">
        <v>129.800000000202</v>
      </c>
      <c r="H1123" s="2" t="s">
        <v>8</v>
      </c>
      <c r="I1123" s="2">
        <v>33082.000000000298</v>
      </c>
      <c r="J1123" s="2">
        <v>1000</v>
      </c>
      <c r="K1123" s="2">
        <v>700</v>
      </c>
      <c r="L1123" s="2">
        <v>0</v>
      </c>
      <c r="M1123" s="2">
        <v>792287.57</v>
      </c>
      <c r="N1123">
        <f t="shared" si="21"/>
        <v>825499.37000000046</v>
      </c>
      <c r="O1123" s="2" t="s">
        <v>5</v>
      </c>
    </row>
    <row r="1124" spans="1:15" x14ac:dyDescent="0.2">
      <c r="A1124">
        <v>43</v>
      </c>
      <c r="B1124">
        <v>5</v>
      </c>
      <c r="C1124">
        <v>5</v>
      </c>
      <c r="D1124" s="2">
        <v>2</v>
      </c>
      <c r="E1124" s="2">
        <v>1</v>
      </c>
      <c r="F1124" s="2" t="s">
        <v>5</v>
      </c>
      <c r="G1124" s="2">
        <v>157.00000000009601</v>
      </c>
      <c r="H1124" s="2" t="s">
        <v>8</v>
      </c>
      <c r="I1124" s="2">
        <v>50701.000000000102</v>
      </c>
      <c r="J1124" s="2">
        <v>1000</v>
      </c>
      <c r="K1124" s="2">
        <v>700</v>
      </c>
      <c r="L1124" s="2">
        <v>0</v>
      </c>
      <c r="M1124" s="2">
        <v>785387.57</v>
      </c>
      <c r="N1124">
        <f t="shared" si="21"/>
        <v>836245.57000000018</v>
      </c>
      <c r="O1124" s="2" t="s">
        <v>5</v>
      </c>
    </row>
    <row r="1125" spans="1:15" x14ac:dyDescent="0.2">
      <c r="A1125">
        <v>44</v>
      </c>
      <c r="B1125">
        <v>5</v>
      </c>
      <c r="C1125">
        <v>5</v>
      </c>
      <c r="D1125" s="2">
        <v>2</v>
      </c>
      <c r="E1125" s="2">
        <v>2</v>
      </c>
      <c r="F1125" s="2" t="s">
        <v>5</v>
      </c>
      <c r="G1125" s="2">
        <v>156.599999999685</v>
      </c>
      <c r="H1125" s="2" t="s">
        <v>8</v>
      </c>
      <c r="I1125" s="2">
        <v>66129.000000000102</v>
      </c>
      <c r="J1125" s="2">
        <v>1000</v>
      </c>
      <c r="K1125" s="2">
        <v>700</v>
      </c>
      <c r="L1125" s="2">
        <v>0</v>
      </c>
      <c r="M1125" s="2">
        <v>786227.17</v>
      </c>
      <c r="N1125">
        <f t="shared" si="21"/>
        <v>852512.76999999979</v>
      </c>
      <c r="O1125" s="2" t="s">
        <v>5</v>
      </c>
    </row>
    <row r="1126" spans="1:15" x14ac:dyDescent="0.2">
      <c r="A1126">
        <v>45</v>
      </c>
      <c r="B1126">
        <v>5</v>
      </c>
      <c r="C1126">
        <v>5</v>
      </c>
      <c r="D1126" s="2">
        <v>2</v>
      </c>
      <c r="E1126" s="2">
        <v>3</v>
      </c>
      <c r="F1126" s="2" t="s">
        <v>5</v>
      </c>
      <c r="G1126" s="2">
        <v>211.00000000018301</v>
      </c>
      <c r="H1126" s="2" t="s">
        <v>8</v>
      </c>
      <c r="I1126" s="2">
        <v>256781.99999999901</v>
      </c>
      <c r="J1126" s="2">
        <v>1000</v>
      </c>
      <c r="K1126" s="2">
        <v>700</v>
      </c>
      <c r="L1126" s="2">
        <v>0</v>
      </c>
      <c r="M1126" s="2">
        <v>788227.17</v>
      </c>
      <c r="N1126">
        <f t="shared" si="21"/>
        <v>1045220.1699999992</v>
      </c>
      <c r="O1126" s="2" t="s">
        <v>5</v>
      </c>
    </row>
    <row r="1127" spans="1:15" x14ac:dyDescent="0.2">
      <c r="A1127">
        <v>46</v>
      </c>
      <c r="B1127">
        <v>5</v>
      </c>
      <c r="C1127">
        <v>6</v>
      </c>
      <c r="D1127" s="2">
        <v>2</v>
      </c>
      <c r="E1127" s="2">
        <v>1</v>
      </c>
      <c r="F1127" s="2" t="s">
        <v>5</v>
      </c>
      <c r="G1127" s="2">
        <v>189.400000000006</v>
      </c>
      <c r="H1127" s="2" t="s">
        <v>8</v>
      </c>
      <c r="I1127" s="2">
        <v>193839</v>
      </c>
      <c r="J1127" s="2">
        <v>1000</v>
      </c>
      <c r="K1127" s="2">
        <v>700</v>
      </c>
      <c r="L1127" s="2">
        <v>0</v>
      </c>
      <c r="M1127" s="2">
        <v>790788.77</v>
      </c>
      <c r="N1127">
        <f t="shared" si="21"/>
        <v>984817.17</v>
      </c>
      <c r="O1127" s="2" t="s">
        <v>5</v>
      </c>
    </row>
    <row r="1128" spans="1:15" x14ac:dyDescent="0.2">
      <c r="A1128">
        <v>47</v>
      </c>
      <c r="B1128">
        <v>5</v>
      </c>
      <c r="C1128">
        <v>6</v>
      </c>
      <c r="D1128" s="2">
        <v>2</v>
      </c>
      <c r="E1128" s="2">
        <v>2</v>
      </c>
      <c r="F1128" s="2" t="s">
        <v>5</v>
      </c>
      <c r="G1128" s="2">
        <v>193.80000000026601</v>
      </c>
      <c r="H1128" s="2" t="s">
        <v>8</v>
      </c>
      <c r="I1128" s="2">
        <v>113693.999999999</v>
      </c>
      <c r="J1128" s="2">
        <v>1000</v>
      </c>
      <c r="K1128" s="2">
        <v>700</v>
      </c>
      <c r="L1128" s="2">
        <v>0</v>
      </c>
      <c r="M1128" s="2">
        <v>786367.17</v>
      </c>
      <c r="N1128">
        <f t="shared" si="21"/>
        <v>900254.96999999927</v>
      </c>
      <c r="O1128" s="2" t="s">
        <v>5</v>
      </c>
    </row>
    <row r="1129" spans="1:15" x14ac:dyDescent="0.2">
      <c r="A1129">
        <v>48</v>
      </c>
      <c r="B1129">
        <v>5</v>
      </c>
      <c r="C1129">
        <v>6</v>
      </c>
      <c r="D1129" s="2">
        <v>2</v>
      </c>
      <c r="E1129" s="2">
        <v>3</v>
      </c>
      <c r="F1129" s="2" t="s">
        <v>5</v>
      </c>
      <c r="G1129" s="2">
        <v>249.79999999992199</v>
      </c>
      <c r="H1129" s="2" t="s">
        <v>8</v>
      </c>
      <c r="I1129" s="2">
        <v>251965</v>
      </c>
      <c r="J1129" s="2">
        <v>1000</v>
      </c>
      <c r="K1129" s="2">
        <v>700</v>
      </c>
      <c r="L1129" s="2">
        <v>0</v>
      </c>
      <c r="M1129" s="2">
        <v>829327.57</v>
      </c>
      <c r="N1129">
        <f t="shared" si="21"/>
        <v>1081542.3699999999</v>
      </c>
      <c r="O1129" s="2" t="s">
        <v>4</v>
      </c>
    </row>
    <row r="1130" spans="1:15" x14ac:dyDescent="0.2">
      <c r="A1130">
        <v>49</v>
      </c>
      <c r="B1130">
        <v>5</v>
      </c>
      <c r="C1130">
        <v>6</v>
      </c>
      <c r="D1130" s="2">
        <v>2</v>
      </c>
      <c r="E1130" s="2">
        <v>1</v>
      </c>
      <c r="F1130" s="2" t="s">
        <v>5</v>
      </c>
      <c r="G1130" s="2">
        <v>183.19999999931699</v>
      </c>
      <c r="H1130" s="2" t="s">
        <v>8</v>
      </c>
      <c r="I1130" s="2">
        <v>102215.999999999</v>
      </c>
      <c r="J1130" s="2">
        <v>1000</v>
      </c>
      <c r="K1130" s="2">
        <v>700</v>
      </c>
      <c r="L1130" s="2">
        <v>0</v>
      </c>
      <c r="M1130" s="2">
        <v>800107.57</v>
      </c>
      <c r="N1130">
        <f t="shared" si="21"/>
        <v>902506.76999999827</v>
      </c>
      <c r="O1130" s="2" t="s">
        <v>5</v>
      </c>
    </row>
    <row r="1131" spans="1:15" x14ac:dyDescent="0.2">
      <c r="A1131">
        <v>50</v>
      </c>
      <c r="B1131">
        <v>5</v>
      </c>
      <c r="C1131">
        <v>6</v>
      </c>
      <c r="D1131" s="2">
        <v>2</v>
      </c>
      <c r="E1131" s="2">
        <v>2</v>
      </c>
      <c r="F1131" s="2" t="s">
        <v>5</v>
      </c>
      <c r="G1131" s="2">
        <v>190.800000000024</v>
      </c>
      <c r="H1131" s="2" t="s">
        <v>8</v>
      </c>
      <c r="I1131" s="2">
        <v>146021.99999999901</v>
      </c>
      <c r="J1131" s="2">
        <v>1000</v>
      </c>
      <c r="K1131" s="2">
        <v>700</v>
      </c>
      <c r="L1131" s="2">
        <v>0</v>
      </c>
      <c r="M1131" s="2">
        <v>783106.77</v>
      </c>
      <c r="N1131">
        <f t="shared" si="21"/>
        <v>929319.56999999902</v>
      </c>
      <c r="O1131" s="2" t="s">
        <v>5</v>
      </c>
    </row>
    <row r="1132" spans="1:15" x14ac:dyDescent="0.2">
      <c r="A1132">
        <v>51</v>
      </c>
      <c r="B1132">
        <v>5</v>
      </c>
      <c r="C1132">
        <v>6</v>
      </c>
      <c r="D1132" s="2">
        <v>2</v>
      </c>
      <c r="E1132" s="2">
        <v>3</v>
      </c>
      <c r="F1132" s="2" t="s">
        <v>5</v>
      </c>
      <c r="G1132" s="2">
        <v>252.19999999990301</v>
      </c>
      <c r="H1132" s="2" t="s">
        <v>8</v>
      </c>
      <c r="I1132" s="2">
        <v>203922</v>
      </c>
      <c r="J1132" s="2">
        <v>1000</v>
      </c>
      <c r="K1132" s="2">
        <v>700</v>
      </c>
      <c r="L1132" s="2">
        <v>0</v>
      </c>
      <c r="M1132" s="2">
        <v>798326.37</v>
      </c>
      <c r="N1132">
        <f t="shared" si="21"/>
        <v>1002500.5699999998</v>
      </c>
      <c r="O1132" s="2" t="s">
        <v>4</v>
      </c>
    </row>
    <row r="1133" spans="1:15" x14ac:dyDescent="0.2">
      <c r="A1133">
        <v>52</v>
      </c>
      <c r="B1133">
        <v>5</v>
      </c>
      <c r="C1133">
        <v>7</v>
      </c>
      <c r="D1133" s="2">
        <v>2</v>
      </c>
      <c r="E1133" s="2">
        <v>1</v>
      </c>
      <c r="F1133" s="2" t="s">
        <v>5</v>
      </c>
      <c r="G1133" s="2">
        <v>219.40000000029201</v>
      </c>
      <c r="H1133" s="2" t="s">
        <v>8</v>
      </c>
      <c r="I1133" s="2">
        <v>251747</v>
      </c>
      <c r="J1133" s="2">
        <v>1000</v>
      </c>
      <c r="K1133" s="2">
        <v>700</v>
      </c>
      <c r="L1133" s="2">
        <v>0</v>
      </c>
      <c r="M1133" s="2">
        <v>783866.77</v>
      </c>
      <c r="N1133">
        <f t="shared" si="21"/>
        <v>1035833.1700000003</v>
      </c>
      <c r="O1133" s="2" t="s">
        <v>5</v>
      </c>
    </row>
    <row r="1134" spans="1:15" x14ac:dyDescent="0.2">
      <c r="A1134">
        <v>53</v>
      </c>
      <c r="B1134">
        <v>5</v>
      </c>
      <c r="C1134">
        <v>7</v>
      </c>
      <c r="D1134" s="2">
        <v>2</v>
      </c>
      <c r="E1134" s="2">
        <v>2</v>
      </c>
      <c r="F1134" s="2" t="s">
        <v>5</v>
      </c>
      <c r="G1134" s="2">
        <v>218.80000000038501</v>
      </c>
      <c r="H1134" s="2" t="s">
        <v>8</v>
      </c>
      <c r="I1134" s="2">
        <v>209296.99999999901</v>
      </c>
      <c r="J1134" s="2">
        <v>1000</v>
      </c>
      <c r="K1134" s="2">
        <v>700</v>
      </c>
      <c r="L1134" s="2">
        <v>0</v>
      </c>
      <c r="M1134" s="2">
        <v>801787.17</v>
      </c>
      <c r="N1134">
        <f t="shared" si="21"/>
        <v>1011302.9699999995</v>
      </c>
      <c r="O1134" s="2" t="s">
        <v>5</v>
      </c>
    </row>
    <row r="1135" spans="1:15" x14ac:dyDescent="0.2">
      <c r="A1135">
        <v>54</v>
      </c>
      <c r="B1135">
        <v>5</v>
      </c>
      <c r="C1135">
        <v>7</v>
      </c>
      <c r="D1135" s="2">
        <v>2</v>
      </c>
      <c r="E1135" s="2">
        <v>3</v>
      </c>
      <c r="F1135" s="2" t="s">
        <v>5</v>
      </c>
      <c r="G1135" s="2">
        <v>306.40000000019501</v>
      </c>
      <c r="H1135" s="2" t="s">
        <v>8</v>
      </c>
      <c r="I1135" s="2">
        <v>515255</v>
      </c>
      <c r="J1135" s="2">
        <v>1000</v>
      </c>
      <c r="K1135" s="2">
        <v>700</v>
      </c>
      <c r="L1135" s="2">
        <v>0</v>
      </c>
      <c r="M1135" s="2">
        <v>805085.57</v>
      </c>
      <c r="N1135">
        <f t="shared" si="21"/>
        <v>1320646.9700000002</v>
      </c>
      <c r="O1135" s="2" t="s">
        <v>4</v>
      </c>
    </row>
    <row r="1136" spans="1:15" x14ac:dyDescent="0.2">
      <c r="A1136">
        <v>55</v>
      </c>
      <c r="B1136">
        <v>5</v>
      </c>
      <c r="C1136">
        <v>5</v>
      </c>
      <c r="D1136" s="2">
        <v>2</v>
      </c>
      <c r="E1136" s="2">
        <v>1</v>
      </c>
      <c r="F1136" s="2" t="s">
        <v>5</v>
      </c>
      <c r="G1136" s="2">
        <v>140.60000000064599</v>
      </c>
      <c r="H1136" s="2" t="s">
        <v>8</v>
      </c>
      <c r="I1136" s="2">
        <v>51733.999999999702</v>
      </c>
      <c r="J1136" s="2">
        <v>1000</v>
      </c>
      <c r="K1136" s="2">
        <v>700</v>
      </c>
      <c r="L1136" s="2">
        <v>0</v>
      </c>
      <c r="M1136" s="2">
        <v>791667.17</v>
      </c>
      <c r="N1136">
        <f t="shared" si="21"/>
        <v>843541.77000000037</v>
      </c>
      <c r="O1136" s="2" t="s">
        <v>5</v>
      </c>
    </row>
    <row r="1137" spans="1:15" x14ac:dyDescent="0.2">
      <c r="A1137">
        <v>56</v>
      </c>
      <c r="B1137">
        <v>5</v>
      </c>
      <c r="C1137">
        <v>5</v>
      </c>
      <c r="D1137" s="2">
        <v>2</v>
      </c>
      <c r="E1137" s="2">
        <v>2</v>
      </c>
      <c r="F1137" s="2" t="s">
        <v>5</v>
      </c>
      <c r="G1137" s="2">
        <v>137.60000000004899</v>
      </c>
      <c r="H1137" s="2" t="s">
        <v>8</v>
      </c>
      <c r="I1137" s="2">
        <v>57291.000000001099</v>
      </c>
      <c r="J1137" s="2">
        <v>1000</v>
      </c>
      <c r="K1137" s="2">
        <v>700</v>
      </c>
      <c r="L1137" s="2">
        <v>0</v>
      </c>
      <c r="M1137" s="2">
        <v>778147.17</v>
      </c>
      <c r="N1137">
        <f t="shared" si="21"/>
        <v>835575.77000000118</v>
      </c>
      <c r="O1137" s="2" t="s">
        <v>5</v>
      </c>
    </row>
    <row r="1138" spans="1:15" x14ac:dyDescent="0.2">
      <c r="A1138">
        <v>57</v>
      </c>
      <c r="B1138">
        <v>5</v>
      </c>
      <c r="C1138">
        <v>5</v>
      </c>
      <c r="D1138" s="2">
        <v>2</v>
      </c>
      <c r="E1138" s="2">
        <v>3</v>
      </c>
      <c r="F1138" s="2" t="s">
        <v>5</v>
      </c>
      <c r="G1138" s="2">
        <v>183.39999999987799</v>
      </c>
      <c r="H1138" s="2" t="s">
        <v>8</v>
      </c>
      <c r="I1138" s="2">
        <v>96692.000000000902</v>
      </c>
      <c r="J1138" s="2">
        <v>1000</v>
      </c>
      <c r="K1138" s="2">
        <v>700</v>
      </c>
      <c r="L1138" s="2">
        <v>0</v>
      </c>
      <c r="M1138" s="2">
        <v>823087.57</v>
      </c>
      <c r="N1138">
        <f t="shared" si="21"/>
        <v>919962.97000000067</v>
      </c>
      <c r="O1138" s="2" t="s">
        <v>5</v>
      </c>
    </row>
    <row r="1139" spans="1:15" x14ac:dyDescent="0.2">
      <c r="A1139">
        <v>58</v>
      </c>
      <c r="B1139">
        <v>5</v>
      </c>
      <c r="C1139">
        <v>6</v>
      </c>
      <c r="D1139" s="2">
        <v>2</v>
      </c>
      <c r="E1139" s="2">
        <v>1</v>
      </c>
      <c r="F1139" s="2" t="s">
        <v>5</v>
      </c>
      <c r="G1139" s="2">
        <v>215.599999999228</v>
      </c>
      <c r="H1139" s="2" t="s">
        <v>8</v>
      </c>
      <c r="I1139" s="2">
        <v>86040.000000000597</v>
      </c>
      <c r="J1139" s="2">
        <v>1000</v>
      </c>
      <c r="K1139" s="2">
        <v>700</v>
      </c>
      <c r="L1139" s="2">
        <v>0</v>
      </c>
      <c r="M1139" s="2">
        <v>795087.57</v>
      </c>
      <c r="N1139">
        <f t="shared" si="21"/>
        <v>881343.16999999981</v>
      </c>
      <c r="O1139" s="2" t="s">
        <v>5</v>
      </c>
    </row>
    <row r="1140" spans="1:15" x14ac:dyDescent="0.2">
      <c r="A1140">
        <v>59</v>
      </c>
      <c r="B1140">
        <v>5</v>
      </c>
      <c r="C1140">
        <v>6</v>
      </c>
      <c r="D1140" s="2">
        <v>2</v>
      </c>
      <c r="E1140" s="2">
        <v>2</v>
      </c>
      <c r="F1140" s="2" t="s">
        <v>5</v>
      </c>
      <c r="G1140" s="2">
        <v>212.39999999984599</v>
      </c>
      <c r="H1140" s="2" t="s">
        <v>8</v>
      </c>
      <c r="I1140" s="2">
        <v>68540.000000000495</v>
      </c>
      <c r="J1140" s="2">
        <v>1000</v>
      </c>
      <c r="K1140" s="2">
        <v>700</v>
      </c>
      <c r="L1140" s="2">
        <v>0</v>
      </c>
      <c r="M1140" s="2">
        <v>775967.17</v>
      </c>
      <c r="N1140">
        <f t="shared" si="21"/>
        <v>844719.57000000041</v>
      </c>
      <c r="O1140" s="2" t="s">
        <v>5</v>
      </c>
    </row>
    <row r="1141" spans="1:15" x14ac:dyDescent="0.2">
      <c r="A1141">
        <v>60</v>
      </c>
      <c r="B1141">
        <v>5</v>
      </c>
      <c r="C1141">
        <v>6</v>
      </c>
      <c r="D1141" s="2">
        <v>2</v>
      </c>
      <c r="E1141" s="2">
        <v>3</v>
      </c>
      <c r="F1141" s="2" t="s">
        <v>5</v>
      </c>
      <c r="G1141" s="2">
        <v>288.40000000016602</v>
      </c>
      <c r="H1141" s="2" t="s">
        <v>8</v>
      </c>
      <c r="I1141" s="2">
        <v>278874.99999999901</v>
      </c>
      <c r="J1141" s="2">
        <v>1000</v>
      </c>
      <c r="K1141" s="2">
        <v>700</v>
      </c>
      <c r="L1141" s="2">
        <v>0</v>
      </c>
      <c r="M1141" s="2">
        <v>788088.37</v>
      </c>
      <c r="N1141">
        <f t="shared" si="21"/>
        <v>1067251.7699999991</v>
      </c>
      <c r="O1141" s="2" t="s">
        <v>4</v>
      </c>
    </row>
    <row r="1142" spans="1:15" x14ac:dyDescent="0.2">
      <c r="A1142">
        <v>61</v>
      </c>
      <c r="B1142">
        <v>5</v>
      </c>
      <c r="C1142">
        <v>7</v>
      </c>
      <c r="D1142" s="2">
        <v>2</v>
      </c>
      <c r="E1142" s="2">
        <v>1</v>
      </c>
      <c r="F1142" s="2" t="s">
        <v>5</v>
      </c>
      <c r="G1142" s="2">
        <v>230.60000000043601</v>
      </c>
      <c r="H1142" s="2" t="s">
        <v>8</v>
      </c>
      <c r="I1142" s="2">
        <v>161028</v>
      </c>
      <c r="J1142" s="2">
        <v>1000</v>
      </c>
      <c r="K1142" s="2">
        <v>700</v>
      </c>
      <c r="L1142" s="2">
        <v>0</v>
      </c>
      <c r="M1142" s="2">
        <v>826826.77</v>
      </c>
      <c r="N1142">
        <f t="shared" si="21"/>
        <v>988085.37000000046</v>
      </c>
      <c r="O1142" s="2" t="s">
        <v>5</v>
      </c>
    </row>
    <row r="1143" spans="1:15" x14ac:dyDescent="0.2">
      <c r="A1143">
        <v>62</v>
      </c>
      <c r="B1143">
        <v>5</v>
      </c>
      <c r="C1143">
        <v>7</v>
      </c>
      <c r="D1143" s="2">
        <v>2</v>
      </c>
      <c r="E1143" s="2">
        <v>2</v>
      </c>
      <c r="F1143" s="2" t="s">
        <v>5</v>
      </c>
      <c r="G1143" s="2">
        <v>233.80000000017299</v>
      </c>
      <c r="H1143" s="2" t="s">
        <v>8</v>
      </c>
      <c r="I1143" s="2">
        <v>123650</v>
      </c>
      <c r="J1143" s="2">
        <v>1000</v>
      </c>
      <c r="K1143" s="2">
        <v>700</v>
      </c>
      <c r="L1143" s="2">
        <v>0</v>
      </c>
      <c r="M1143" s="2">
        <v>801327.97</v>
      </c>
      <c r="N1143">
        <f t="shared" si="21"/>
        <v>925211.77000000014</v>
      </c>
      <c r="O1143" s="2" t="s">
        <v>5</v>
      </c>
    </row>
    <row r="1144" spans="1:15" x14ac:dyDescent="0.2">
      <c r="A1144">
        <v>63</v>
      </c>
      <c r="B1144">
        <v>5</v>
      </c>
      <c r="C1144">
        <v>7</v>
      </c>
      <c r="D1144" s="2">
        <v>2</v>
      </c>
      <c r="E1144" s="2">
        <v>3</v>
      </c>
      <c r="F1144" s="2" t="s">
        <v>5</v>
      </c>
      <c r="G1144" s="2">
        <v>359.799999999666</v>
      </c>
      <c r="H1144" s="2" t="s">
        <v>8</v>
      </c>
      <c r="I1144" s="2">
        <v>395599.00000000099</v>
      </c>
      <c r="J1144" s="2">
        <v>1000</v>
      </c>
      <c r="K1144" s="2">
        <v>700</v>
      </c>
      <c r="L1144" s="2">
        <v>0</v>
      </c>
      <c r="M1144" s="2">
        <v>796647.97</v>
      </c>
      <c r="N1144">
        <f t="shared" si="21"/>
        <v>1192606.7700000005</v>
      </c>
      <c r="O1144" s="2" t="s">
        <v>4</v>
      </c>
    </row>
    <row r="1145" spans="1:15" x14ac:dyDescent="0.2">
      <c r="A1145">
        <v>64</v>
      </c>
      <c r="B1145">
        <v>5</v>
      </c>
      <c r="C1145">
        <v>8</v>
      </c>
      <c r="D1145" s="2">
        <v>2</v>
      </c>
      <c r="E1145" s="2">
        <v>1</v>
      </c>
      <c r="F1145" s="2" t="s">
        <v>5</v>
      </c>
      <c r="G1145" s="2">
        <v>274.00000000028501</v>
      </c>
      <c r="H1145" s="2" t="s">
        <v>8</v>
      </c>
      <c r="I1145" s="2">
        <v>279384</v>
      </c>
      <c r="J1145" s="2">
        <v>1000</v>
      </c>
      <c r="K1145" s="2">
        <v>700</v>
      </c>
      <c r="L1145" s="2">
        <v>0</v>
      </c>
      <c r="M1145" s="2">
        <v>786727.97</v>
      </c>
      <c r="N1145">
        <f t="shared" si="21"/>
        <v>1066385.9700000002</v>
      </c>
      <c r="O1145" s="2" t="s">
        <v>4</v>
      </c>
    </row>
    <row r="1146" spans="1:15" x14ac:dyDescent="0.2">
      <c r="A1146">
        <v>65</v>
      </c>
      <c r="B1146">
        <v>5</v>
      </c>
      <c r="C1146">
        <v>8</v>
      </c>
      <c r="D1146" s="2">
        <v>2</v>
      </c>
      <c r="E1146" s="2">
        <v>2</v>
      </c>
      <c r="F1146" s="2" t="s">
        <v>5</v>
      </c>
      <c r="G1146" s="2">
        <v>271.20000000024902</v>
      </c>
      <c r="H1146" s="2" t="s">
        <v>8</v>
      </c>
      <c r="I1146" s="2">
        <v>345789</v>
      </c>
      <c r="J1146" s="2">
        <v>1000</v>
      </c>
      <c r="K1146" s="2">
        <v>700</v>
      </c>
      <c r="L1146" s="2">
        <v>0</v>
      </c>
      <c r="M1146" s="2">
        <v>803067.17</v>
      </c>
      <c r="N1146">
        <f t="shared" si="21"/>
        <v>1149127.3700000003</v>
      </c>
      <c r="O1146" s="2" t="s">
        <v>5</v>
      </c>
    </row>
    <row r="1147" spans="1:15" x14ac:dyDescent="0.2">
      <c r="A1147">
        <v>66</v>
      </c>
      <c r="B1147">
        <v>5</v>
      </c>
      <c r="C1147">
        <v>8</v>
      </c>
      <c r="D1147" s="2">
        <v>2</v>
      </c>
      <c r="E1147" s="2">
        <v>3</v>
      </c>
      <c r="F1147" s="2" t="s">
        <v>5</v>
      </c>
      <c r="G1147" s="2">
        <v>390.99999999976399</v>
      </c>
      <c r="H1147" s="2" t="s">
        <v>8</v>
      </c>
      <c r="I1147" s="2">
        <v>1149315</v>
      </c>
      <c r="J1147" s="2">
        <v>1000</v>
      </c>
      <c r="K1147" s="2">
        <v>700</v>
      </c>
      <c r="L1147" s="2">
        <v>0</v>
      </c>
      <c r="M1147" s="2">
        <v>804706.77</v>
      </c>
      <c r="N1147">
        <f t="shared" si="21"/>
        <v>1954412.7699999998</v>
      </c>
      <c r="O1147" s="2" t="s">
        <v>4</v>
      </c>
    </row>
    <row r="1148" spans="1:15" x14ac:dyDescent="0.2">
      <c r="A1148">
        <v>67</v>
      </c>
      <c r="B1148">
        <v>5</v>
      </c>
      <c r="C1148">
        <v>7</v>
      </c>
      <c r="D1148" s="2">
        <v>2</v>
      </c>
      <c r="E1148" s="2">
        <v>1</v>
      </c>
      <c r="F1148" s="2" t="s">
        <v>5</v>
      </c>
      <c r="G1148" s="2">
        <v>210.20000000007099</v>
      </c>
      <c r="H1148" s="2" t="s">
        <v>8</v>
      </c>
      <c r="I1148" s="2">
        <v>176762</v>
      </c>
      <c r="J1148" s="2">
        <v>1000</v>
      </c>
      <c r="K1148" s="2">
        <v>700</v>
      </c>
      <c r="L1148" s="2">
        <v>0</v>
      </c>
      <c r="M1148" s="2">
        <v>797726.77</v>
      </c>
      <c r="N1148">
        <f t="shared" si="21"/>
        <v>974698.97000000009</v>
      </c>
      <c r="O1148" s="2" t="s">
        <v>5</v>
      </c>
    </row>
    <row r="1149" spans="1:15" x14ac:dyDescent="0.2">
      <c r="A1149">
        <v>68</v>
      </c>
      <c r="B1149">
        <v>5</v>
      </c>
      <c r="C1149">
        <v>7</v>
      </c>
      <c r="D1149" s="2">
        <v>2</v>
      </c>
      <c r="E1149" s="2">
        <v>2</v>
      </c>
      <c r="F1149" s="2" t="s">
        <v>5</v>
      </c>
      <c r="G1149" s="2">
        <v>210.00000000022101</v>
      </c>
      <c r="H1149" s="2" t="s">
        <v>8</v>
      </c>
      <c r="I1149" s="2">
        <v>175160</v>
      </c>
      <c r="J1149" s="2">
        <v>1000</v>
      </c>
      <c r="K1149" s="2">
        <v>700</v>
      </c>
      <c r="L1149" s="2">
        <v>0</v>
      </c>
      <c r="M1149" s="2">
        <v>781806.37</v>
      </c>
      <c r="N1149">
        <f t="shared" si="21"/>
        <v>957176.37000000023</v>
      </c>
      <c r="O1149" s="2" t="s">
        <v>5</v>
      </c>
    </row>
    <row r="1150" spans="1:15" x14ac:dyDescent="0.2">
      <c r="A1150">
        <v>69</v>
      </c>
      <c r="B1150">
        <v>5</v>
      </c>
      <c r="C1150">
        <v>7</v>
      </c>
      <c r="D1150" s="2">
        <v>2</v>
      </c>
      <c r="E1150" s="2">
        <v>3</v>
      </c>
      <c r="F1150" s="2" t="s">
        <v>5</v>
      </c>
      <c r="G1150" s="2">
        <v>292.59999999986502</v>
      </c>
      <c r="H1150" s="2" t="s">
        <v>8</v>
      </c>
      <c r="I1150" s="2">
        <v>386187</v>
      </c>
      <c r="J1150" s="2">
        <v>1000</v>
      </c>
      <c r="K1150" s="2">
        <v>700</v>
      </c>
      <c r="L1150" s="2">
        <v>0</v>
      </c>
      <c r="M1150" s="2">
        <v>777426.37</v>
      </c>
      <c r="N1150">
        <f t="shared" si="21"/>
        <v>1163905.9699999997</v>
      </c>
      <c r="O1150" s="2" t="s">
        <v>4</v>
      </c>
    </row>
    <row r="1151" spans="1:15" x14ac:dyDescent="0.2">
      <c r="A1151">
        <v>28</v>
      </c>
      <c r="B1151">
        <v>5</v>
      </c>
      <c r="C1151">
        <v>4</v>
      </c>
      <c r="D1151" s="2">
        <v>2</v>
      </c>
      <c r="E1151" s="2">
        <v>1</v>
      </c>
      <c r="F1151" s="2" t="s">
        <v>5</v>
      </c>
      <c r="G1151" s="2">
        <v>541.19999999961999</v>
      </c>
      <c r="H1151" s="2" t="s">
        <v>8</v>
      </c>
      <c r="I1151" s="2">
        <v>37176.000000000502</v>
      </c>
      <c r="J1151" s="2">
        <v>1000</v>
      </c>
      <c r="K1151" s="2">
        <v>300</v>
      </c>
      <c r="L1151" s="2">
        <v>0</v>
      </c>
      <c r="M1151" s="2">
        <v>383385.97</v>
      </c>
      <c r="N1151">
        <f t="shared" ref="N1151:N1173" si="22">G1151+I1151+M1151</f>
        <v>421103.1700000001</v>
      </c>
      <c r="O1151" s="2" t="s">
        <v>5</v>
      </c>
    </row>
    <row r="1152" spans="1:15" x14ac:dyDescent="0.2">
      <c r="A1152">
        <v>29</v>
      </c>
      <c r="B1152">
        <v>5</v>
      </c>
      <c r="C1152">
        <v>5</v>
      </c>
      <c r="D1152" s="2">
        <v>2</v>
      </c>
      <c r="E1152" s="2">
        <v>2</v>
      </c>
      <c r="F1152" s="2" t="s">
        <v>5</v>
      </c>
      <c r="G1152" s="2">
        <v>547.39999999959798</v>
      </c>
      <c r="H1152" s="2" t="s">
        <v>8</v>
      </c>
      <c r="I1152" s="2">
        <v>71896.000000000597</v>
      </c>
      <c r="J1152" s="2">
        <v>1000</v>
      </c>
      <c r="K1152" s="2">
        <v>300</v>
      </c>
      <c r="L1152" s="2">
        <v>0</v>
      </c>
      <c r="M1152" s="2">
        <v>396625.17</v>
      </c>
      <c r="N1152">
        <f t="shared" si="22"/>
        <v>469068.57000000018</v>
      </c>
      <c r="O1152" s="2" t="s">
        <v>5</v>
      </c>
    </row>
    <row r="1153" spans="1:15" x14ac:dyDescent="0.2">
      <c r="A1153">
        <v>30</v>
      </c>
      <c r="B1153">
        <v>5</v>
      </c>
      <c r="C1153">
        <v>5</v>
      </c>
      <c r="D1153" s="2">
        <v>2</v>
      </c>
      <c r="E1153" s="2">
        <v>3</v>
      </c>
      <c r="F1153" s="2" t="s">
        <v>5</v>
      </c>
      <c r="G1153" s="2">
        <v>598.60000000000502</v>
      </c>
      <c r="H1153" s="2" t="s">
        <v>8</v>
      </c>
      <c r="I1153" s="2">
        <v>251473</v>
      </c>
      <c r="J1153" s="2">
        <v>1000</v>
      </c>
      <c r="K1153" s="2">
        <v>300</v>
      </c>
      <c r="L1153" s="2">
        <v>0</v>
      </c>
      <c r="M1153" s="2">
        <v>398945.97</v>
      </c>
      <c r="N1153">
        <f t="shared" si="22"/>
        <v>651017.56999999995</v>
      </c>
      <c r="O1153" s="2" t="s">
        <v>4</v>
      </c>
    </row>
    <row r="1154" spans="1:15" x14ac:dyDescent="0.2">
      <c r="A1154">
        <v>31</v>
      </c>
      <c r="B1154">
        <v>5</v>
      </c>
      <c r="C1154">
        <v>5</v>
      </c>
      <c r="D1154" s="2">
        <v>2</v>
      </c>
      <c r="E1154" s="2">
        <v>1</v>
      </c>
      <c r="F1154" s="2" t="s">
        <v>5</v>
      </c>
      <c r="G1154" s="2">
        <v>351.19999999970702</v>
      </c>
      <c r="H1154" s="2" t="s">
        <v>8</v>
      </c>
      <c r="I1154" s="2">
        <v>68826.999999999796</v>
      </c>
      <c r="J1154" s="2">
        <v>1000</v>
      </c>
      <c r="K1154" s="2">
        <v>300</v>
      </c>
      <c r="L1154" s="2">
        <v>0</v>
      </c>
      <c r="M1154" s="2">
        <v>375765.57</v>
      </c>
      <c r="N1154">
        <f t="shared" si="22"/>
        <v>444943.76999999949</v>
      </c>
      <c r="O1154" s="2" t="s">
        <v>5</v>
      </c>
    </row>
    <row r="1155" spans="1:15" x14ac:dyDescent="0.2">
      <c r="A1155">
        <v>32</v>
      </c>
      <c r="B1155">
        <v>5</v>
      </c>
      <c r="C1155">
        <v>5</v>
      </c>
      <c r="D1155" s="2">
        <v>2</v>
      </c>
      <c r="E1155" s="2">
        <v>2</v>
      </c>
      <c r="F1155" s="2" t="s">
        <v>5</v>
      </c>
      <c r="G1155" s="2">
        <v>356.00000000002302</v>
      </c>
      <c r="H1155" s="2" t="s">
        <v>8</v>
      </c>
      <c r="I1155" s="2">
        <v>64877.000000000102</v>
      </c>
      <c r="J1155" s="2">
        <v>1000</v>
      </c>
      <c r="K1155" s="2">
        <v>300</v>
      </c>
      <c r="L1155" s="2">
        <v>0</v>
      </c>
      <c r="M1155" s="2">
        <v>382705.57</v>
      </c>
      <c r="N1155">
        <f t="shared" si="22"/>
        <v>447938.57000000012</v>
      </c>
      <c r="O1155" s="2" t="s">
        <v>5</v>
      </c>
    </row>
    <row r="1156" spans="1:15" x14ac:dyDescent="0.2">
      <c r="A1156">
        <v>33</v>
      </c>
      <c r="B1156">
        <v>5</v>
      </c>
      <c r="C1156">
        <v>5</v>
      </c>
      <c r="D1156" s="2">
        <v>2</v>
      </c>
      <c r="E1156" s="2">
        <v>3</v>
      </c>
      <c r="F1156" s="2" t="s">
        <v>5</v>
      </c>
      <c r="G1156" s="2">
        <v>485.39999999981399</v>
      </c>
      <c r="H1156" s="2" t="s">
        <v>8</v>
      </c>
      <c r="I1156" s="2">
        <v>255639</v>
      </c>
      <c r="J1156" s="2">
        <v>1000</v>
      </c>
      <c r="K1156" s="2">
        <v>300</v>
      </c>
      <c r="L1156" s="2">
        <v>0</v>
      </c>
      <c r="M1156" s="2">
        <v>420864.37</v>
      </c>
      <c r="N1156">
        <f t="shared" si="22"/>
        <v>676988.76999999979</v>
      </c>
      <c r="O1156" s="2" t="s">
        <v>4</v>
      </c>
    </row>
    <row r="1157" spans="1:15" x14ac:dyDescent="0.2">
      <c r="A1157">
        <v>34</v>
      </c>
      <c r="B1157">
        <v>5</v>
      </c>
      <c r="C1157">
        <v>5</v>
      </c>
      <c r="D1157" s="2">
        <v>2</v>
      </c>
      <c r="E1157" s="2">
        <v>1</v>
      </c>
      <c r="F1157" s="2" t="s">
        <v>5</v>
      </c>
      <c r="G1157" s="2">
        <v>307.60000000000798</v>
      </c>
      <c r="H1157" s="2" t="s">
        <v>8</v>
      </c>
      <c r="I1157" s="2">
        <v>49771.999999999898</v>
      </c>
      <c r="J1157" s="2">
        <v>1000</v>
      </c>
      <c r="K1157" s="2">
        <v>300</v>
      </c>
      <c r="L1157" s="2">
        <v>0</v>
      </c>
      <c r="M1157" s="2">
        <v>422725.57</v>
      </c>
      <c r="N1157">
        <f t="shared" si="22"/>
        <v>472805.16999999993</v>
      </c>
      <c r="O1157" s="2" t="s">
        <v>5</v>
      </c>
    </row>
    <row r="1158" spans="1:15" x14ac:dyDescent="0.2">
      <c r="A1158">
        <v>35</v>
      </c>
      <c r="B1158">
        <v>5</v>
      </c>
      <c r="C1158">
        <v>6</v>
      </c>
      <c r="D1158" s="2">
        <v>2</v>
      </c>
      <c r="E1158" s="2">
        <v>1</v>
      </c>
      <c r="F1158" s="2" t="s">
        <v>5</v>
      </c>
      <c r="G1158" s="2">
        <v>378.80000000036802</v>
      </c>
      <c r="H1158" s="2" t="s">
        <v>8</v>
      </c>
      <c r="I1158" s="2">
        <v>110241</v>
      </c>
      <c r="J1158" s="2">
        <v>1000</v>
      </c>
      <c r="K1158" s="2">
        <v>300</v>
      </c>
      <c r="L1158" s="2">
        <v>0</v>
      </c>
      <c r="M1158" s="2">
        <v>400325.57</v>
      </c>
      <c r="N1158">
        <f t="shared" si="22"/>
        <v>510945.37000000034</v>
      </c>
      <c r="O1158" s="2" t="s">
        <v>5</v>
      </c>
    </row>
    <row r="1159" spans="1:15" x14ac:dyDescent="0.2">
      <c r="A1159">
        <v>36</v>
      </c>
      <c r="B1159">
        <v>5</v>
      </c>
      <c r="C1159">
        <v>6</v>
      </c>
      <c r="D1159" s="2">
        <v>2</v>
      </c>
      <c r="E1159" s="2">
        <v>2</v>
      </c>
      <c r="F1159" s="2" t="s">
        <v>5</v>
      </c>
      <c r="G1159" s="2">
        <v>225.399999999709</v>
      </c>
      <c r="H1159" s="2" t="s">
        <v>8</v>
      </c>
      <c r="I1159" s="2">
        <v>111119</v>
      </c>
      <c r="J1159" s="2">
        <v>1000</v>
      </c>
      <c r="K1159" s="2">
        <v>300</v>
      </c>
      <c r="L1159" s="2">
        <v>0</v>
      </c>
      <c r="M1159" s="2">
        <v>400445.57</v>
      </c>
      <c r="N1159">
        <f t="shared" si="22"/>
        <v>511789.96999999974</v>
      </c>
      <c r="O1159" s="2" t="s">
        <v>5</v>
      </c>
    </row>
    <row r="1160" spans="1:15" x14ac:dyDescent="0.2">
      <c r="A1160">
        <v>37</v>
      </c>
      <c r="B1160">
        <v>5</v>
      </c>
      <c r="C1160">
        <v>6</v>
      </c>
      <c r="D1160" s="2">
        <v>2</v>
      </c>
      <c r="E1160" s="2">
        <v>3</v>
      </c>
      <c r="F1160" s="2" t="s">
        <v>5</v>
      </c>
      <c r="G1160" s="2">
        <v>317.40000000049002</v>
      </c>
      <c r="H1160" s="2" t="s">
        <v>8</v>
      </c>
      <c r="I1160" s="2">
        <v>450438.99999999901</v>
      </c>
      <c r="J1160" s="2">
        <v>1000</v>
      </c>
      <c r="K1160" s="2">
        <v>300</v>
      </c>
      <c r="L1160" s="2">
        <v>0</v>
      </c>
      <c r="M1160" s="2">
        <v>393346.37</v>
      </c>
      <c r="N1160">
        <f t="shared" si="22"/>
        <v>844102.76999999955</v>
      </c>
      <c r="O1160" s="2" t="s">
        <v>4</v>
      </c>
    </row>
    <row r="1161" spans="1:15" x14ac:dyDescent="0.2">
      <c r="A1161">
        <v>38</v>
      </c>
      <c r="B1161">
        <v>5</v>
      </c>
      <c r="C1161">
        <v>6</v>
      </c>
      <c r="D1161" s="2">
        <v>2</v>
      </c>
      <c r="E1161" s="2">
        <v>1</v>
      </c>
      <c r="F1161" s="2" t="s">
        <v>5</v>
      </c>
      <c r="G1161" s="2">
        <v>206.39999999971801</v>
      </c>
      <c r="H1161" s="2" t="s">
        <v>8</v>
      </c>
      <c r="I1161" s="2">
        <v>136472</v>
      </c>
      <c r="J1161" s="2">
        <v>1000</v>
      </c>
      <c r="K1161" s="2">
        <v>300</v>
      </c>
      <c r="L1161" s="2">
        <v>0</v>
      </c>
      <c r="M1161" s="2">
        <v>381905.17</v>
      </c>
      <c r="N1161">
        <f t="shared" si="22"/>
        <v>518583.56999999972</v>
      </c>
      <c r="O1161" s="2" t="s">
        <v>5</v>
      </c>
    </row>
    <row r="1162" spans="1:15" x14ac:dyDescent="0.2">
      <c r="A1162">
        <v>39</v>
      </c>
      <c r="B1162">
        <v>5</v>
      </c>
      <c r="C1162">
        <v>7</v>
      </c>
      <c r="D1162" s="2">
        <v>2</v>
      </c>
      <c r="E1162" s="2">
        <v>1</v>
      </c>
      <c r="F1162" s="2" t="s">
        <v>5</v>
      </c>
      <c r="G1162" s="2">
        <v>257.600000000124</v>
      </c>
      <c r="H1162" s="2" t="s">
        <v>8</v>
      </c>
      <c r="I1162" s="2">
        <v>207379</v>
      </c>
      <c r="J1162" s="2">
        <v>1000</v>
      </c>
      <c r="K1162" s="2">
        <v>300</v>
      </c>
      <c r="L1162" s="2">
        <v>0</v>
      </c>
      <c r="M1162" s="2">
        <v>419224.77</v>
      </c>
      <c r="N1162">
        <f t="shared" si="22"/>
        <v>626861.37000000011</v>
      </c>
      <c r="O1162" s="2" t="s">
        <v>5</v>
      </c>
    </row>
    <row r="1163" spans="1:15" x14ac:dyDescent="0.2">
      <c r="A1163">
        <v>40</v>
      </c>
      <c r="B1163">
        <v>5</v>
      </c>
      <c r="C1163">
        <v>7</v>
      </c>
      <c r="D1163" s="2">
        <v>2</v>
      </c>
      <c r="E1163" s="2">
        <v>2</v>
      </c>
      <c r="F1163" s="2" t="s">
        <v>5</v>
      </c>
      <c r="G1163" s="2">
        <v>242.59999999962599</v>
      </c>
      <c r="H1163" s="2" t="s">
        <v>8</v>
      </c>
      <c r="I1163" s="2">
        <v>197622</v>
      </c>
      <c r="J1163" s="2">
        <v>1000</v>
      </c>
      <c r="K1163" s="2">
        <v>300</v>
      </c>
      <c r="L1163" s="2">
        <v>0</v>
      </c>
      <c r="M1163" s="2">
        <v>385225.57</v>
      </c>
      <c r="N1163">
        <f t="shared" si="22"/>
        <v>583090.16999999969</v>
      </c>
      <c r="O1163" s="2" t="s">
        <v>5</v>
      </c>
    </row>
    <row r="1164" spans="1:15" x14ac:dyDescent="0.2">
      <c r="A1164">
        <v>41</v>
      </c>
      <c r="B1164">
        <v>5</v>
      </c>
      <c r="C1164">
        <v>7</v>
      </c>
      <c r="D1164" s="2">
        <v>2</v>
      </c>
      <c r="E1164" s="2">
        <v>3</v>
      </c>
      <c r="F1164" s="2" t="s">
        <v>5</v>
      </c>
      <c r="G1164" s="2">
        <v>354.20000000030399</v>
      </c>
      <c r="H1164" s="2" t="s">
        <v>8</v>
      </c>
      <c r="I1164" s="2">
        <v>1010568</v>
      </c>
      <c r="J1164" s="2">
        <v>1000</v>
      </c>
      <c r="K1164" s="2">
        <v>300</v>
      </c>
      <c r="L1164" s="2">
        <v>0</v>
      </c>
      <c r="M1164" s="2">
        <v>414225.97</v>
      </c>
      <c r="N1164">
        <f t="shared" si="22"/>
        <v>1425148.1700000004</v>
      </c>
      <c r="O1164" s="2" t="s">
        <v>4</v>
      </c>
    </row>
    <row r="1165" spans="1:15" x14ac:dyDescent="0.2">
      <c r="A1165">
        <v>42</v>
      </c>
      <c r="B1165">
        <v>5</v>
      </c>
      <c r="C1165">
        <v>4</v>
      </c>
      <c r="D1165" s="2">
        <v>2</v>
      </c>
      <c r="E1165" s="2">
        <v>1</v>
      </c>
      <c r="F1165" s="2" t="s">
        <v>5</v>
      </c>
      <c r="G1165" s="2">
        <v>129.800000000202</v>
      </c>
      <c r="H1165" s="2" t="s">
        <v>8</v>
      </c>
      <c r="I1165" s="2">
        <v>33082.000000000298</v>
      </c>
      <c r="J1165" s="2">
        <v>1000</v>
      </c>
      <c r="K1165" s="2">
        <v>300</v>
      </c>
      <c r="L1165" s="2">
        <v>0</v>
      </c>
      <c r="M1165" s="2">
        <v>392285.97</v>
      </c>
      <c r="N1165">
        <f t="shared" si="22"/>
        <v>425497.77000000048</v>
      </c>
      <c r="O1165" s="2" t="s">
        <v>5</v>
      </c>
    </row>
    <row r="1166" spans="1:15" x14ac:dyDescent="0.2">
      <c r="A1166">
        <v>43</v>
      </c>
      <c r="B1166">
        <v>5</v>
      </c>
      <c r="C1166">
        <v>5</v>
      </c>
      <c r="D1166" s="2">
        <v>2</v>
      </c>
      <c r="E1166" s="2">
        <v>1</v>
      </c>
      <c r="F1166" s="2" t="s">
        <v>5</v>
      </c>
      <c r="G1166" s="2">
        <v>157.00000000009601</v>
      </c>
      <c r="H1166" s="2" t="s">
        <v>8</v>
      </c>
      <c r="I1166" s="2">
        <v>50701.000000000102</v>
      </c>
      <c r="J1166" s="2">
        <v>1000</v>
      </c>
      <c r="K1166" s="2">
        <v>300</v>
      </c>
      <c r="L1166" s="2">
        <v>0</v>
      </c>
      <c r="M1166" s="2">
        <v>385386.37</v>
      </c>
      <c r="N1166">
        <f t="shared" si="22"/>
        <v>436244.37000000017</v>
      </c>
      <c r="O1166" s="2" t="s">
        <v>5</v>
      </c>
    </row>
    <row r="1167" spans="1:15" x14ac:dyDescent="0.2">
      <c r="A1167">
        <v>44</v>
      </c>
      <c r="B1167">
        <v>5</v>
      </c>
      <c r="C1167">
        <v>5</v>
      </c>
      <c r="D1167" s="2">
        <v>2</v>
      </c>
      <c r="E1167" s="2">
        <v>2</v>
      </c>
      <c r="F1167" s="2" t="s">
        <v>5</v>
      </c>
      <c r="G1167" s="2">
        <v>156.599999999685</v>
      </c>
      <c r="H1167" s="2" t="s">
        <v>8</v>
      </c>
      <c r="I1167" s="2">
        <v>66129.000000000102</v>
      </c>
      <c r="J1167" s="2">
        <v>1000</v>
      </c>
      <c r="K1167" s="2">
        <v>300</v>
      </c>
      <c r="L1167" s="2">
        <v>0</v>
      </c>
      <c r="M1167" s="2">
        <v>386225.97</v>
      </c>
      <c r="N1167">
        <f t="shared" si="22"/>
        <v>452511.56999999977</v>
      </c>
      <c r="O1167" s="2" t="s">
        <v>5</v>
      </c>
    </row>
    <row r="1168" spans="1:15" x14ac:dyDescent="0.2">
      <c r="A1168">
        <v>45</v>
      </c>
      <c r="B1168">
        <v>5</v>
      </c>
      <c r="C1168">
        <v>5</v>
      </c>
      <c r="D1168" s="2">
        <v>2</v>
      </c>
      <c r="E1168" s="2">
        <v>3</v>
      </c>
      <c r="F1168" s="2" t="s">
        <v>5</v>
      </c>
      <c r="G1168" s="2">
        <v>211.00000000018301</v>
      </c>
      <c r="H1168" s="2" t="s">
        <v>8</v>
      </c>
      <c r="I1168" s="2">
        <v>256781.99999999901</v>
      </c>
      <c r="J1168" s="2">
        <v>1000</v>
      </c>
      <c r="K1168" s="2">
        <v>300</v>
      </c>
      <c r="L1168" s="2">
        <v>0</v>
      </c>
      <c r="M1168" s="2">
        <v>388225.57</v>
      </c>
      <c r="N1168">
        <f t="shared" si="22"/>
        <v>645218.56999999913</v>
      </c>
      <c r="O1168" s="2" t="s">
        <v>5</v>
      </c>
    </row>
    <row r="1169" spans="1:15" x14ac:dyDescent="0.2">
      <c r="A1169">
        <v>46</v>
      </c>
      <c r="B1169">
        <v>5</v>
      </c>
      <c r="C1169">
        <v>6</v>
      </c>
      <c r="D1169" s="2">
        <v>2</v>
      </c>
      <c r="E1169" s="2">
        <v>1</v>
      </c>
      <c r="F1169" s="2" t="s">
        <v>5</v>
      </c>
      <c r="G1169" s="2">
        <v>189.400000000006</v>
      </c>
      <c r="H1169" s="2" t="s">
        <v>8</v>
      </c>
      <c r="I1169" s="2">
        <v>193839</v>
      </c>
      <c r="J1169" s="2">
        <v>1000</v>
      </c>
      <c r="K1169" s="2">
        <v>300</v>
      </c>
      <c r="L1169" s="2">
        <v>0</v>
      </c>
      <c r="M1169" s="2">
        <v>390786.77</v>
      </c>
      <c r="N1169">
        <f t="shared" si="22"/>
        <v>584815.17000000004</v>
      </c>
      <c r="O1169" s="2" t="s">
        <v>5</v>
      </c>
    </row>
    <row r="1170" spans="1:15" x14ac:dyDescent="0.2">
      <c r="A1170">
        <v>47</v>
      </c>
      <c r="B1170">
        <v>5</v>
      </c>
      <c r="C1170">
        <v>6</v>
      </c>
      <c r="D1170" s="2">
        <v>2</v>
      </c>
      <c r="E1170" s="2">
        <v>2</v>
      </c>
      <c r="F1170" s="2" t="s">
        <v>5</v>
      </c>
      <c r="G1170" s="2">
        <v>193.80000000026601</v>
      </c>
      <c r="H1170" s="2" t="s">
        <v>8</v>
      </c>
      <c r="I1170" s="2">
        <v>113693.999999999</v>
      </c>
      <c r="J1170" s="2">
        <v>1000</v>
      </c>
      <c r="K1170" s="2">
        <v>300</v>
      </c>
      <c r="L1170" s="2">
        <v>0</v>
      </c>
      <c r="M1170" s="2">
        <v>386365.57</v>
      </c>
      <c r="N1170">
        <f t="shared" si="22"/>
        <v>500253.3699999993</v>
      </c>
      <c r="O1170" s="2" t="s">
        <v>5</v>
      </c>
    </row>
    <row r="1171" spans="1:15" x14ac:dyDescent="0.2">
      <c r="A1171">
        <v>48</v>
      </c>
      <c r="B1171">
        <v>5</v>
      </c>
      <c r="C1171">
        <v>6</v>
      </c>
      <c r="D1171" s="2">
        <v>2</v>
      </c>
      <c r="E1171" s="2">
        <v>3</v>
      </c>
      <c r="F1171" s="2" t="s">
        <v>5</v>
      </c>
      <c r="G1171" s="2">
        <v>249.79999999992199</v>
      </c>
      <c r="H1171" s="2" t="s">
        <v>8</v>
      </c>
      <c r="I1171" s="2">
        <v>251965</v>
      </c>
      <c r="J1171" s="2">
        <v>1000</v>
      </c>
      <c r="K1171" s="2">
        <v>300</v>
      </c>
      <c r="L1171" s="2">
        <v>0</v>
      </c>
      <c r="M1171" s="2">
        <v>429326.37</v>
      </c>
      <c r="N1171">
        <f t="shared" si="22"/>
        <v>681541.16999999993</v>
      </c>
      <c r="O1171" s="2" t="s">
        <v>4</v>
      </c>
    </row>
    <row r="1172" spans="1:15" x14ac:dyDescent="0.2">
      <c r="A1172">
        <v>49</v>
      </c>
      <c r="B1172">
        <v>5</v>
      </c>
      <c r="C1172">
        <v>6</v>
      </c>
      <c r="D1172" s="2">
        <v>2</v>
      </c>
      <c r="E1172" s="2">
        <v>1</v>
      </c>
      <c r="F1172" s="2" t="s">
        <v>5</v>
      </c>
      <c r="G1172" s="2">
        <v>183.19999999931699</v>
      </c>
      <c r="H1172" s="2" t="s">
        <v>8</v>
      </c>
      <c r="I1172" s="2">
        <v>102215.999999999</v>
      </c>
      <c r="J1172" s="2">
        <v>1000</v>
      </c>
      <c r="K1172" s="2">
        <v>300</v>
      </c>
      <c r="L1172" s="2">
        <v>0</v>
      </c>
      <c r="M1172" s="2">
        <v>400105.57</v>
      </c>
      <c r="N1172">
        <f t="shared" si="22"/>
        <v>502504.76999999833</v>
      </c>
      <c r="O1172" s="2" t="s">
        <v>5</v>
      </c>
    </row>
    <row r="1173" spans="1:15" x14ac:dyDescent="0.2">
      <c r="A1173">
        <v>50</v>
      </c>
      <c r="B1173">
        <v>5</v>
      </c>
      <c r="C1173">
        <v>6</v>
      </c>
      <c r="D1173" s="2">
        <v>2</v>
      </c>
      <c r="E1173" s="2">
        <v>2</v>
      </c>
      <c r="F1173" s="2" t="s">
        <v>5</v>
      </c>
      <c r="G1173" s="2">
        <v>190.800000000024</v>
      </c>
      <c r="H1173" s="2" t="s">
        <v>8</v>
      </c>
      <c r="I1173" s="2">
        <v>146021.99999999901</v>
      </c>
      <c r="J1173" s="2">
        <v>1000</v>
      </c>
      <c r="K1173" s="2">
        <v>300</v>
      </c>
      <c r="L1173" s="2">
        <v>0</v>
      </c>
      <c r="M1173" s="2">
        <v>383105.57</v>
      </c>
      <c r="N1173">
        <f t="shared" si="22"/>
        <v>529318.36999999906</v>
      </c>
      <c r="O1173" s="2" t="s">
        <v>5</v>
      </c>
    </row>
    <row r="1174" spans="1:15" x14ac:dyDescent="0.2">
      <c r="A1174">
        <v>51</v>
      </c>
      <c r="B1174">
        <v>5</v>
      </c>
      <c r="C1174">
        <v>6</v>
      </c>
      <c r="D1174" s="2">
        <v>2</v>
      </c>
      <c r="E1174" s="2">
        <v>3</v>
      </c>
      <c r="F1174" s="2" t="s">
        <v>5</v>
      </c>
      <c r="G1174" s="2">
        <v>252.19999999990301</v>
      </c>
      <c r="H1174" s="2" t="s">
        <v>8</v>
      </c>
      <c r="I1174" s="2">
        <v>203922</v>
      </c>
      <c r="J1174" s="2">
        <v>1000</v>
      </c>
      <c r="K1174" s="2">
        <v>300</v>
      </c>
      <c r="L1174" s="2">
        <v>0</v>
      </c>
      <c r="M1174" s="2">
        <v>398324.77</v>
      </c>
      <c r="N1174">
        <f t="shared" ref="N1174:N1192" si="23">G1174+I1174+M1174</f>
        <v>602498.97</v>
      </c>
      <c r="O1174" s="2" t="s">
        <v>5</v>
      </c>
    </row>
    <row r="1175" spans="1:15" x14ac:dyDescent="0.2">
      <c r="A1175">
        <v>52</v>
      </c>
      <c r="B1175">
        <v>5</v>
      </c>
      <c r="C1175">
        <v>7</v>
      </c>
      <c r="D1175" s="2">
        <v>2</v>
      </c>
      <c r="E1175" s="2">
        <v>1</v>
      </c>
      <c r="F1175" s="2" t="s">
        <v>5</v>
      </c>
      <c r="G1175" s="2">
        <v>219.40000000029201</v>
      </c>
      <c r="H1175" s="2" t="s">
        <v>8</v>
      </c>
      <c r="I1175" s="2">
        <v>251747</v>
      </c>
      <c r="J1175" s="2">
        <v>1000</v>
      </c>
      <c r="K1175" s="2">
        <v>300</v>
      </c>
      <c r="L1175" s="2">
        <v>0</v>
      </c>
      <c r="M1175" s="2">
        <v>383865.17</v>
      </c>
      <c r="N1175">
        <f t="shared" si="23"/>
        <v>635831.5700000003</v>
      </c>
      <c r="O1175" s="2" t="s">
        <v>5</v>
      </c>
    </row>
    <row r="1176" spans="1:15" x14ac:dyDescent="0.2">
      <c r="A1176">
        <v>53</v>
      </c>
      <c r="B1176">
        <v>5</v>
      </c>
      <c r="C1176">
        <v>7</v>
      </c>
      <c r="D1176" s="2">
        <v>2</v>
      </c>
      <c r="E1176" s="2">
        <v>2</v>
      </c>
      <c r="F1176" s="2" t="s">
        <v>5</v>
      </c>
      <c r="G1176" s="2">
        <v>218.80000000038501</v>
      </c>
      <c r="H1176" s="2" t="s">
        <v>8</v>
      </c>
      <c r="I1176" s="2">
        <v>209296.99999999901</v>
      </c>
      <c r="J1176" s="2">
        <v>1000</v>
      </c>
      <c r="K1176" s="2">
        <v>300</v>
      </c>
      <c r="L1176" s="2">
        <v>0</v>
      </c>
      <c r="M1176" s="2">
        <v>401784.77</v>
      </c>
      <c r="N1176">
        <f t="shared" si="23"/>
        <v>611300.56999999937</v>
      </c>
      <c r="O1176" s="2" t="s">
        <v>5</v>
      </c>
    </row>
    <row r="1177" spans="1:15" x14ac:dyDescent="0.2">
      <c r="A1177">
        <v>54</v>
      </c>
      <c r="B1177">
        <v>5</v>
      </c>
      <c r="C1177">
        <v>7</v>
      </c>
      <c r="D1177" s="2">
        <v>2</v>
      </c>
      <c r="E1177" s="2">
        <v>3</v>
      </c>
      <c r="F1177" s="2" t="s">
        <v>5</v>
      </c>
      <c r="G1177" s="2">
        <v>306.40000000019501</v>
      </c>
      <c r="H1177" s="2" t="s">
        <v>8</v>
      </c>
      <c r="I1177" s="2">
        <v>515255</v>
      </c>
      <c r="J1177" s="2">
        <v>1000</v>
      </c>
      <c r="K1177" s="2">
        <v>300</v>
      </c>
      <c r="L1177" s="2">
        <v>0</v>
      </c>
      <c r="M1177" s="2">
        <v>405083.97</v>
      </c>
      <c r="N1177">
        <f t="shared" si="23"/>
        <v>920645.37000000011</v>
      </c>
      <c r="O1177" s="2" t="s">
        <v>5</v>
      </c>
    </row>
    <row r="1178" spans="1:15" x14ac:dyDescent="0.2">
      <c r="A1178">
        <v>55</v>
      </c>
      <c r="B1178">
        <v>5</v>
      </c>
      <c r="C1178">
        <v>5</v>
      </c>
      <c r="D1178" s="2">
        <v>2</v>
      </c>
      <c r="E1178" s="2">
        <v>1</v>
      </c>
      <c r="F1178" s="2" t="s">
        <v>5</v>
      </c>
      <c r="G1178" s="2">
        <v>140.60000000064599</v>
      </c>
      <c r="H1178" s="2" t="s">
        <v>8</v>
      </c>
      <c r="I1178" s="2">
        <v>51733.999999999702</v>
      </c>
      <c r="J1178" s="2">
        <v>1000</v>
      </c>
      <c r="K1178" s="2">
        <v>300</v>
      </c>
      <c r="L1178" s="2">
        <v>0</v>
      </c>
      <c r="M1178" s="2">
        <v>391665.17</v>
      </c>
      <c r="N1178">
        <f t="shared" si="23"/>
        <v>443539.77000000031</v>
      </c>
      <c r="O1178" s="2" t="s">
        <v>5</v>
      </c>
    </row>
    <row r="1179" spans="1:15" x14ac:dyDescent="0.2">
      <c r="A1179">
        <v>56</v>
      </c>
      <c r="B1179">
        <v>5</v>
      </c>
      <c r="C1179">
        <v>5</v>
      </c>
      <c r="D1179" s="2">
        <v>2</v>
      </c>
      <c r="E1179" s="2">
        <v>2</v>
      </c>
      <c r="F1179" s="2" t="s">
        <v>5</v>
      </c>
      <c r="G1179" s="2">
        <v>137.60000000004899</v>
      </c>
      <c r="H1179" s="2" t="s">
        <v>8</v>
      </c>
      <c r="I1179" s="2">
        <v>57291.000000001099</v>
      </c>
      <c r="J1179" s="2">
        <v>1000</v>
      </c>
      <c r="K1179" s="2">
        <v>300</v>
      </c>
      <c r="L1179" s="2">
        <v>0</v>
      </c>
      <c r="M1179" s="2">
        <v>378145.57</v>
      </c>
      <c r="N1179">
        <f t="shared" si="23"/>
        <v>435574.17000000115</v>
      </c>
      <c r="O1179" s="2" t="s">
        <v>5</v>
      </c>
    </row>
    <row r="1180" spans="1:15" x14ac:dyDescent="0.2">
      <c r="A1180">
        <v>57</v>
      </c>
      <c r="B1180">
        <v>5</v>
      </c>
      <c r="C1180">
        <v>5</v>
      </c>
      <c r="D1180" s="2">
        <v>2</v>
      </c>
      <c r="E1180" s="2">
        <v>3</v>
      </c>
      <c r="F1180" s="2" t="s">
        <v>5</v>
      </c>
      <c r="G1180" s="2">
        <v>183.39999999987799</v>
      </c>
      <c r="H1180" s="2" t="s">
        <v>8</v>
      </c>
      <c r="I1180" s="2">
        <v>96692.000000000902</v>
      </c>
      <c r="J1180" s="2">
        <v>1000</v>
      </c>
      <c r="K1180" s="2">
        <v>300</v>
      </c>
      <c r="L1180" s="2">
        <v>0</v>
      </c>
      <c r="M1180" s="2">
        <v>423086.37</v>
      </c>
      <c r="N1180">
        <f t="shared" si="23"/>
        <v>519961.77000000078</v>
      </c>
      <c r="O1180" s="2" t="s">
        <v>5</v>
      </c>
    </row>
    <row r="1181" spans="1:15" x14ac:dyDescent="0.2">
      <c r="A1181">
        <v>58</v>
      </c>
      <c r="B1181">
        <v>5</v>
      </c>
      <c r="C1181">
        <v>6</v>
      </c>
      <c r="D1181" s="2">
        <v>2</v>
      </c>
      <c r="E1181" s="2">
        <v>1</v>
      </c>
      <c r="F1181" s="2" t="s">
        <v>5</v>
      </c>
      <c r="G1181" s="2">
        <v>215.599999999228</v>
      </c>
      <c r="H1181" s="2" t="s">
        <v>8</v>
      </c>
      <c r="I1181" s="2">
        <v>86040.000000000597</v>
      </c>
      <c r="J1181" s="2">
        <v>1000</v>
      </c>
      <c r="K1181" s="2">
        <v>300</v>
      </c>
      <c r="L1181" s="2">
        <v>0</v>
      </c>
      <c r="M1181" s="2">
        <v>395085.17</v>
      </c>
      <c r="N1181">
        <f t="shared" si="23"/>
        <v>481340.76999999979</v>
      </c>
      <c r="O1181" s="2" t="s">
        <v>5</v>
      </c>
    </row>
    <row r="1182" spans="1:15" x14ac:dyDescent="0.2">
      <c r="A1182">
        <v>59</v>
      </c>
      <c r="B1182">
        <v>5</v>
      </c>
      <c r="C1182">
        <v>6</v>
      </c>
      <c r="D1182" s="2">
        <v>2</v>
      </c>
      <c r="E1182" s="2">
        <v>2</v>
      </c>
      <c r="F1182" s="2" t="s">
        <v>5</v>
      </c>
      <c r="G1182" s="2">
        <v>212.39999999984599</v>
      </c>
      <c r="H1182" s="2" t="s">
        <v>8</v>
      </c>
      <c r="I1182" s="2">
        <v>68540.000000000495</v>
      </c>
      <c r="J1182" s="2">
        <v>1000</v>
      </c>
      <c r="K1182" s="2">
        <v>300</v>
      </c>
      <c r="L1182" s="2">
        <v>0</v>
      </c>
      <c r="M1182" s="2">
        <v>375965.57</v>
      </c>
      <c r="N1182">
        <f t="shared" si="23"/>
        <v>444717.97000000032</v>
      </c>
      <c r="O1182" s="2" t="s">
        <v>5</v>
      </c>
    </row>
    <row r="1183" spans="1:15" x14ac:dyDescent="0.2">
      <c r="A1183">
        <v>60</v>
      </c>
      <c r="B1183">
        <v>5</v>
      </c>
      <c r="C1183">
        <v>6</v>
      </c>
      <c r="D1183" s="2">
        <v>2</v>
      </c>
      <c r="E1183" s="2">
        <v>3</v>
      </c>
      <c r="F1183" s="2" t="s">
        <v>5</v>
      </c>
      <c r="G1183" s="2">
        <v>288.40000000016602</v>
      </c>
      <c r="H1183" s="2" t="s">
        <v>8</v>
      </c>
      <c r="I1183" s="2">
        <v>278874.99999999901</v>
      </c>
      <c r="J1183" s="2">
        <v>1000</v>
      </c>
      <c r="K1183" s="2">
        <v>300</v>
      </c>
      <c r="L1183" s="2">
        <v>0</v>
      </c>
      <c r="M1183" s="2">
        <v>388086.77</v>
      </c>
      <c r="N1183">
        <f t="shared" si="23"/>
        <v>667250.16999999923</v>
      </c>
      <c r="O1183" s="2" t="s">
        <v>4</v>
      </c>
    </row>
    <row r="1184" spans="1:15" x14ac:dyDescent="0.2">
      <c r="A1184">
        <v>61</v>
      </c>
      <c r="B1184">
        <v>5</v>
      </c>
      <c r="C1184">
        <v>7</v>
      </c>
      <c r="D1184" s="2">
        <v>2</v>
      </c>
      <c r="E1184" s="2">
        <v>1</v>
      </c>
      <c r="F1184" s="2" t="s">
        <v>5</v>
      </c>
      <c r="G1184" s="2">
        <v>230.60000000043601</v>
      </c>
      <c r="H1184" s="2" t="s">
        <v>8</v>
      </c>
      <c r="I1184" s="2">
        <v>161028</v>
      </c>
      <c r="J1184" s="2">
        <v>1000</v>
      </c>
      <c r="K1184" s="2">
        <v>300</v>
      </c>
      <c r="L1184" s="2">
        <v>0</v>
      </c>
      <c r="M1184" s="2">
        <v>426825.17</v>
      </c>
      <c r="N1184">
        <f t="shared" si="23"/>
        <v>588083.77000000048</v>
      </c>
      <c r="O1184" s="2" t="s">
        <v>5</v>
      </c>
    </row>
    <row r="1185" spans="1:15" x14ac:dyDescent="0.2">
      <c r="A1185">
        <v>62</v>
      </c>
      <c r="B1185">
        <v>5</v>
      </c>
      <c r="C1185">
        <v>7</v>
      </c>
      <c r="D1185" s="2">
        <v>2</v>
      </c>
      <c r="E1185" s="2">
        <v>2</v>
      </c>
      <c r="F1185" s="2" t="s">
        <v>5</v>
      </c>
      <c r="G1185" s="2">
        <v>233.80000000017299</v>
      </c>
      <c r="H1185" s="2" t="s">
        <v>8</v>
      </c>
      <c r="I1185" s="2">
        <v>123650</v>
      </c>
      <c r="J1185" s="2">
        <v>1000</v>
      </c>
      <c r="K1185" s="2">
        <v>300</v>
      </c>
      <c r="L1185" s="2">
        <v>0</v>
      </c>
      <c r="M1185" s="2">
        <v>401325.97</v>
      </c>
      <c r="N1185">
        <f t="shared" si="23"/>
        <v>525209.77000000014</v>
      </c>
      <c r="O1185" s="2" t="s">
        <v>5</v>
      </c>
    </row>
    <row r="1186" spans="1:15" x14ac:dyDescent="0.2">
      <c r="A1186">
        <v>63</v>
      </c>
      <c r="B1186">
        <v>5</v>
      </c>
      <c r="C1186">
        <v>7</v>
      </c>
      <c r="D1186" s="2">
        <v>2</v>
      </c>
      <c r="E1186" s="2">
        <v>3</v>
      </c>
      <c r="F1186" s="2" t="s">
        <v>5</v>
      </c>
      <c r="G1186" s="2">
        <v>359.799999999666</v>
      </c>
      <c r="H1186" s="2" t="s">
        <v>8</v>
      </c>
      <c r="I1186" s="2">
        <v>395599.00000000099</v>
      </c>
      <c r="J1186" s="2">
        <v>1000</v>
      </c>
      <c r="K1186" s="2">
        <v>300</v>
      </c>
      <c r="L1186" s="2">
        <v>0</v>
      </c>
      <c r="M1186" s="2">
        <v>396646.77</v>
      </c>
      <c r="N1186">
        <f t="shared" si="23"/>
        <v>792605.57000000065</v>
      </c>
      <c r="O1186" s="2" t="s">
        <v>4</v>
      </c>
    </row>
    <row r="1187" spans="1:15" x14ac:dyDescent="0.2">
      <c r="A1187">
        <v>64</v>
      </c>
      <c r="B1187">
        <v>5</v>
      </c>
      <c r="C1187">
        <v>8</v>
      </c>
      <c r="D1187" s="2">
        <v>2</v>
      </c>
      <c r="E1187" s="2">
        <v>1</v>
      </c>
      <c r="F1187" s="2" t="s">
        <v>5</v>
      </c>
      <c r="G1187" s="2">
        <v>274.00000000028501</v>
      </c>
      <c r="H1187" s="2" t="s">
        <v>8</v>
      </c>
      <c r="I1187" s="2">
        <v>279384</v>
      </c>
      <c r="J1187" s="2">
        <v>1000</v>
      </c>
      <c r="K1187" s="2">
        <v>300</v>
      </c>
      <c r="L1187" s="2">
        <v>0</v>
      </c>
      <c r="M1187" s="2">
        <v>386726.77</v>
      </c>
      <c r="N1187">
        <f t="shared" si="23"/>
        <v>666384.77000000025</v>
      </c>
      <c r="O1187" s="2" t="s">
        <v>5</v>
      </c>
    </row>
    <row r="1188" spans="1:15" x14ac:dyDescent="0.2">
      <c r="A1188">
        <v>65</v>
      </c>
      <c r="B1188">
        <v>5</v>
      </c>
      <c r="C1188">
        <v>8</v>
      </c>
      <c r="D1188" s="2">
        <v>2</v>
      </c>
      <c r="E1188" s="2">
        <v>2</v>
      </c>
      <c r="F1188" s="2" t="s">
        <v>5</v>
      </c>
      <c r="G1188" s="2">
        <v>271.20000000024902</v>
      </c>
      <c r="H1188" s="2" t="s">
        <v>8</v>
      </c>
      <c r="I1188" s="2">
        <v>345789</v>
      </c>
      <c r="J1188" s="2">
        <v>1000</v>
      </c>
      <c r="K1188" s="2">
        <v>300</v>
      </c>
      <c r="L1188" s="2">
        <v>0</v>
      </c>
      <c r="M1188" s="2">
        <v>403065.17</v>
      </c>
      <c r="N1188">
        <f t="shared" si="23"/>
        <v>749125.37000000023</v>
      </c>
      <c r="O1188" s="2" t="s">
        <v>5</v>
      </c>
    </row>
    <row r="1189" spans="1:15" x14ac:dyDescent="0.2">
      <c r="A1189">
        <v>66</v>
      </c>
      <c r="B1189">
        <v>5</v>
      </c>
      <c r="C1189">
        <v>8</v>
      </c>
      <c r="D1189" s="2">
        <v>2</v>
      </c>
      <c r="E1189" s="2">
        <v>3</v>
      </c>
      <c r="F1189" s="2" t="s">
        <v>5</v>
      </c>
      <c r="G1189" s="2">
        <v>390.99999999976399</v>
      </c>
      <c r="H1189" s="2" t="s">
        <v>8</v>
      </c>
      <c r="I1189" s="2">
        <v>1149315</v>
      </c>
      <c r="J1189" s="2">
        <v>1000</v>
      </c>
      <c r="K1189" s="2">
        <v>300</v>
      </c>
      <c r="L1189" s="2">
        <v>0</v>
      </c>
      <c r="M1189" s="2">
        <v>404705.57</v>
      </c>
      <c r="N1189">
        <f t="shared" si="23"/>
        <v>1554411.5699999998</v>
      </c>
      <c r="O1189" s="2" t="s">
        <v>4</v>
      </c>
    </row>
    <row r="1190" spans="1:15" x14ac:dyDescent="0.2">
      <c r="A1190">
        <v>67</v>
      </c>
      <c r="B1190">
        <v>5</v>
      </c>
      <c r="C1190">
        <v>7</v>
      </c>
      <c r="D1190" s="2">
        <v>2</v>
      </c>
      <c r="E1190" s="2">
        <v>1</v>
      </c>
      <c r="F1190" s="2" t="s">
        <v>5</v>
      </c>
      <c r="G1190" s="2">
        <v>210.20000000007099</v>
      </c>
      <c r="H1190" s="2" t="s">
        <v>8</v>
      </c>
      <c r="I1190" s="2">
        <v>176762</v>
      </c>
      <c r="J1190" s="2">
        <v>1000</v>
      </c>
      <c r="K1190" s="2">
        <v>300</v>
      </c>
      <c r="L1190" s="2">
        <v>0</v>
      </c>
      <c r="M1190" s="2">
        <v>397725.17</v>
      </c>
      <c r="N1190">
        <f t="shared" si="23"/>
        <v>574697.37000000011</v>
      </c>
      <c r="O1190" s="2" t="s">
        <v>5</v>
      </c>
    </row>
    <row r="1191" spans="1:15" x14ac:dyDescent="0.2">
      <c r="A1191">
        <v>68</v>
      </c>
      <c r="B1191">
        <v>5</v>
      </c>
      <c r="C1191">
        <v>7</v>
      </c>
      <c r="D1191" s="2">
        <v>2</v>
      </c>
      <c r="E1191" s="2">
        <v>2</v>
      </c>
      <c r="F1191" s="2" t="s">
        <v>5</v>
      </c>
      <c r="G1191" s="2">
        <v>210.00000000022101</v>
      </c>
      <c r="H1191" s="2" t="s">
        <v>8</v>
      </c>
      <c r="I1191" s="2">
        <v>175160</v>
      </c>
      <c r="J1191" s="2">
        <v>1000</v>
      </c>
      <c r="K1191" s="2">
        <v>300</v>
      </c>
      <c r="L1191" s="2">
        <v>0</v>
      </c>
      <c r="M1191" s="2">
        <v>381804.77</v>
      </c>
      <c r="N1191">
        <f t="shared" si="23"/>
        <v>557174.77000000025</v>
      </c>
      <c r="O1191" s="2" t="s">
        <v>5</v>
      </c>
    </row>
    <row r="1192" spans="1:15" x14ac:dyDescent="0.2">
      <c r="A1192">
        <v>69</v>
      </c>
      <c r="B1192">
        <v>5</v>
      </c>
      <c r="C1192">
        <v>7</v>
      </c>
      <c r="D1192" s="2">
        <v>2</v>
      </c>
      <c r="E1192" s="2">
        <v>3</v>
      </c>
      <c r="F1192" s="2" t="s">
        <v>5</v>
      </c>
      <c r="G1192" s="2">
        <v>292.59999999986502</v>
      </c>
      <c r="H1192" s="2" t="s">
        <v>8</v>
      </c>
      <c r="I1192" s="2">
        <v>386187</v>
      </c>
      <c r="J1192" s="2">
        <v>1000</v>
      </c>
      <c r="K1192" s="2">
        <v>300</v>
      </c>
      <c r="L1192" s="2">
        <v>0</v>
      </c>
      <c r="M1192" s="2">
        <v>377424.37</v>
      </c>
      <c r="N1192">
        <f t="shared" si="23"/>
        <v>763903.96999999986</v>
      </c>
      <c r="O1192" s="2" t="s">
        <v>4</v>
      </c>
    </row>
    <row r="1193" spans="1:15" x14ac:dyDescent="0.2">
      <c r="A1193">
        <v>28</v>
      </c>
      <c r="B1193">
        <v>5</v>
      </c>
      <c r="C1193">
        <v>4</v>
      </c>
      <c r="D1193" s="2">
        <v>2</v>
      </c>
      <c r="E1193" s="2">
        <v>1</v>
      </c>
      <c r="F1193" s="2" t="s">
        <v>5</v>
      </c>
      <c r="G1193" s="2">
        <v>541.19999999961999</v>
      </c>
      <c r="H1193" s="2" t="s">
        <v>8</v>
      </c>
      <c r="I1193" s="2">
        <v>37176.000000000502</v>
      </c>
      <c r="J1193" s="2">
        <v>2000</v>
      </c>
      <c r="K1193" s="2">
        <v>300</v>
      </c>
      <c r="L1193" s="2">
        <v>0</v>
      </c>
      <c r="M1193" s="2">
        <v>750848.37</v>
      </c>
      <c r="N1193">
        <f t="shared" si="21"/>
        <v>788565.57000000007</v>
      </c>
      <c r="O1193" s="9" t="s">
        <v>5</v>
      </c>
    </row>
    <row r="1194" spans="1:15" x14ac:dyDescent="0.2">
      <c r="A1194">
        <v>29</v>
      </c>
      <c r="B1194">
        <v>5</v>
      </c>
      <c r="C1194">
        <v>5</v>
      </c>
      <c r="D1194" s="2">
        <v>2</v>
      </c>
      <c r="E1194" s="2">
        <v>2</v>
      </c>
      <c r="F1194" s="2" t="s">
        <v>5</v>
      </c>
      <c r="G1194" s="2">
        <v>547.39999999959798</v>
      </c>
      <c r="H1194" s="2" t="s">
        <v>8</v>
      </c>
      <c r="I1194" s="2">
        <v>71896.000000000597</v>
      </c>
      <c r="J1194" s="2">
        <v>2000</v>
      </c>
      <c r="K1194" s="2">
        <v>300</v>
      </c>
      <c r="L1194" s="2">
        <v>0</v>
      </c>
      <c r="M1194" s="2">
        <v>777327.17</v>
      </c>
      <c r="N1194">
        <f t="shared" si="21"/>
        <v>849770.5700000003</v>
      </c>
      <c r="O1194" s="9" t="s">
        <v>5</v>
      </c>
    </row>
    <row r="1195" spans="1:15" x14ac:dyDescent="0.2">
      <c r="A1195">
        <v>30</v>
      </c>
      <c r="B1195">
        <v>5</v>
      </c>
      <c r="C1195">
        <v>5</v>
      </c>
      <c r="D1195" s="2">
        <v>2</v>
      </c>
      <c r="E1195" s="2">
        <v>3</v>
      </c>
      <c r="F1195" s="2" t="s">
        <v>5</v>
      </c>
      <c r="G1195" s="2">
        <v>598.60000000000502</v>
      </c>
      <c r="H1195" s="2" t="s">
        <v>8</v>
      </c>
      <c r="I1195" s="2">
        <v>251473</v>
      </c>
      <c r="J1195" s="2">
        <v>2000</v>
      </c>
      <c r="K1195" s="2">
        <v>300</v>
      </c>
      <c r="L1195" s="2">
        <v>0</v>
      </c>
      <c r="M1195" s="2">
        <v>781967.57</v>
      </c>
      <c r="N1195">
        <f t="shared" si="21"/>
        <v>1034039.1699999999</v>
      </c>
      <c r="O1195" s="9" t="s">
        <v>4</v>
      </c>
    </row>
    <row r="1196" spans="1:15" x14ac:dyDescent="0.2">
      <c r="A1196">
        <v>31</v>
      </c>
      <c r="B1196">
        <v>5</v>
      </c>
      <c r="C1196">
        <v>5</v>
      </c>
      <c r="D1196" s="2">
        <v>2</v>
      </c>
      <c r="E1196" s="2">
        <v>1</v>
      </c>
      <c r="F1196" s="2" t="s">
        <v>5</v>
      </c>
      <c r="G1196" s="2">
        <v>351.19999999970702</v>
      </c>
      <c r="H1196" s="2" t="s">
        <v>8</v>
      </c>
      <c r="I1196" s="2">
        <v>68826.999999999796</v>
      </c>
      <c r="J1196" s="2">
        <v>2000</v>
      </c>
      <c r="K1196" s="2">
        <v>300</v>
      </c>
      <c r="L1196" s="2">
        <v>0</v>
      </c>
      <c r="M1196" s="2">
        <v>735607.17</v>
      </c>
      <c r="N1196">
        <f t="shared" si="21"/>
        <v>804785.36999999953</v>
      </c>
      <c r="O1196" s="9" t="s">
        <v>5</v>
      </c>
    </row>
    <row r="1197" spans="1:15" x14ac:dyDescent="0.2">
      <c r="A1197">
        <v>32</v>
      </c>
      <c r="B1197">
        <v>5</v>
      </c>
      <c r="C1197">
        <v>5</v>
      </c>
      <c r="D1197" s="2">
        <v>2</v>
      </c>
      <c r="E1197" s="2">
        <v>2</v>
      </c>
      <c r="F1197" s="2" t="s">
        <v>5</v>
      </c>
      <c r="G1197" s="2">
        <v>356.00000000002302</v>
      </c>
      <c r="H1197" s="2" t="s">
        <v>8</v>
      </c>
      <c r="I1197" s="2">
        <v>64877.000000000102</v>
      </c>
      <c r="J1197" s="2">
        <v>2000</v>
      </c>
      <c r="K1197" s="2">
        <v>300</v>
      </c>
      <c r="L1197" s="2">
        <v>0</v>
      </c>
      <c r="M1197" s="2">
        <v>749487.17</v>
      </c>
      <c r="N1197">
        <f t="shared" si="21"/>
        <v>814720.17000000016</v>
      </c>
      <c r="O1197" s="9" t="s">
        <v>5</v>
      </c>
    </row>
    <row r="1198" spans="1:15" x14ac:dyDescent="0.2">
      <c r="A1198">
        <v>33</v>
      </c>
      <c r="B1198">
        <v>5</v>
      </c>
      <c r="C1198">
        <v>5</v>
      </c>
      <c r="D1198" s="2">
        <v>2</v>
      </c>
      <c r="E1198" s="2">
        <v>3</v>
      </c>
      <c r="F1198" s="2" t="s">
        <v>5</v>
      </c>
      <c r="G1198" s="2">
        <v>485.39999999981399</v>
      </c>
      <c r="H1198" s="2" t="s">
        <v>8</v>
      </c>
      <c r="I1198" s="2">
        <v>255639</v>
      </c>
      <c r="J1198" s="2">
        <v>2000</v>
      </c>
      <c r="K1198" s="2">
        <v>300</v>
      </c>
      <c r="L1198" s="2">
        <v>0</v>
      </c>
      <c r="M1198" s="2">
        <v>825806.37</v>
      </c>
      <c r="N1198">
        <f t="shared" si="21"/>
        <v>1081930.7699999998</v>
      </c>
      <c r="O1198" s="9" t="s">
        <v>4</v>
      </c>
    </row>
    <row r="1199" spans="1:15" x14ac:dyDescent="0.2">
      <c r="A1199">
        <v>34</v>
      </c>
      <c r="B1199">
        <v>5</v>
      </c>
      <c r="C1199">
        <v>5</v>
      </c>
      <c r="D1199" s="2">
        <v>2</v>
      </c>
      <c r="E1199" s="2">
        <v>1</v>
      </c>
      <c r="F1199" s="2" t="s">
        <v>5</v>
      </c>
      <c r="G1199" s="2">
        <v>307.60000000000798</v>
      </c>
      <c r="H1199" s="2" t="s">
        <v>8</v>
      </c>
      <c r="I1199" s="2">
        <v>49771.999999999898</v>
      </c>
      <c r="J1199" s="2">
        <v>2000</v>
      </c>
      <c r="K1199" s="2">
        <v>300</v>
      </c>
      <c r="L1199" s="2">
        <v>0</v>
      </c>
      <c r="M1199" s="2">
        <v>829526.77</v>
      </c>
      <c r="N1199">
        <f t="shared" ref="N1199:N1262" si="24">G1199+I1199+M1199</f>
        <v>879606.36999999988</v>
      </c>
      <c r="O1199" s="9" t="s">
        <v>5</v>
      </c>
    </row>
    <row r="1200" spans="1:15" x14ac:dyDescent="0.2">
      <c r="A1200">
        <v>35</v>
      </c>
      <c r="B1200">
        <v>5</v>
      </c>
      <c r="C1200">
        <v>6</v>
      </c>
      <c r="D1200" s="2">
        <v>2</v>
      </c>
      <c r="E1200" s="2">
        <v>1</v>
      </c>
      <c r="F1200" s="2" t="s">
        <v>5</v>
      </c>
      <c r="G1200" s="2">
        <v>378.80000000036802</v>
      </c>
      <c r="H1200" s="2" t="s">
        <v>8</v>
      </c>
      <c r="I1200" s="2">
        <v>110241</v>
      </c>
      <c r="J1200" s="2">
        <v>2000</v>
      </c>
      <c r="K1200" s="2">
        <v>300</v>
      </c>
      <c r="L1200" s="2">
        <v>0</v>
      </c>
      <c r="M1200" s="2">
        <v>784726.77</v>
      </c>
      <c r="N1200">
        <f t="shared" si="24"/>
        <v>895346.57000000041</v>
      </c>
      <c r="O1200" s="9" t="s">
        <v>5</v>
      </c>
    </row>
    <row r="1201" spans="1:15" x14ac:dyDescent="0.2">
      <c r="A1201">
        <v>36</v>
      </c>
      <c r="B1201">
        <v>5</v>
      </c>
      <c r="C1201">
        <v>6</v>
      </c>
      <c r="D1201" s="2">
        <v>2</v>
      </c>
      <c r="E1201" s="2">
        <v>2</v>
      </c>
      <c r="F1201" s="2" t="s">
        <v>5</v>
      </c>
      <c r="G1201" s="2">
        <v>225.399999999709</v>
      </c>
      <c r="H1201" s="2" t="s">
        <v>8</v>
      </c>
      <c r="I1201" s="2">
        <v>111119</v>
      </c>
      <c r="J1201" s="2">
        <v>2000</v>
      </c>
      <c r="K1201" s="2">
        <v>300</v>
      </c>
      <c r="L1201" s="2">
        <v>0</v>
      </c>
      <c r="M1201" s="2">
        <v>784967.17</v>
      </c>
      <c r="N1201">
        <f t="shared" si="24"/>
        <v>896311.56999999972</v>
      </c>
      <c r="O1201" s="9" t="s">
        <v>5</v>
      </c>
    </row>
    <row r="1202" spans="1:15" x14ac:dyDescent="0.2">
      <c r="A1202">
        <v>37</v>
      </c>
      <c r="B1202">
        <v>5</v>
      </c>
      <c r="C1202">
        <v>6</v>
      </c>
      <c r="D1202" s="2">
        <v>2</v>
      </c>
      <c r="E1202" s="2">
        <v>3</v>
      </c>
      <c r="F1202" s="2" t="s">
        <v>5</v>
      </c>
      <c r="G1202" s="2">
        <v>317.40000000049002</v>
      </c>
      <c r="H1202" s="2" t="s">
        <v>8</v>
      </c>
      <c r="I1202" s="2">
        <v>450438.99999999901</v>
      </c>
      <c r="J1202" s="2">
        <v>2000</v>
      </c>
      <c r="K1202" s="2">
        <v>300</v>
      </c>
      <c r="L1202" s="2">
        <v>0</v>
      </c>
      <c r="M1202" s="2">
        <v>770767.17</v>
      </c>
      <c r="N1202">
        <f t="shared" si="24"/>
        <v>1221523.5699999996</v>
      </c>
      <c r="O1202" s="9" t="s">
        <v>4</v>
      </c>
    </row>
    <row r="1203" spans="1:15" x14ac:dyDescent="0.2">
      <c r="A1203">
        <v>38</v>
      </c>
      <c r="B1203">
        <v>5</v>
      </c>
      <c r="C1203">
        <v>6</v>
      </c>
      <c r="D1203" s="2">
        <v>2</v>
      </c>
      <c r="E1203" s="2">
        <v>1</v>
      </c>
      <c r="F1203" s="2" t="s">
        <v>5</v>
      </c>
      <c r="G1203" s="2">
        <v>206.39999999971801</v>
      </c>
      <c r="H1203" s="2" t="s">
        <v>8</v>
      </c>
      <c r="I1203" s="2">
        <v>136472</v>
      </c>
      <c r="J1203" s="2">
        <v>2000</v>
      </c>
      <c r="K1203" s="2">
        <v>300</v>
      </c>
      <c r="L1203" s="2">
        <v>0</v>
      </c>
      <c r="M1203" s="2">
        <v>747886.77</v>
      </c>
      <c r="N1203">
        <f t="shared" si="24"/>
        <v>884565.16999999969</v>
      </c>
      <c r="O1203" s="9" t="s">
        <v>5</v>
      </c>
    </row>
    <row r="1204" spans="1:15" x14ac:dyDescent="0.2">
      <c r="A1204">
        <v>39</v>
      </c>
      <c r="B1204">
        <v>5</v>
      </c>
      <c r="C1204">
        <v>7</v>
      </c>
      <c r="D1204" s="2">
        <v>2</v>
      </c>
      <c r="E1204" s="2">
        <v>1</v>
      </c>
      <c r="F1204" s="2" t="s">
        <v>5</v>
      </c>
      <c r="G1204" s="2">
        <v>257.600000000124</v>
      </c>
      <c r="H1204" s="2" t="s">
        <v>8</v>
      </c>
      <c r="I1204" s="2">
        <v>207379</v>
      </c>
      <c r="J1204" s="2">
        <v>2000</v>
      </c>
      <c r="K1204" s="2">
        <v>300</v>
      </c>
      <c r="L1204" s="2">
        <v>0</v>
      </c>
      <c r="M1204" s="2">
        <v>822526.37</v>
      </c>
      <c r="N1204">
        <f t="shared" si="24"/>
        <v>1030162.9700000001</v>
      </c>
      <c r="O1204" s="9" t="s">
        <v>5</v>
      </c>
    </row>
    <row r="1205" spans="1:15" x14ac:dyDescent="0.2">
      <c r="A1205">
        <v>40</v>
      </c>
      <c r="B1205">
        <v>5</v>
      </c>
      <c r="C1205">
        <v>7</v>
      </c>
      <c r="D1205" s="2">
        <v>2</v>
      </c>
      <c r="E1205" s="2">
        <v>2</v>
      </c>
      <c r="F1205" s="2" t="s">
        <v>5</v>
      </c>
      <c r="G1205" s="2">
        <v>242.59999999962599</v>
      </c>
      <c r="H1205" s="2" t="s">
        <v>8</v>
      </c>
      <c r="I1205" s="2">
        <v>197622</v>
      </c>
      <c r="J1205" s="2">
        <v>2000</v>
      </c>
      <c r="K1205" s="2">
        <v>300</v>
      </c>
      <c r="L1205" s="2">
        <v>0</v>
      </c>
      <c r="M1205" s="2">
        <v>754527.17</v>
      </c>
      <c r="N1205">
        <f t="shared" si="24"/>
        <v>952391.76999999967</v>
      </c>
      <c r="O1205" s="9" t="s">
        <v>4</v>
      </c>
    </row>
    <row r="1206" spans="1:15" x14ac:dyDescent="0.2">
      <c r="A1206">
        <v>41</v>
      </c>
      <c r="B1206">
        <v>5</v>
      </c>
      <c r="C1206">
        <v>7</v>
      </c>
      <c r="D1206" s="2">
        <v>2</v>
      </c>
      <c r="E1206" s="2">
        <v>3</v>
      </c>
      <c r="F1206" s="2" t="s">
        <v>5</v>
      </c>
      <c r="G1206" s="2">
        <v>354.20000000030399</v>
      </c>
      <c r="H1206" s="2" t="s">
        <v>8</v>
      </c>
      <c r="I1206" s="2">
        <v>1010568</v>
      </c>
      <c r="J1206" s="2">
        <v>2000</v>
      </c>
      <c r="K1206" s="2">
        <v>300</v>
      </c>
      <c r="L1206" s="2">
        <v>0</v>
      </c>
      <c r="M1206" s="2">
        <v>812527.97</v>
      </c>
      <c r="N1206">
        <f t="shared" si="24"/>
        <v>1823450.1700000004</v>
      </c>
      <c r="O1206" s="9" t="s">
        <v>4</v>
      </c>
    </row>
    <row r="1207" spans="1:15" x14ac:dyDescent="0.2">
      <c r="A1207">
        <v>42</v>
      </c>
      <c r="B1207">
        <v>5</v>
      </c>
      <c r="C1207">
        <v>4</v>
      </c>
      <c r="D1207" s="2">
        <v>2</v>
      </c>
      <c r="E1207" s="2">
        <v>1</v>
      </c>
      <c r="F1207" s="2" t="s">
        <v>5</v>
      </c>
      <c r="G1207" s="2">
        <v>129.800000000202</v>
      </c>
      <c r="H1207" s="2" t="s">
        <v>8</v>
      </c>
      <c r="I1207" s="2">
        <v>33082.000000000298</v>
      </c>
      <c r="J1207" s="2">
        <v>2000</v>
      </c>
      <c r="K1207" s="2">
        <v>300</v>
      </c>
      <c r="L1207" s="2">
        <v>0</v>
      </c>
      <c r="M1207" s="2">
        <v>768647.57</v>
      </c>
      <c r="N1207">
        <f t="shared" si="24"/>
        <v>801859.37000000046</v>
      </c>
      <c r="O1207" s="9" t="s">
        <v>5</v>
      </c>
    </row>
    <row r="1208" spans="1:15" x14ac:dyDescent="0.2">
      <c r="A1208">
        <v>43</v>
      </c>
      <c r="B1208">
        <v>5</v>
      </c>
      <c r="C1208">
        <v>5</v>
      </c>
      <c r="D1208" s="2">
        <v>2</v>
      </c>
      <c r="E1208" s="2">
        <v>1</v>
      </c>
      <c r="F1208" s="2" t="s">
        <v>5</v>
      </c>
      <c r="G1208" s="2">
        <v>157.00000000009601</v>
      </c>
      <c r="H1208" s="2" t="s">
        <v>8</v>
      </c>
      <c r="I1208" s="2">
        <v>50701.000000000102</v>
      </c>
      <c r="J1208" s="2">
        <v>2000</v>
      </c>
      <c r="K1208" s="2">
        <v>300</v>
      </c>
      <c r="L1208" s="2">
        <v>0</v>
      </c>
      <c r="M1208" s="2">
        <v>754847.17</v>
      </c>
      <c r="N1208">
        <f t="shared" si="24"/>
        <v>805705.17000000027</v>
      </c>
      <c r="O1208" s="9" t="s">
        <v>5</v>
      </c>
    </row>
    <row r="1209" spans="1:15" x14ac:dyDescent="0.2">
      <c r="A1209">
        <v>44</v>
      </c>
      <c r="B1209">
        <v>5</v>
      </c>
      <c r="C1209">
        <v>5</v>
      </c>
      <c r="D1209" s="2">
        <v>2</v>
      </c>
      <c r="E1209" s="2">
        <v>2</v>
      </c>
      <c r="F1209" s="2" t="s">
        <v>5</v>
      </c>
      <c r="G1209" s="2">
        <v>156.599999999685</v>
      </c>
      <c r="H1209" s="2" t="s">
        <v>8</v>
      </c>
      <c r="I1209" s="2">
        <v>66129.000000000102</v>
      </c>
      <c r="J1209" s="2">
        <v>2000</v>
      </c>
      <c r="K1209" s="2">
        <v>300</v>
      </c>
      <c r="L1209" s="2">
        <v>0</v>
      </c>
      <c r="M1209" s="2">
        <v>756527.57</v>
      </c>
      <c r="N1209">
        <f t="shared" si="24"/>
        <v>822813.16999999969</v>
      </c>
      <c r="O1209" s="9" t="s">
        <v>5</v>
      </c>
    </row>
    <row r="1210" spans="1:15" x14ac:dyDescent="0.2">
      <c r="A1210">
        <v>45</v>
      </c>
      <c r="B1210">
        <v>5</v>
      </c>
      <c r="C1210">
        <v>5</v>
      </c>
      <c r="D1210" s="2">
        <v>2</v>
      </c>
      <c r="E1210" s="2">
        <v>3</v>
      </c>
      <c r="F1210" s="2" t="s">
        <v>5</v>
      </c>
      <c r="G1210" s="2">
        <v>211.00000000018301</v>
      </c>
      <c r="H1210" s="2" t="s">
        <v>8</v>
      </c>
      <c r="I1210" s="2">
        <v>256781.99999999901</v>
      </c>
      <c r="J1210" s="2">
        <v>2000</v>
      </c>
      <c r="K1210" s="2">
        <v>300</v>
      </c>
      <c r="L1210" s="2">
        <v>0</v>
      </c>
      <c r="M1210" s="2">
        <v>760527.17</v>
      </c>
      <c r="N1210">
        <f t="shared" si="24"/>
        <v>1017520.1699999992</v>
      </c>
      <c r="O1210" s="9" t="s">
        <v>5</v>
      </c>
    </row>
    <row r="1211" spans="1:15" x14ac:dyDescent="0.2">
      <c r="A1211">
        <v>46</v>
      </c>
      <c r="B1211">
        <v>5</v>
      </c>
      <c r="C1211">
        <v>6</v>
      </c>
      <c r="D1211" s="2">
        <v>2</v>
      </c>
      <c r="E1211" s="2">
        <v>1</v>
      </c>
      <c r="F1211" s="2" t="s">
        <v>5</v>
      </c>
      <c r="G1211" s="2">
        <v>189.400000000006</v>
      </c>
      <c r="H1211" s="2" t="s">
        <v>8</v>
      </c>
      <c r="I1211" s="2">
        <v>193839</v>
      </c>
      <c r="J1211" s="2">
        <v>2000</v>
      </c>
      <c r="K1211" s="2">
        <v>300</v>
      </c>
      <c r="L1211" s="2">
        <v>0</v>
      </c>
      <c r="M1211" s="2">
        <v>765648.37</v>
      </c>
      <c r="N1211">
        <f t="shared" si="24"/>
        <v>959676.77</v>
      </c>
      <c r="O1211" s="9" t="s">
        <v>5</v>
      </c>
    </row>
    <row r="1212" spans="1:15" x14ac:dyDescent="0.2">
      <c r="A1212">
        <v>47</v>
      </c>
      <c r="B1212">
        <v>5</v>
      </c>
      <c r="C1212">
        <v>6</v>
      </c>
      <c r="D1212" s="2">
        <v>2</v>
      </c>
      <c r="E1212" s="2">
        <v>2</v>
      </c>
      <c r="F1212" s="2" t="s">
        <v>5</v>
      </c>
      <c r="G1212" s="2">
        <v>193.80000000026601</v>
      </c>
      <c r="H1212" s="2" t="s">
        <v>8</v>
      </c>
      <c r="I1212" s="2">
        <v>113693.999999999</v>
      </c>
      <c r="J1212" s="2">
        <v>2000</v>
      </c>
      <c r="K1212" s="2">
        <v>300</v>
      </c>
      <c r="L1212" s="2">
        <v>0</v>
      </c>
      <c r="M1212" s="2">
        <v>756806.77</v>
      </c>
      <c r="N1212">
        <f t="shared" si="24"/>
        <v>870694.56999999925</v>
      </c>
      <c r="O1212" s="9" t="s">
        <v>5</v>
      </c>
    </row>
    <row r="1213" spans="1:15" x14ac:dyDescent="0.2">
      <c r="A1213">
        <v>48</v>
      </c>
      <c r="B1213">
        <v>5</v>
      </c>
      <c r="C1213">
        <v>6</v>
      </c>
      <c r="D1213" s="2">
        <v>2</v>
      </c>
      <c r="E1213" s="2">
        <v>3</v>
      </c>
      <c r="F1213" s="2" t="s">
        <v>5</v>
      </c>
      <c r="G1213" s="2">
        <v>249.79999999992199</v>
      </c>
      <c r="H1213" s="2" t="s">
        <v>8</v>
      </c>
      <c r="I1213" s="2">
        <v>251965</v>
      </c>
      <c r="J1213" s="2">
        <v>2000</v>
      </c>
      <c r="K1213" s="2">
        <v>300</v>
      </c>
      <c r="L1213" s="2">
        <v>0</v>
      </c>
      <c r="M1213" s="2">
        <v>842727.97</v>
      </c>
      <c r="N1213">
        <f t="shared" si="24"/>
        <v>1094942.77</v>
      </c>
      <c r="O1213" s="9" t="s">
        <v>5</v>
      </c>
    </row>
    <row r="1214" spans="1:15" x14ac:dyDescent="0.2">
      <c r="A1214">
        <v>49</v>
      </c>
      <c r="B1214">
        <v>5</v>
      </c>
      <c r="C1214">
        <v>6</v>
      </c>
      <c r="D1214" s="2">
        <v>2</v>
      </c>
      <c r="E1214" s="2">
        <v>1</v>
      </c>
      <c r="F1214" s="2" t="s">
        <v>5</v>
      </c>
      <c r="G1214" s="2">
        <v>183.19999999931699</v>
      </c>
      <c r="H1214" s="2" t="s">
        <v>8</v>
      </c>
      <c r="I1214" s="2">
        <v>102215.999999999</v>
      </c>
      <c r="J1214" s="2">
        <v>2000</v>
      </c>
      <c r="K1214" s="2">
        <v>300</v>
      </c>
      <c r="L1214" s="2">
        <v>0</v>
      </c>
      <c r="M1214" s="2">
        <v>784287.17</v>
      </c>
      <c r="N1214">
        <f t="shared" si="24"/>
        <v>886686.36999999837</v>
      </c>
      <c r="O1214" s="9" t="s">
        <v>5</v>
      </c>
    </row>
    <row r="1215" spans="1:15" x14ac:dyDescent="0.2">
      <c r="A1215">
        <v>50</v>
      </c>
      <c r="B1215">
        <v>5</v>
      </c>
      <c r="C1215">
        <v>6</v>
      </c>
      <c r="D1215" s="2">
        <v>2</v>
      </c>
      <c r="E1215" s="2">
        <v>2</v>
      </c>
      <c r="F1215" s="2" t="s">
        <v>5</v>
      </c>
      <c r="G1215" s="2">
        <v>190.800000000024</v>
      </c>
      <c r="H1215" s="2" t="s">
        <v>8</v>
      </c>
      <c r="I1215" s="2">
        <v>146021.99999999901</v>
      </c>
      <c r="J1215" s="2">
        <v>2000</v>
      </c>
      <c r="K1215" s="2">
        <v>300</v>
      </c>
      <c r="L1215" s="2">
        <v>0</v>
      </c>
      <c r="M1215" s="2">
        <v>750287.57</v>
      </c>
      <c r="N1215">
        <f t="shared" si="24"/>
        <v>896500.36999999895</v>
      </c>
      <c r="O1215" s="9" t="s">
        <v>5</v>
      </c>
    </row>
    <row r="1216" spans="1:15" x14ac:dyDescent="0.2">
      <c r="A1216">
        <v>51</v>
      </c>
      <c r="B1216">
        <v>5</v>
      </c>
      <c r="C1216">
        <v>6</v>
      </c>
      <c r="D1216" s="2">
        <v>2</v>
      </c>
      <c r="E1216" s="2">
        <v>3</v>
      </c>
      <c r="F1216" s="2" t="s">
        <v>5</v>
      </c>
      <c r="G1216" s="2">
        <v>252.19999999990301</v>
      </c>
      <c r="H1216" s="2" t="s">
        <v>8</v>
      </c>
      <c r="I1216" s="2">
        <v>203922</v>
      </c>
      <c r="J1216" s="2">
        <v>2000</v>
      </c>
      <c r="K1216" s="2">
        <v>300</v>
      </c>
      <c r="L1216" s="2">
        <v>0</v>
      </c>
      <c r="M1216" s="2">
        <v>780726.37</v>
      </c>
      <c r="N1216">
        <f t="shared" si="24"/>
        <v>984900.56999999983</v>
      </c>
      <c r="O1216" s="9" t="s">
        <v>4</v>
      </c>
    </row>
    <row r="1217" spans="1:15" x14ac:dyDescent="0.2">
      <c r="A1217">
        <v>52</v>
      </c>
      <c r="B1217">
        <v>5</v>
      </c>
      <c r="C1217">
        <v>7</v>
      </c>
      <c r="D1217" s="2">
        <v>2</v>
      </c>
      <c r="E1217" s="2">
        <v>1</v>
      </c>
      <c r="F1217" s="2" t="s">
        <v>5</v>
      </c>
      <c r="G1217" s="2">
        <v>219.40000000029201</v>
      </c>
      <c r="H1217" s="2" t="s">
        <v>8</v>
      </c>
      <c r="I1217" s="2">
        <v>251747</v>
      </c>
      <c r="J1217" s="2">
        <v>2000</v>
      </c>
      <c r="K1217" s="2">
        <v>300</v>
      </c>
      <c r="L1217" s="2">
        <v>0</v>
      </c>
      <c r="M1217" s="2">
        <v>751806.77</v>
      </c>
      <c r="N1217">
        <f t="shared" si="24"/>
        <v>1003773.1700000003</v>
      </c>
      <c r="O1217" s="9" t="s">
        <v>5</v>
      </c>
    </row>
    <row r="1218" spans="1:15" x14ac:dyDescent="0.2">
      <c r="A1218">
        <v>53</v>
      </c>
      <c r="B1218">
        <v>5</v>
      </c>
      <c r="C1218">
        <v>7</v>
      </c>
      <c r="D1218" s="2">
        <v>2</v>
      </c>
      <c r="E1218" s="2">
        <v>2</v>
      </c>
      <c r="F1218" s="2" t="s">
        <v>5</v>
      </c>
      <c r="G1218" s="2">
        <v>218.80000000038501</v>
      </c>
      <c r="H1218" s="2" t="s">
        <v>8</v>
      </c>
      <c r="I1218" s="2">
        <v>209296.99999999901</v>
      </c>
      <c r="J1218" s="2">
        <v>2000</v>
      </c>
      <c r="K1218" s="2">
        <v>300</v>
      </c>
      <c r="L1218" s="2">
        <v>0</v>
      </c>
      <c r="M1218" s="2">
        <v>787647.17</v>
      </c>
      <c r="N1218">
        <f t="shared" si="24"/>
        <v>997162.96999999951</v>
      </c>
      <c r="O1218" s="9" t="s">
        <v>5</v>
      </c>
    </row>
    <row r="1219" spans="1:15" x14ac:dyDescent="0.2">
      <c r="A1219">
        <v>54</v>
      </c>
      <c r="B1219">
        <v>5</v>
      </c>
      <c r="C1219">
        <v>7</v>
      </c>
      <c r="D1219" s="2">
        <v>2</v>
      </c>
      <c r="E1219" s="2">
        <v>3</v>
      </c>
      <c r="F1219" s="2" t="s">
        <v>5</v>
      </c>
      <c r="G1219" s="2">
        <v>306.40000000019501</v>
      </c>
      <c r="H1219" s="2" t="s">
        <v>8</v>
      </c>
      <c r="I1219" s="2">
        <v>515255</v>
      </c>
      <c r="J1219" s="2">
        <v>2000</v>
      </c>
      <c r="K1219" s="2">
        <v>300</v>
      </c>
      <c r="L1219" s="2">
        <v>0</v>
      </c>
      <c r="M1219" s="2">
        <v>794245.97</v>
      </c>
      <c r="N1219">
        <f t="shared" si="24"/>
        <v>1309807.3700000001</v>
      </c>
      <c r="O1219" s="9" t="s">
        <v>4</v>
      </c>
    </row>
    <row r="1220" spans="1:15" x14ac:dyDescent="0.2">
      <c r="A1220">
        <v>55</v>
      </c>
      <c r="B1220">
        <v>5</v>
      </c>
      <c r="C1220">
        <v>5</v>
      </c>
      <c r="D1220" s="2">
        <v>2</v>
      </c>
      <c r="E1220" s="2">
        <v>1</v>
      </c>
      <c r="F1220" s="2" t="s">
        <v>5</v>
      </c>
      <c r="G1220" s="2">
        <v>140.60000000064599</v>
      </c>
      <c r="H1220" s="2" t="s">
        <v>8</v>
      </c>
      <c r="I1220" s="2">
        <v>51733.999999999702</v>
      </c>
      <c r="J1220" s="2">
        <v>2000</v>
      </c>
      <c r="K1220" s="2">
        <v>300</v>
      </c>
      <c r="L1220" s="2">
        <v>0</v>
      </c>
      <c r="M1220" s="2">
        <v>767407.17</v>
      </c>
      <c r="N1220">
        <f t="shared" si="24"/>
        <v>819281.77000000037</v>
      </c>
      <c r="O1220" s="9" t="s">
        <v>5</v>
      </c>
    </row>
    <row r="1221" spans="1:15" x14ac:dyDescent="0.2">
      <c r="A1221">
        <v>56</v>
      </c>
      <c r="B1221">
        <v>5</v>
      </c>
      <c r="C1221">
        <v>5</v>
      </c>
      <c r="D1221" s="2">
        <v>2</v>
      </c>
      <c r="E1221" s="2">
        <v>2</v>
      </c>
      <c r="F1221" s="2" t="s">
        <v>5</v>
      </c>
      <c r="G1221" s="2">
        <v>137.60000000004899</v>
      </c>
      <c r="H1221" s="2" t="s">
        <v>8</v>
      </c>
      <c r="I1221" s="2">
        <v>57291.000000001099</v>
      </c>
      <c r="J1221" s="2">
        <v>2000</v>
      </c>
      <c r="K1221" s="2">
        <v>300</v>
      </c>
      <c r="L1221" s="2">
        <v>0</v>
      </c>
      <c r="M1221" s="2">
        <v>740367.17</v>
      </c>
      <c r="N1221">
        <f t="shared" si="24"/>
        <v>797795.77000000118</v>
      </c>
      <c r="O1221" s="9" t="s">
        <v>5</v>
      </c>
    </row>
    <row r="1222" spans="1:15" x14ac:dyDescent="0.2">
      <c r="A1222">
        <v>57</v>
      </c>
      <c r="B1222">
        <v>5</v>
      </c>
      <c r="C1222">
        <v>5</v>
      </c>
      <c r="D1222" s="2">
        <v>2</v>
      </c>
      <c r="E1222" s="2">
        <v>3</v>
      </c>
      <c r="F1222" s="2" t="s">
        <v>5</v>
      </c>
      <c r="G1222" s="2">
        <v>183.39999999987799</v>
      </c>
      <c r="H1222" s="2" t="s">
        <v>8</v>
      </c>
      <c r="I1222" s="2">
        <v>96692.000000000902</v>
      </c>
      <c r="J1222" s="2">
        <v>2000</v>
      </c>
      <c r="K1222" s="2">
        <v>300</v>
      </c>
      <c r="L1222" s="2">
        <v>0</v>
      </c>
      <c r="M1222" s="2">
        <v>830247.57</v>
      </c>
      <c r="N1222">
        <f t="shared" si="24"/>
        <v>927122.97000000067</v>
      </c>
      <c r="O1222" s="9" t="s">
        <v>5</v>
      </c>
    </row>
    <row r="1223" spans="1:15" x14ac:dyDescent="0.2">
      <c r="A1223">
        <v>58</v>
      </c>
      <c r="B1223">
        <v>5</v>
      </c>
      <c r="C1223">
        <v>6</v>
      </c>
      <c r="D1223" s="2">
        <v>2</v>
      </c>
      <c r="E1223" s="2">
        <v>1</v>
      </c>
      <c r="F1223" s="2" t="s">
        <v>5</v>
      </c>
      <c r="G1223" s="2">
        <v>215.599999999228</v>
      </c>
      <c r="H1223" s="2" t="s">
        <v>8</v>
      </c>
      <c r="I1223" s="2">
        <v>86040.000000000597</v>
      </c>
      <c r="J1223" s="2">
        <v>2000</v>
      </c>
      <c r="K1223" s="2">
        <v>300</v>
      </c>
      <c r="L1223" s="2">
        <v>0</v>
      </c>
      <c r="M1223" s="2">
        <v>774246.77</v>
      </c>
      <c r="N1223">
        <f t="shared" si="24"/>
        <v>860502.36999999988</v>
      </c>
      <c r="O1223" s="9" t="s">
        <v>5</v>
      </c>
    </row>
    <row r="1224" spans="1:15" x14ac:dyDescent="0.2">
      <c r="A1224">
        <v>59</v>
      </c>
      <c r="B1224">
        <v>5</v>
      </c>
      <c r="C1224">
        <v>6</v>
      </c>
      <c r="D1224" s="2">
        <v>2</v>
      </c>
      <c r="E1224" s="2">
        <v>2</v>
      </c>
      <c r="F1224" s="2" t="s">
        <v>5</v>
      </c>
      <c r="G1224" s="2">
        <v>212.39999999984599</v>
      </c>
      <c r="H1224" s="2" t="s">
        <v>8</v>
      </c>
      <c r="I1224" s="2">
        <v>68540.000000000495</v>
      </c>
      <c r="J1224" s="2">
        <v>2000</v>
      </c>
      <c r="K1224" s="2">
        <v>300</v>
      </c>
      <c r="L1224" s="2">
        <v>0</v>
      </c>
      <c r="M1224" s="2">
        <v>736006.77</v>
      </c>
      <c r="N1224">
        <f t="shared" si="24"/>
        <v>804759.17000000039</v>
      </c>
      <c r="O1224" s="9" t="s">
        <v>5</v>
      </c>
    </row>
    <row r="1225" spans="1:15" x14ac:dyDescent="0.2">
      <c r="A1225">
        <v>60</v>
      </c>
      <c r="B1225">
        <v>5</v>
      </c>
      <c r="C1225">
        <v>6</v>
      </c>
      <c r="D1225" s="2">
        <v>2</v>
      </c>
      <c r="E1225" s="2">
        <v>3</v>
      </c>
      <c r="F1225" s="2" t="s">
        <v>5</v>
      </c>
      <c r="G1225" s="2">
        <v>288.40000000016602</v>
      </c>
      <c r="H1225" s="2" t="s">
        <v>8</v>
      </c>
      <c r="I1225" s="2">
        <v>278874.99999999901</v>
      </c>
      <c r="J1225" s="2">
        <v>2000</v>
      </c>
      <c r="K1225" s="2">
        <v>300</v>
      </c>
      <c r="L1225" s="2">
        <v>0</v>
      </c>
      <c r="M1225" s="2">
        <v>760247.97</v>
      </c>
      <c r="N1225">
        <f t="shared" si="24"/>
        <v>1039411.3699999992</v>
      </c>
      <c r="O1225" s="9" t="s">
        <v>5</v>
      </c>
    </row>
    <row r="1226" spans="1:15" x14ac:dyDescent="0.2">
      <c r="A1226">
        <v>61</v>
      </c>
      <c r="B1226">
        <v>5</v>
      </c>
      <c r="C1226">
        <v>7</v>
      </c>
      <c r="D1226" s="2">
        <v>2</v>
      </c>
      <c r="E1226" s="2">
        <v>1</v>
      </c>
      <c r="F1226" s="2" t="s">
        <v>5</v>
      </c>
      <c r="G1226" s="2">
        <v>230.60000000043601</v>
      </c>
      <c r="H1226" s="2" t="s">
        <v>8</v>
      </c>
      <c r="I1226" s="2">
        <v>161028</v>
      </c>
      <c r="J1226" s="2">
        <v>2000</v>
      </c>
      <c r="K1226" s="2">
        <v>300</v>
      </c>
      <c r="L1226" s="2">
        <v>0</v>
      </c>
      <c r="M1226" s="2">
        <v>837727.17</v>
      </c>
      <c r="N1226">
        <f t="shared" si="24"/>
        <v>998985.77000000048</v>
      </c>
      <c r="O1226" s="9" t="s">
        <v>5</v>
      </c>
    </row>
    <row r="1227" spans="1:15" x14ac:dyDescent="0.2">
      <c r="A1227">
        <v>62</v>
      </c>
      <c r="B1227">
        <v>5</v>
      </c>
      <c r="C1227">
        <v>7</v>
      </c>
      <c r="D1227" s="2">
        <v>2</v>
      </c>
      <c r="E1227" s="2">
        <v>2</v>
      </c>
      <c r="F1227" s="2" t="s">
        <v>5</v>
      </c>
      <c r="G1227" s="2">
        <v>233.80000000017299</v>
      </c>
      <c r="H1227" s="2" t="s">
        <v>8</v>
      </c>
      <c r="I1227" s="2">
        <v>123650</v>
      </c>
      <c r="J1227" s="2">
        <v>2000</v>
      </c>
      <c r="K1227" s="2">
        <v>300</v>
      </c>
      <c r="L1227" s="2">
        <v>0</v>
      </c>
      <c r="M1227" s="2">
        <v>786727.57</v>
      </c>
      <c r="N1227">
        <f t="shared" si="24"/>
        <v>910611.37000000011</v>
      </c>
      <c r="O1227" s="9" t="s">
        <v>5</v>
      </c>
    </row>
    <row r="1228" spans="1:15" x14ac:dyDescent="0.2">
      <c r="A1228">
        <v>63</v>
      </c>
      <c r="B1228">
        <v>5</v>
      </c>
      <c r="C1228">
        <v>7</v>
      </c>
      <c r="D1228" s="2">
        <v>2</v>
      </c>
      <c r="E1228" s="2">
        <v>3</v>
      </c>
      <c r="F1228" s="2" t="s">
        <v>5</v>
      </c>
      <c r="G1228" s="2">
        <v>359.799999999666</v>
      </c>
      <c r="H1228" s="2" t="s">
        <v>8</v>
      </c>
      <c r="I1228" s="2">
        <v>395599.00000000099</v>
      </c>
      <c r="J1228" s="2">
        <v>2000</v>
      </c>
      <c r="K1228" s="2">
        <v>300</v>
      </c>
      <c r="L1228" s="2">
        <v>0</v>
      </c>
      <c r="M1228" s="2">
        <v>777367.97</v>
      </c>
      <c r="N1228">
        <f t="shared" si="24"/>
        <v>1173326.7700000005</v>
      </c>
      <c r="O1228" s="9" t="s">
        <v>5</v>
      </c>
    </row>
    <row r="1229" spans="1:15" x14ac:dyDescent="0.2">
      <c r="A1229">
        <v>64</v>
      </c>
      <c r="B1229">
        <v>5</v>
      </c>
      <c r="C1229">
        <v>8</v>
      </c>
      <c r="D1229" s="2">
        <v>2</v>
      </c>
      <c r="E1229" s="2">
        <v>1</v>
      </c>
      <c r="F1229" s="2" t="s">
        <v>5</v>
      </c>
      <c r="G1229" s="2">
        <v>274.00000000028501</v>
      </c>
      <c r="H1229" s="2" t="s">
        <v>8</v>
      </c>
      <c r="I1229" s="2">
        <v>279384</v>
      </c>
      <c r="J1229" s="2">
        <v>2000</v>
      </c>
      <c r="K1229" s="2">
        <v>300</v>
      </c>
      <c r="L1229" s="2">
        <v>0</v>
      </c>
      <c r="M1229" s="2">
        <v>757528.37</v>
      </c>
      <c r="N1229">
        <f t="shared" si="24"/>
        <v>1037186.3700000003</v>
      </c>
      <c r="O1229" s="9" t="s">
        <v>5</v>
      </c>
    </row>
    <row r="1230" spans="1:15" x14ac:dyDescent="0.2">
      <c r="A1230">
        <v>65</v>
      </c>
      <c r="B1230">
        <v>5</v>
      </c>
      <c r="C1230">
        <v>8</v>
      </c>
      <c r="D1230" s="2">
        <v>2</v>
      </c>
      <c r="E1230" s="2">
        <v>2</v>
      </c>
      <c r="F1230" s="2" t="s">
        <v>5</v>
      </c>
      <c r="G1230" s="2">
        <v>271.20000000024902</v>
      </c>
      <c r="H1230" s="2" t="s">
        <v>8</v>
      </c>
      <c r="I1230" s="2">
        <v>345789</v>
      </c>
      <c r="J1230" s="2">
        <v>2000</v>
      </c>
      <c r="K1230" s="2">
        <v>300</v>
      </c>
      <c r="L1230" s="2">
        <v>0</v>
      </c>
      <c r="M1230" s="2">
        <v>790207.57</v>
      </c>
      <c r="N1230">
        <f t="shared" si="24"/>
        <v>1136267.7700000003</v>
      </c>
      <c r="O1230" s="9" t="s">
        <v>5</v>
      </c>
    </row>
    <row r="1231" spans="1:15" x14ac:dyDescent="0.2">
      <c r="A1231">
        <v>66</v>
      </c>
      <c r="B1231">
        <v>5</v>
      </c>
      <c r="C1231">
        <v>8</v>
      </c>
      <c r="D1231" s="2">
        <v>2</v>
      </c>
      <c r="E1231" s="2">
        <v>3</v>
      </c>
      <c r="F1231" s="2" t="s">
        <v>5</v>
      </c>
      <c r="G1231" s="2">
        <v>390.99999999976399</v>
      </c>
      <c r="H1231" s="2" t="s">
        <v>8</v>
      </c>
      <c r="I1231" s="2">
        <v>1149315</v>
      </c>
      <c r="J1231" s="2">
        <v>2000</v>
      </c>
      <c r="K1231" s="2">
        <v>300</v>
      </c>
      <c r="L1231" s="2">
        <v>0</v>
      </c>
      <c r="M1231" s="2">
        <v>793487.57</v>
      </c>
      <c r="N1231">
        <f t="shared" si="24"/>
        <v>1943193.5699999998</v>
      </c>
      <c r="O1231" s="9" t="s">
        <v>4</v>
      </c>
    </row>
    <row r="1232" spans="1:15" x14ac:dyDescent="0.2">
      <c r="A1232">
        <v>67</v>
      </c>
      <c r="B1232">
        <v>5</v>
      </c>
      <c r="C1232">
        <v>7</v>
      </c>
      <c r="D1232" s="2">
        <v>2</v>
      </c>
      <c r="E1232" s="2">
        <v>1</v>
      </c>
      <c r="F1232" s="2" t="s">
        <v>5</v>
      </c>
      <c r="G1232" s="2">
        <v>210.20000000007099</v>
      </c>
      <c r="H1232" s="2" t="s">
        <v>8</v>
      </c>
      <c r="I1232" s="2">
        <v>176762</v>
      </c>
      <c r="J1232" s="2">
        <v>2000</v>
      </c>
      <c r="K1232" s="2">
        <v>300</v>
      </c>
      <c r="L1232" s="2">
        <v>0</v>
      </c>
      <c r="M1232" s="2">
        <v>779526.77</v>
      </c>
      <c r="N1232">
        <f t="shared" si="24"/>
        <v>956498.97000000009</v>
      </c>
      <c r="O1232" s="9" t="s">
        <v>5</v>
      </c>
    </row>
    <row r="1233" spans="1:15" x14ac:dyDescent="0.2">
      <c r="A1233">
        <v>68</v>
      </c>
      <c r="B1233">
        <v>5</v>
      </c>
      <c r="C1233">
        <v>7</v>
      </c>
      <c r="D1233" s="2">
        <v>2</v>
      </c>
      <c r="E1233" s="2">
        <v>2</v>
      </c>
      <c r="F1233" s="2" t="s">
        <v>5</v>
      </c>
      <c r="G1233" s="2">
        <v>210.00000000022101</v>
      </c>
      <c r="H1233" s="2" t="s">
        <v>8</v>
      </c>
      <c r="I1233" s="2">
        <v>175160</v>
      </c>
      <c r="J1233" s="2">
        <v>2000</v>
      </c>
      <c r="K1233" s="2">
        <v>300</v>
      </c>
      <c r="L1233" s="2">
        <v>0</v>
      </c>
      <c r="M1233" s="2">
        <v>747686.37</v>
      </c>
      <c r="N1233">
        <f t="shared" si="24"/>
        <v>923056.37000000023</v>
      </c>
      <c r="O1233" s="9" t="s">
        <v>5</v>
      </c>
    </row>
    <row r="1234" spans="1:15" x14ac:dyDescent="0.2">
      <c r="A1234">
        <v>69</v>
      </c>
      <c r="B1234">
        <v>5</v>
      </c>
      <c r="C1234">
        <v>7</v>
      </c>
      <c r="D1234" s="2">
        <v>2</v>
      </c>
      <c r="E1234" s="2">
        <v>3</v>
      </c>
      <c r="F1234" s="2" t="s">
        <v>5</v>
      </c>
      <c r="G1234" s="2">
        <v>292.59999999986502</v>
      </c>
      <c r="H1234" s="2" t="s">
        <v>8</v>
      </c>
      <c r="I1234" s="2">
        <v>386187</v>
      </c>
      <c r="J1234" s="2">
        <v>2000</v>
      </c>
      <c r="K1234" s="2">
        <v>300</v>
      </c>
      <c r="L1234" s="2">
        <v>0</v>
      </c>
      <c r="M1234" s="2">
        <v>738926.37</v>
      </c>
      <c r="N1234">
        <f t="shared" si="24"/>
        <v>1125405.9699999997</v>
      </c>
      <c r="O1234" s="9" t="s">
        <v>5</v>
      </c>
    </row>
    <row r="1235" spans="1:15" x14ac:dyDescent="0.2">
      <c r="A1235">
        <v>28</v>
      </c>
      <c r="B1235">
        <v>5</v>
      </c>
      <c r="C1235">
        <v>4</v>
      </c>
      <c r="D1235" s="2">
        <v>2</v>
      </c>
      <c r="E1235" s="2">
        <v>1</v>
      </c>
      <c r="F1235" s="2" t="s">
        <v>5</v>
      </c>
      <c r="G1235" s="2">
        <v>541.19999999961999</v>
      </c>
      <c r="H1235" s="2" t="s">
        <v>16</v>
      </c>
      <c r="I1235" s="2">
        <v>40185.000000008098</v>
      </c>
      <c r="J1235" s="2">
        <v>1000</v>
      </c>
      <c r="K1235" s="2">
        <v>20</v>
      </c>
      <c r="L1235" s="2">
        <v>0</v>
      </c>
      <c r="M1235" s="2">
        <v>111668.81</v>
      </c>
      <c r="N1235">
        <f t="shared" si="24"/>
        <v>152395.01000000772</v>
      </c>
      <c r="O1235" s="9" t="s">
        <v>5</v>
      </c>
    </row>
    <row r="1236" spans="1:15" x14ac:dyDescent="0.2">
      <c r="A1236">
        <v>29</v>
      </c>
      <c r="B1236">
        <v>5</v>
      </c>
      <c r="C1236">
        <v>5</v>
      </c>
      <c r="D1236" s="2">
        <v>2</v>
      </c>
      <c r="E1236" s="2">
        <v>2</v>
      </c>
      <c r="F1236" s="2" t="s">
        <v>5</v>
      </c>
      <c r="G1236" s="2">
        <v>547.39999999959798</v>
      </c>
      <c r="H1236" s="2" t="s">
        <v>16</v>
      </c>
      <c r="I1236" s="2">
        <v>34695.999999996697</v>
      </c>
      <c r="J1236" s="2">
        <v>1000</v>
      </c>
      <c r="K1236" s="2">
        <v>20</v>
      </c>
      <c r="L1236" s="2">
        <v>0</v>
      </c>
      <c r="M1236" s="2">
        <v>97187.21</v>
      </c>
      <c r="N1236">
        <f t="shared" si="24"/>
        <v>132430.60999999632</v>
      </c>
      <c r="O1236" s="9" t="s">
        <v>5</v>
      </c>
    </row>
    <row r="1237" spans="1:15" x14ac:dyDescent="0.2">
      <c r="A1237">
        <v>30</v>
      </c>
      <c r="B1237">
        <v>5</v>
      </c>
      <c r="C1237">
        <v>5</v>
      </c>
      <c r="D1237" s="2">
        <v>2</v>
      </c>
      <c r="E1237" s="2">
        <v>3</v>
      </c>
      <c r="F1237" s="2" t="s">
        <v>5</v>
      </c>
      <c r="G1237" s="2">
        <v>598.60000000000502</v>
      </c>
      <c r="H1237" s="2" t="s">
        <v>16</v>
      </c>
      <c r="I1237" s="2">
        <v>78614.999999984997</v>
      </c>
      <c r="J1237" s="2">
        <v>1000</v>
      </c>
      <c r="K1237" s="2">
        <v>20</v>
      </c>
      <c r="L1237" s="2">
        <v>0</v>
      </c>
      <c r="M1237" s="2">
        <v>101228.01</v>
      </c>
      <c r="N1237">
        <f t="shared" si="24"/>
        <v>180441.609999985</v>
      </c>
      <c r="O1237" s="9" t="s">
        <v>4</v>
      </c>
    </row>
    <row r="1238" spans="1:15" x14ac:dyDescent="0.2">
      <c r="A1238">
        <v>31</v>
      </c>
      <c r="B1238">
        <v>5</v>
      </c>
      <c r="C1238">
        <v>5</v>
      </c>
      <c r="D1238" s="2">
        <v>2</v>
      </c>
      <c r="E1238" s="2">
        <v>1</v>
      </c>
      <c r="F1238" s="2" t="s">
        <v>5</v>
      </c>
      <c r="G1238" s="2">
        <v>351.19999999970702</v>
      </c>
      <c r="H1238" s="2" t="s">
        <v>16</v>
      </c>
      <c r="I1238" s="2">
        <v>51963.999999998101</v>
      </c>
      <c r="J1238" s="2">
        <v>1000</v>
      </c>
      <c r="K1238" s="2">
        <v>20</v>
      </c>
      <c r="L1238" s="2">
        <v>0</v>
      </c>
      <c r="M1238" s="2">
        <v>99107.61</v>
      </c>
      <c r="N1238">
        <f t="shared" si="24"/>
        <v>151422.80999999781</v>
      </c>
      <c r="O1238" s="9" t="s">
        <v>5</v>
      </c>
    </row>
    <row r="1239" spans="1:15" x14ac:dyDescent="0.2">
      <c r="A1239">
        <v>32</v>
      </c>
      <c r="B1239">
        <v>5</v>
      </c>
      <c r="C1239">
        <v>5</v>
      </c>
      <c r="D1239" s="2">
        <v>2</v>
      </c>
      <c r="E1239" s="2">
        <v>2</v>
      </c>
      <c r="F1239" s="2" t="s">
        <v>5</v>
      </c>
      <c r="G1239" s="2">
        <v>356.00000000002302</v>
      </c>
      <c r="H1239" s="2" t="s">
        <v>16</v>
      </c>
      <c r="I1239" s="2">
        <v>20672.999999987998</v>
      </c>
      <c r="J1239" s="2">
        <v>1000</v>
      </c>
      <c r="K1239" s="2">
        <v>20</v>
      </c>
      <c r="L1239" s="2">
        <v>0</v>
      </c>
      <c r="M1239" s="2">
        <v>96787.21</v>
      </c>
      <c r="N1239">
        <f t="shared" si="24"/>
        <v>117816.20999998803</v>
      </c>
      <c r="O1239" s="9" t="s">
        <v>5</v>
      </c>
    </row>
    <row r="1240" spans="1:15" x14ac:dyDescent="0.2">
      <c r="A1240">
        <v>33</v>
      </c>
      <c r="B1240">
        <v>5</v>
      </c>
      <c r="C1240">
        <v>5</v>
      </c>
      <c r="D1240" s="2">
        <v>2</v>
      </c>
      <c r="E1240" s="2">
        <v>3</v>
      </c>
      <c r="F1240" s="2" t="s">
        <v>5</v>
      </c>
      <c r="G1240" s="2">
        <v>485.39999999981399</v>
      </c>
      <c r="H1240" s="2" t="s">
        <v>16</v>
      </c>
      <c r="I1240" s="2">
        <v>60222.000000010201</v>
      </c>
      <c r="J1240" s="2">
        <v>1000</v>
      </c>
      <c r="K1240" s="2">
        <v>20</v>
      </c>
      <c r="L1240" s="2">
        <v>0</v>
      </c>
      <c r="M1240" s="2">
        <v>100428.01</v>
      </c>
      <c r="N1240">
        <f t="shared" si="24"/>
        <v>161135.41000001002</v>
      </c>
      <c r="O1240" s="9" t="s">
        <v>5</v>
      </c>
    </row>
    <row r="1241" spans="1:15" x14ac:dyDescent="0.2">
      <c r="A1241">
        <v>34</v>
      </c>
      <c r="B1241">
        <v>5</v>
      </c>
      <c r="C1241">
        <v>5</v>
      </c>
      <c r="D1241" s="2">
        <v>2</v>
      </c>
      <c r="E1241" s="2">
        <v>1</v>
      </c>
      <c r="F1241" s="2" t="s">
        <v>5</v>
      </c>
      <c r="G1241" s="2">
        <v>307.60000000000798</v>
      </c>
      <c r="H1241" s="2" t="s">
        <v>16</v>
      </c>
      <c r="I1241" s="2">
        <v>19947.000000001899</v>
      </c>
      <c r="J1241" s="2">
        <v>1000</v>
      </c>
      <c r="K1241" s="2">
        <v>20</v>
      </c>
      <c r="L1241" s="2">
        <v>0</v>
      </c>
      <c r="M1241" s="2">
        <v>98907.61</v>
      </c>
      <c r="N1241">
        <f t="shared" si="24"/>
        <v>119162.21000000191</v>
      </c>
      <c r="O1241" s="9" t="s">
        <v>5</v>
      </c>
    </row>
    <row r="1242" spans="1:15" x14ac:dyDescent="0.2">
      <c r="A1242">
        <v>35</v>
      </c>
      <c r="B1242">
        <v>5</v>
      </c>
      <c r="C1242">
        <v>6</v>
      </c>
      <c r="D1242" s="2">
        <v>2</v>
      </c>
      <c r="E1242" s="2">
        <v>1</v>
      </c>
      <c r="F1242" s="2" t="s">
        <v>5</v>
      </c>
      <c r="G1242" s="2">
        <v>378.80000000036802</v>
      </c>
      <c r="H1242" s="2" t="s">
        <v>16</v>
      </c>
      <c r="I1242" s="2">
        <v>67833.000000007407</v>
      </c>
      <c r="J1242" s="2">
        <v>1000</v>
      </c>
      <c r="K1242" s="2">
        <v>20</v>
      </c>
      <c r="L1242" s="2">
        <v>0</v>
      </c>
      <c r="M1242" s="2">
        <v>128347.61</v>
      </c>
      <c r="N1242">
        <f t="shared" si="24"/>
        <v>196559.41000000777</v>
      </c>
      <c r="O1242" s="9" t="s">
        <v>5</v>
      </c>
    </row>
    <row r="1243" spans="1:15" x14ac:dyDescent="0.2">
      <c r="A1243">
        <v>36</v>
      </c>
      <c r="B1243">
        <v>5</v>
      </c>
      <c r="C1243">
        <v>6</v>
      </c>
      <c r="D1243" s="2">
        <v>2</v>
      </c>
      <c r="E1243" s="2">
        <v>2</v>
      </c>
      <c r="F1243" s="2" t="s">
        <v>5</v>
      </c>
      <c r="G1243" s="2">
        <v>225.399999999709</v>
      </c>
      <c r="H1243" s="2" t="s">
        <v>16</v>
      </c>
      <c r="I1243" s="2">
        <v>85232.000000019107</v>
      </c>
      <c r="J1243" s="2">
        <v>1000</v>
      </c>
      <c r="K1243" s="2">
        <v>20</v>
      </c>
      <c r="L1243" s="2">
        <v>0</v>
      </c>
      <c r="M1243" s="2">
        <v>113388.01</v>
      </c>
      <c r="N1243">
        <f t="shared" si="24"/>
        <v>198845.4100000188</v>
      </c>
      <c r="O1243" s="9" t="s">
        <v>4</v>
      </c>
    </row>
    <row r="1244" spans="1:15" x14ac:dyDescent="0.2">
      <c r="A1244">
        <v>37</v>
      </c>
      <c r="B1244">
        <v>5</v>
      </c>
      <c r="C1244">
        <v>6</v>
      </c>
      <c r="D1244" s="2">
        <v>2</v>
      </c>
      <c r="E1244" s="2">
        <v>3</v>
      </c>
      <c r="F1244" s="2" t="s">
        <v>5</v>
      </c>
      <c r="G1244" s="2">
        <v>317.40000000049002</v>
      </c>
      <c r="H1244" s="2" t="s">
        <v>16</v>
      </c>
      <c r="I1244" s="2">
        <v>429632.99999999598</v>
      </c>
      <c r="J1244" s="2">
        <v>1000</v>
      </c>
      <c r="K1244" s="2">
        <v>20</v>
      </c>
      <c r="L1244" s="2">
        <v>0</v>
      </c>
      <c r="M1244" s="2">
        <v>125307.61</v>
      </c>
      <c r="N1244">
        <f t="shared" si="24"/>
        <v>555258.00999999652</v>
      </c>
      <c r="O1244" s="9" t="s">
        <v>4</v>
      </c>
    </row>
    <row r="1245" spans="1:15" x14ac:dyDescent="0.2">
      <c r="A1245">
        <v>38</v>
      </c>
      <c r="B1245">
        <v>5</v>
      </c>
      <c r="C1245">
        <v>6</v>
      </c>
      <c r="D1245" s="2">
        <v>2</v>
      </c>
      <c r="E1245" s="2">
        <v>1</v>
      </c>
      <c r="F1245" s="2" t="s">
        <v>5</v>
      </c>
      <c r="G1245" s="2">
        <v>206.39999999971801</v>
      </c>
      <c r="H1245" s="2" t="s">
        <v>16</v>
      </c>
      <c r="I1245" s="2">
        <v>58606.999999995001</v>
      </c>
      <c r="J1245" s="2">
        <v>1000</v>
      </c>
      <c r="K1245" s="2">
        <v>20</v>
      </c>
      <c r="L1245" s="2">
        <v>0</v>
      </c>
      <c r="M1245" s="2">
        <v>128467.21</v>
      </c>
      <c r="N1245">
        <f t="shared" si="24"/>
        <v>187280.60999999472</v>
      </c>
      <c r="O1245" s="9" t="s">
        <v>5</v>
      </c>
    </row>
    <row r="1246" spans="1:15" x14ac:dyDescent="0.2">
      <c r="A1246">
        <v>39</v>
      </c>
      <c r="B1246">
        <v>5</v>
      </c>
      <c r="C1246">
        <v>7</v>
      </c>
      <c r="D1246" s="2">
        <v>2</v>
      </c>
      <c r="E1246" s="2">
        <v>1</v>
      </c>
      <c r="F1246" s="2" t="s">
        <v>5</v>
      </c>
      <c r="G1246" s="2">
        <v>257.600000000124</v>
      </c>
      <c r="H1246" s="2" t="s">
        <v>16</v>
      </c>
      <c r="I1246" s="2">
        <v>172606.00000000201</v>
      </c>
      <c r="J1246" s="2">
        <v>1000</v>
      </c>
      <c r="K1246" s="2">
        <v>20</v>
      </c>
      <c r="L1246" s="2">
        <v>0</v>
      </c>
      <c r="M1246" s="2">
        <v>132828.01</v>
      </c>
      <c r="N1246">
        <f t="shared" si="24"/>
        <v>305691.61000000214</v>
      </c>
      <c r="O1246" s="9" t="s">
        <v>5</v>
      </c>
    </row>
    <row r="1247" spans="1:15" x14ac:dyDescent="0.2">
      <c r="A1247">
        <v>40</v>
      </c>
      <c r="B1247">
        <v>5</v>
      </c>
      <c r="C1247">
        <v>7</v>
      </c>
      <c r="D1247" s="2">
        <v>2</v>
      </c>
      <c r="E1247" s="2">
        <v>2</v>
      </c>
      <c r="F1247" s="2" t="s">
        <v>5</v>
      </c>
      <c r="G1247" s="2">
        <v>242.59999999962599</v>
      </c>
      <c r="H1247" s="2" t="s">
        <v>16</v>
      </c>
      <c r="I1247" s="2">
        <v>100393.999999994</v>
      </c>
      <c r="J1247" s="2">
        <v>1000</v>
      </c>
      <c r="K1247" s="2">
        <v>20</v>
      </c>
      <c r="L1247" s="2">
        <v>0</v>
      </c>
      <c r="M1247" s="2">
        <v>116068.41</v>
      </c>
      <c r="N1247">
        <f t="shared" si="24"/>
        <v>216705.00999999364</v>
      </c>
      <c r="O1247" s="9" t="s">
        <v>4</v>
      </c>
    </row>
    <row r="1248" spans="1:15" x14ac:dyDescent="0.2">
      <c r="A1248">
        <v>41</v>
      </c>
      <c r="B1248">
        <v>5</v>
      </c>
      <c r="C1248">
        <v>7</v>
      </c>
      <c r="D1248" s="2">
        <v>2</v>
      </c>
      <c r="E1248" s="2">
        <v>3</v>
      </c>
      <c r="F1248" s="2" t="s">
        <v>5</v>
      </c>
      <c r="G1248" s="2">
        <v>354.20000000030399</v>
      </c>
      <c r="H1248" s="2" t="s">
        <v>16</v>
      </c>
      <c r="I1248" s="2">
        <v>409392.00000002497</v>
      </c>
      <c r="J1248" s="2">
        <v>1000</v>
      </c>
      <c r="K1248" s="2">
        <v>20</v>
      </c>
      <c r="L1248" s="2">
        <v>0</v>
      </c>
      <c r="M1248" s="2">
        <v>125389.21</v>
      </c>
      <c r="N1248">
        <f t="shared" si="24"/>
        <v>535135.41000002529</v>
      </c>
      <c r="O1248" s="9" t="s">
        <v>4</v>
      </c>
    </row>
    <row r="1249" spans="1:15" x14ac:dyDescent="0.2">
      <c r="A1249">
        <v>42</v>
      </c>
      <c r="B1249">
        <v>5</v>
      </c>
      <c r="C1249">
        <v>4</v>
      </c>
      <c r="D1249" s="2">
        <v>2</v>
      </c>
      <c r="E1249" s="2">
        <v>1</v>
      </c>
      <c r="F1249" s="2" t="s">
        <v>5</v>
      </c>
      <c r="G1249" s="2">
        <v>129.800000000202</v>
      </c>
      <c r="H1249" s="2" t="s">
        <v>16</v>
      </c>
      <c r="I1249" s="2">
        <v>11878.999999993301</v>
      </c>
      <c r="J1249" s="2">
        <v>1000</v>
      </c>
      <c r="K1249" s="2">
        <v>20</v>
      </c>
      <c r="L1249" s="2">
        <v>0</v>
      </c>
      <c r="M1249" s="2">
        <v>98067.61</v>
      </c>
      <c r="N1249">
        <f t="shared" si="24"/>
        <v>110076.4099999935</v>
      </c>
      <c r="O1249" s="9" t="s">
        <v>5</v>
      </c>
    </row>
    <row r="1250" spans="1:15" x14ac:dyDescent="0.2">
      <c r="A1250">
        <v>43</v>
      </c>
      <c r="B1250">
        <v>5</v>
      </c>
      <c r="C1250">
        <v>5</v>
      </c>
      <c r="D1250" s="2">
        <v>2</v>
      </c>
      <c r="E1250" s="2">
        <v>1</v>
      </c>
      <c r="F1250" s="2" t="s">
        <v>5</v>
      </c>
      <c r="G1250" s="2">
        <v>157.00000000009601</v>
      </c>
      <c r="H1250" s="2" t="s">
        <v>16</v>
      </c>
      <c r="I1250" s="2">
        <v>17081.999999987798</v>
      </c>
      <c r="J1250" s="2">
        <v>1000</v>
      </c>
      <c r="K1250" s="2">
        <v>20</v>
      </c>
      <c r="L1250" s="2">
        <v>0</v>
      </c>
      <c r="M1250" s="2">
        <v>100427.61</v>
      </c>
      <c r="N1250">
        <f t="shared" si="24"/>
        <v>117666.60999998789</v>
      </c>
      <c r="O1250" s="9" t="s">
        <v>5</v>
      </c>
    </row>
    <row r="1251" spans="1:15" x14ac:dyDescent="0.2">
      <c r="A1251">
        <v>44</v>
      </c>
      <c r="B1251">
        <v>5</v>
      </c>
      <c r="C1251">
        <v>5</v>
      </c>
      <c r="D1251" s="2">
        <v>2</v>
      </c>
      <c r="E1251" s="2">
        <v>2</v>
      </c>
      <c r="F1251" s="2" t="s">
        <v>5</v>
      </c>
      <c r="G1251" s="2">
        <v>156.599999999685</v>
      </c>
      <c r="H1251" s="2" t="s">
        <v>16</v>
      </c>
      <c r="I1251" s="2">
        <v>24732.0000000002</v>
      </c>
      <c r="J1251" s="2">
        <v>1000</v>
      </c>
      <c r="K1251" s="2">
        <v>20</v>
      </c>
      <c r="L1251" s="2">
        <v>0</v>
      </c>
      <c r="M1251" s="2">
        <v>99868.01</v>
      </c>
      <c r="N1251">
        <f t="shared" si="24"/>
        <v>124756.60999999988</v>
      </c>
      <c r="O1251" s="9" t="s">
        <v>5</v>
      </c>
    </row>
    <row r="1252" spans="1:15" x14ac:dyDescent="0.2">
      <c r="A1252">
        <v>45</v>
      </c>
      <c r="B1252">
        <v>5</v>
      </c>
      <c r="C1252">
        <v>5</v>
      </c>
      <c r="D1252" s="2">
        <v>2</v>
      </c>
      <c r="E1252" s="2">
        <v>3</v>
      </c>
      <c r="F1252" s="2" t="s">
        <v>5</v>
      </c>
      <c r="G1252" s="2">
        <v>211.00000000018301</v>
      </c>
      <c r="H1252" s="2" t="s">
        <v>16</v>
      </c>
      <c r="I1252" s="2">
        <v>56737.9999999957</v>
      </c>
      <c r="J1252" s="2">
        <v>1000</v>
      </c>
      <c r="K1252" s="2">
        <v>20</v>
      </c>
      <c r="L1252" s="2">
        <v>0</v>
      </c>
      <c r="M1252" s="2">
        <v>97428.01</v>
      </c>
      <c r="N1252">
        <f t="shared" si="24"/>
        <v>154377.00999999588</v>
      </c>
      <c r="O1252" s="9" t="s">
        <v>5</v>
      </c>
    </row>
    <row r="1253" spans="1:15" x14ac:dyDescent="0.2">
      <c r="A1253">
        <v>46</v>
      </c>
      <c r="B1253">
        <v>5</v>
      </c>
      <c r="C1253">
        <v>6</v>
      </c>
      <c r="D1253" s="2">
        <v>2</v>
      </c>
      <c r="E1253" s="2">
        <v>1</v>
      </c>
      <c r="F1253" s="2" t="s">
        <v>5</v>
      </c>
      <c r="G1253" s="2">
        <v>189.400000000006</v>
      </c>
      <c r="H1253" s="2" t="s">
        <v>16</v>
      </c>
      <c r="I1253" s="2">
        <v>68061.000000000204</v>
      </c>
      <c r="J1253" s="2">
        <v>1000</v>
      </c>
      <c r="K1253" s="2">
        <v>20</v>
      </c>
      <c r="L1253" s="2">
        <v>0</v>
      </c>
      <c r="M1253" s="2">
        <v>99509.21</v>
      </c>
      <c r="N1253">
        <f t="shared" si="24"/>
        <v>167759.61000000022</v>
      </c>
      <c r="O1253" s="9" t="s">
        <v>5</v>
      </c>
    </row>
    <row r="1254" spans="1:15" x14ac:dyDescent="0.2">
      <c r="A1254">
        <v>47</v>
      </c>
      <c r="B1254">
        <v>5</v>
      </c>
      <c r="C1254">
        <v>6</v>
      </c>
      <c r="D1254" s="2">
        <v>2</v>
      </c>
      <c r="E1254" s="2">
        <v>2</v>
      </c>
      <c r="F1254" s="2" t="s">
        <v>5</v>
      </c>
      <c r="G1254" s="2">
        <v>193.80000000026601</v>
      </c>
      <c r="H1254" s="2" t="s">
        <v>16</v>
      </c>
      <c r="I1254" s="2">
        <v>55103.000000002598</v>
      </c>
      <c r="J1254" s="2">
        <v>1000</v>
      </c>
      <c r="K1254" s="2">
        <v>20</v>
      </c>
      <c r="L1254" s="2">
        <v>0</v>
      </c>
      <c r="M1254" s="2">
        <v>100267.61</v>
      </c>
      <c r="N1254">
        <f t="shared" si="24"/>
        <v>155564.41000000286</v>
      </c>
      <c r="O1254" s="9" t="s">
        <v>5</v>
      </c>
    </row>
    <row r="1255" spans="1:15" x14ac:dyDescent="0.2">
      <c r="A1255">
        <v>48</v>
      </c>
      <c r="B1255">
        <v>5</v>
      </c>
      <c r="C1255">
        <v>6</v>
      </c>
      <c r="D1255" s="2">
        <v>2</v>
      </c>
      <c r="E1255" s="2">
        <v>3</v>
      </c>
      <c r="F1255" s="2" t="s">
        <v>5</v>
      </c>
      <c r="G1255" s="2">
        <v>249.79999999992199</v>
      </c>
      <c r="H1255" s="2" t="s">
        <v>16</v>
      </c>
      <c r="I1255" s="2">
        <v>121555.000000001</v>
      </c>
      <c r="J1255" s="2">
        <v>1000</v>
      </c>
      <c r="K1255" s="2">
        <v>20</v>
      </c>
      <c r="L1255" s="2">
        <v>0</v>
      </c>
      <c r="M1255" s="2">
        <v>129507.61</v>
      </c>
      <c r="N1255">
        <f t="shared" si="24"/>
        <v>251312.41000000091</v>
      </c>
      <c r="O1255" s="9" t="s">
        <v>4</v>
      </c>
    </row>
    <row r="1256" spans="1:15" x14ac:dyDescent="0.2">
      <c r="A1256">
        <v>49</v>
      </c>
      <c r="B1256">
        <v>5</v>
      </c>
      <c r="C1256">
        <v>6</v>
      </c>
      <c r="D1256" s="2">
        <v>2</v>
      </c>
      <c r="E1256" s="2">
        <v>1</v>
      </c>
      <c r="F1256" s="2" t="s">
        <v>5</v>
      </c>
      <c r="G1256" s="2">
        <v>183.19999999931699</v>
      </c>
      <c r="H1256" s="2" t="s">
        <v>16</v>
      </c>
      <c r="I1256" s="2">
        <v>41121.000000004002</v>
      </c>
      <c r="J1256" s="2">
        <v>1000</v>
      </c>
      <c r="K1256" s="2">
        <v>20</v>
      </c>
      <c r="L1256" s="2">
        <v>0</v>
      </c>
      <c r="M1256" s="2">
        <v>96068.81</v>
      </c>
      <c r="N1256">
        <f t="shared" si="24"/>
        <v>137373.01000000333</v>
      </c>
      <c r="O1256" s="9" t="s">
        <v>5</v>
      </c>
    </row>
    <row r="1257" spans="1:15" x14ac:dyDescent="0.2">
      <c r="A1257">
        <v>50</v>
      </c>
      <c r="B1257">
        <v>5</v>
      </c>
      <c r="C1257">
        <v>6</v>
      </c>
      <c r="D1257" s="2">
        <v>2</v>
      </c>
      <c r="E1257" s="2">
        <v>2</v>
      </c>
      <c r="F1257" s="2" t="s">
        <v>5</v>
      </c>
      <c r="G1257" s="2">
        <v>190.800000000024</v>
      </c>
      <c r="H1257" s="2" t="s">
        <v>16</v>
      </c>
      <c r="I1257" s="2">
        <v>50727.999999992302</v>
      </c>
      <c r="J1257" s="2">
        <v>1000</v>
      </c>
      <c r="K1257" s="2">
        <v>20</v>
      </c>
      <c r="L1257" s="2">
        <v>0</v>
      </c>
      <c r="M1257" s="2">
        <v>111748.01</v>
      </c>
      <c r="N1257">
        <f t="shared" si="24"/>
        <v>162666.80999999231</v>
      </c>
      <c r="O1257" s="9" t="s">
        <v>5</v>
      </c>
    </row>
    <row r="1258" spans="1:15" x14ac:dyDescent="0.2">
      <c r="A1258">
        <v>51</v>
      </c>
      <c r="B1258">
        <v>5</v>
      </c>
      <c r="C1258">
        <v>6</v>
      </c>
      <c r="D1258" s="2">
        <v>2</v>
      </c>
      <c r="E1258" s="2">
        <v>3</v>
      </c>
      <c r="F1258" s="2" t="s">
        <v>5</v>
      </c>
      <c r="G1258" s="2">
        <v>252.19999999990301</v>
      </c>
      <c r="H1258" s="2" t="s">
        <v>16</v>
      </c>
      <c r="I1258" s="2">
        <v>139174.99999999499</v>
      </c>
      <c r="J1258" s="2">
        <v>1000</v>
      </c>
      <c r="K1258" s="2">
        <v>20</v>
      </c>
      <c r="L1258" s="2">
        <v>0</v>
      </c>
      <c r="M1258" s="2">
        <v>113068.01</v>
      </c>
      <c r="N1258">
        <f t="shared" si="24"/>
        <v>252495.2099999949</v>
      </c>
      <c r="O1258" s="9" t="s">
        <v>4</v>
      </c>
    </row>
    <row r="1259" spans="1:15" x14ac:dyDescent="0.2">
      <c r="A1259">
        <v>52</v>
      </c>
      <c r="B1259">
        <v>5</v>
      </c>
      <c r="C1259">
        <v>7</v>
      </c>
      <c r="D1259" s="2">
        <v>2</v>
      </c>
      <c r="E1259" s="2">
        <v>1</v>
      </c>
      <c r="F1259" s="2" t="s">
        <v>5</v>
      </c>
      <c r="G1259" s="2">
        <v>219.40000000029201</v>
      </c>
      <c r="H1259" s="2" t="s">
        <v>16</v>
      </c>
      <c r="I1259" s="2">
        <v>49910.000000011198</v>
      </c>
      <c r="J1259" s="2">
        <v>1000</v>
      </c>
      <c r="K1259" s="2">
        <v>20</v>
      </c>
      <c r="L1259" s="2">
        <v>0</v>
      </c>
      <c r="M1259" s="2">
        <v>97428.81</v>
      </c>
      <c r="N1259">
        <f t="shared" si="24"/>
        <v>147558.21000001149</v>
      </c>
      <c r="O1259" s="9" t="s">
        <v>5</v>
      </c>
    </row>
    <row r="1260" spans="1:15" x14ac:dyDescent="0.2">
      <c r="A1260">
        <v>53</v>
      </c>
      <c r="B1260">
        <v>5</v>
      </c>
      <c r="C1260">
        <v>7</v>
      </c>
      <c r="D1260" s="2">
        <v>2</v>
      </c>
      <c r="E1260" s="2">
        <v>2</v>
      </c>
      <c r="F1260" s="2" t="s">
        <v>5</v>
      </c>
      <c r="G1260" s="2">
        <v>218.80000000038501</v>
      </c>
      <c r="H1260" s="2" t="s">
        <v>16</v>
      </c>
      <c r="I1260" s="2">
        <v>113836.99999999</v>
      </c>
      <c r="J1260" s="2">
        <v>1000</v>
      </c>
      <c r="K1260" s="2">
        <v>20</v>
      </c>
      <c r="L1260" s="2">
        <v>0</v>
      </c>
      <c r="M1260" s="2">
        <v>114747.61</v>
      </c>
      <c r="N1260">
        <f t="shared" si="24"/>
        <v>228803.40999999037</v>
      </c>
      <c r="O1260" s="9" t="s">
        <v>4</v>
      </c>
    </row>
    <row r="1261" spans="1:15" x14ac:dyDescent="0.2">
      <c r="A1261">
        <v>54</v>
      </c>
      <c r="B1261">
        <v>5</v>
      </c>
      <c r="C1261">
        <v>7</v>
      </c>
      <c r="D1261" s="2">
        <v>2</v>
      </c>
      <c r="E1261" s="2">
        <v>3</v>
      </c>
      <c r="F1261" s="2" t="s">
        <v>5</v>
      </c>
      <c r="G1261" s="2">
        <v>306.40000000019501</v>
      </c>
      <c r="H1261" s="2" t="s">
        <v>16</v>
      </c>
      <c r="I1261" s="2">
        <v>434876.00000000303</v>
      </c>
      <c r="J1261" s="2">
        <v>1000</v>
      </c>
      <c r="K1261" s="2">
        <v>20</v>
      </c>
      <c r="L1261" s="2">
        <v>0</v>
      </c>
      <c r="M1261" s="2">
        <v>133150.01</v>
      </c>
      <c r="N1261">
        <f t="shared" si="24"/>
        <v>568332.41000000318</v>
      </c>
      <c r="O1261" s="9" t="s">
        <v>4</v>
      </c>
    </row>
    <row r="1262" spans="1:15" x14ac:dyDescent="0.2">
      <c r="A1262">
        <v>55</v>
      </c>
      <c r="B1262">
        <v>5</v>
      </c>
      <c r="C1262">
        <v>5</v>
      </c>
      <c r="D1262" s="2">
        <v>2</v>
      </c>
      <c r="E1262" s="2">
        <v>1</v>
      </c>
      <c r="F1262" s="2" t="s">
        <v>5</v>
      </c>
      <c r="G1262" s="2">
        <v>140.60000000064599</v>
      </c>
      <c r="H1262" s="2" t="s">
        <v>16</v>
      </c>
      <c r="I1262" s="2">
        <v>27028.000000001401</v>
      </c>
      <c r="J1262" s="2">
        <v>1000</v>
      </c>
      <c r="K1262" s="2">
        <v>20</v>
      </c>
      <c r="L1262" s="2">
        <v>0</v>
      </c>
      <c r="M1262" s="2">
        <v>98468.01</v>
      </c>
      <c r="N1262">
        <f t="shared" si="24"/>
        <v>125636.61000000204</v>
      </c>
      <c r="O1262" s="9" t="s">
        <v>5</v>
      </c>
    </row>
    <row r="1263" spans="1:15" x14ac:dyDescent="0.2">
      <c r="A1263">
        <v>56</v>
      </c>
      <c r="B1263">
        <v>5</v>
      </c>
      <c r="C1263">
        <v>5</v>
      </c>
      <c r="D1263" s="2">
        <v>2</v>
      </c>
      <c r="E1263" s="2">
        <v>2</v>
      </c>
      <c r="F1263" s="2" t="s">
        <v>5</v>
      </c>
      <c r="G1263" s="2">
        <v>137.60000000004899</v>
      </c>
      <c r="H1263" s="2" t="s">
        <v>16</v>
      </c>
      <c r="I1263" s="2">
        <v>25397.999999995602</v>
      </c>
      <c r="J1263" s="2">
        <v>1000</v>
      </c>
      <c r="K1263" s="2">
        <v>20</v>
      </c>
      <c r="L1263" s="2">
        <v>0</v>
      </c>
      <c r="M1263" s="2">
        <v>99828.01</v>
      </c>
      <c r="N1263">
        <f t="shared" ref="N1263:N1326" si="25">G1263+I1263+M1263</f>
        <v>125363.60999999565</v>
      </c>
      <c r="O1263" s="9" t="s">
        <v>5</v>
      </c>
    </row>
    <row r="1264" spans="1:15" x14ac:dyDescent="0.2">
      <c r="A1264">
        <v>57</v>
      </c>
      <c r="B1264">
        <v>5</v>
      </c>
      <c r="C1264">
        <v>5</v>
      </c>
      <c r="D1264" s="2">
        <v>2</v>
      </c>
      <c r="E1264" s="2">
        <v>3</v>
      </c>
      <c r="F1264" s="2" t="s">
        <v>5</v>
      </c>
      <c r="G1264" s="2">
        <v>183.39999999987799</v>
      </c>
      <c r="H1264" s="2" t="s">
        <v>16</v>
      </c>
      <c r="I1264" s="2">
        <v>44558.000000023399</v>
      </c>
      <c r="J1264" s="2">
        <v>1000</v>
      </c>
      <c r="K1264" s="2">
        <v>20</v>
      </c>
      <c r="L1264" s="2">
        <v>0</v>
      </c>
      <c r="M1264" s="2">
        <v>96468.81</v>
      </c>
      <c r="N1264">
        <f t="shared" si="25"/>
        <v>141210.21000002327</v>
      </c>
      <c r="O1264" s="9" t="s">
        <v>4</v>
      </c>
    </row>
    <row r="1265" spans="1:15" x14ac:dyDescent="0.2">
      <c r="A1265">
        <v>58</v>
      </c>
      <c r="B1265">
        <v>5</v>
      </c>
      <c r="C1265">
        <v>6</v>
      </c>
      <c r="D1265" s="2">
        <v>2</v>
      </c>
      <c r="E1265" s="2">
        <v>1</v>
      </c>
      <c r="F1265" s="2" t="s">
        <v>5</v>
      </c>
      <c r="G1265" s="2">
        <v>215.599999999228</v>
      </c>
      <c r="H1265" s="2" t="s">
        <v>16</v>
      </c>
      <c r="I1265" s="2">
        <v>56205.000000005602</v>
      </c>
      <c r="J1265" s="2">
        <v>1000</v>
      </c>
      <c r="K1265" s="2">
        <v>20</v>
      </c>
      <c r="L1265" s="2">
        <v>0</v>
      </c>
      <c r="M1265" s="2">
        <v>101031.21</v>
      </c>
      <c r="N1265">
        <f t="shared" si="25"/>
        <v>157451.81000000483</v>
      </c>
      <c r="O1265" s="9" t="s">
        <v>5</v>
      </c>
    </row>
    <row r="1266" spans="1:15" x14ac:dyDescent="0.2">
      <c r="A1266">
        <v>59</v>
      </c>
      <c r="B1266">
        <v>5</v>
      </c>
      <c r="C1266">
        <v>6</v>
      </c>
      <c r="D1266" s="2">
        <v>2</v>
      </c>
      <c r="E1266" s="2">
        <v>2</v>
      </c>
      <c r="F1266" s="2" t="s">
        <v>5</v>
      </c>
      <c r="G1266" s="2">
        <v>212.39999999984599</v>
      </c>
      <c r="H1266" s="2" t="s">
        <v>16</v>
      </c>
      <c r="I1266" s="2">
        <v>45035.000000012798</v>
      </c>
      <c r="J1266" s="2">
        <v>1000</v>
      </c>
      <c r="K1266" s="2">
        <v>20</v>
      </c>
      <c r="L1266" s="2">
        <v>0</v>
      </c>
      <c r="M1266" s="2">
        <v>99388.01</v>
      </c>
      <c r="N1266">
        <f t="shared" si="25"/>
        <v>144635.41000001263</v>
      </c>
      <c r="O1266" s="9" t="s">
        <v>5</v>
      </c>
    </row>
    <row r="1267" spans="1:15" x14ac:dyDescent="0.2">
      <c r="A1267">
        <v>60</v>
      </c>
      <c r="B1267">
        <v>5</v>
      </c>
      <c r="C1267">
        <v>6</v>
      </c>
      <c r="D1267" s="2">
        <v>2</v>
      </c>
      <c r="E1267" s="2">
        <v>3</v>
      </c>
      <c r="F1267" s="2" t="s">
        <v>5</v>
      </c>
      <c r="G1267" s="2">
        <v>288.40000000016602</v>
      </c>
      <c r="H1267" s="2" t="s">
        <v>16</v>
      </c>
      <c r="I1267" s="2">
        <v>150798.00000000899</v>
      </c>
      <c r="J1267" s="2">
        <v>1000</v>
      </c>
      <c r="K1267" s="2">
        <v>20</v>
      </c>
      <c r="L1267" s="2">
        <v>0</v>
      </c>
      <c r="M1267" s="2">
        <v>101189.61</v>
      </c>
      <c r="N1267">
        <f t="shared" si="25"/>
        <v>252276.01000000915</v>
      </c>
      <c r="O1267" s="9" t="s">
        <v>4</v>
      </c>
    </row>
    <row r="1268" spans="1:15" x14ac:dyDescent="0.2">
      <c r="A1268">
        <v>61</v>
      </c>
      <c r="B1268">
        <v>5</v>
      </c>
      <c r="C1268">
        <v>7</v>
      </c>
      <c r="D1268" s="2">
        <v>2</v>
      </c>
      <c r="E1268" s="2">
        <v>1</v>
      </c>
      <c r="F1268" s="2" t="s">
        <v>5</v>
      </c>
      <c r="G1268" s="2">
        <v>230.60000000043601</v>
      </c>
      <c r="H1268" s="2" t="s">
        <v>16</v>
      </c>
      <c r="I1268" s="2">
        <v>105615.99999999801</v>
      </c>
      <c r="J1268" s="2">
        <v>1000</v>
      </c>
      <c r="K1268" s="2">
        <v>20</v>
      </c>
      <c r="L1268" s="2">
        <v>0</v>
      </c>
      <c r="M1268" s="2">
        <v>120829.21</v>
      </c>
      <c r="N1268">
        <f t="shared" si="25"/>
        <v>226675.80999999846</v>
      </c>
      <c r="O1268" s="9" t="s">
        <v>5</v>
      </c>
    </row>
    <row r="1269" spans="1:15" x14ac:dyDescent="0.2">
      <c r="A1269">
        <v>62</v>
      </c>
      <c r="B1269">
        <v>5</v>
      </c>
      <c r="C1269">
        <v>7</v>
      </c>
      <c r="D1269" s="2">
        <v>2</v>
      </c>
      <c r="E1269" s="2">
        <v>2</v>
      </c>
      <c r="F1269" s="2" t="s">
        <v>5</v>
      </c>
      <c r="G1269" s="2">
        <v>233.80000000017299</v>
      </c>
      <c r="H1269" s="2" t="s">
        <v>16</v>
      </c>
      <c r="I1269" s="2">
        <v>102223.999999978</v>
      </c>
      <c r="J1269" s="2">
        <v>1000</v>
      </c>
      <c r="K1269" s="2">
        <v>20</v>
      </c>
      <c r="L1269" s="2">
        <v>0</v>
      </c>
      <c r="M1269" s="2">
        <v>97707.61</v>
      </c>
      <c r="N1269">
        <f t="shared" si="25"/>
        <v>200165.40999997818</v>
      </c>
      <c r="O1269" s="9" t="s">
        <v>5</v>
      </c>
    </row>
    <row r="1270" spans="1:15" x14ac:dyDescent="0.2">
      <c r="A1270">
        <v>63</v>
      </c>
      <c r="B1270">
        <v>5</v>
      </c>
      <c r="C1270">
        <v>7</v>
      </c>
      <c r="D1270" s="2">
        <v>2</v>
      </c>
      <c r="E1270" s="2">
        <v>3</v>
      </c>
      <c r="F1270" s="2" t="s">
        <v>5</v>
      </c>
      <c r="G1270" s="2">
        <v>359.799999999666</v>
      </c>
      <c r="H1270" s="2" t="s">
        <v>16</v>
      </c>
      <c r="I1270" s="2">
        <v>241534.99999999901</v>
      </c>
      <c r="J1270" s="2">
        <v>1000</v>
      </c>
      <c r="K1270" s="2">
        <v>20</v>
      </c>
      <c r="L1270" s="2">
        <v>0</v>
      </c>
      <c r="M1270" s="2">
        <v>103428.41</v>
      </c>
      <c r="N1270">
        <f t="shared" si="25"/>
        <v>345323.20999999868</v>
      </c>
      <c r="O1270" s="9" t="s">
        <v>4</v>
      </c>
    </row>
    <row r="1271" spans="1:15" x14ac:dyDescent="0.2">
      <c r="A1271">
        <v>64</v>
      </c>
      <c r="B1271">
        <v>5</v>
      </c>
      <c r="C1271">
        <v>8</v>
      </c>
      <c r="D1271" s="2">
        <v>2</v>
      </c>
      <c r="E1271" s="2">
        <v>1</v>
      </c>
      <c r="F1271" s="2" t="s">
        <v>5</v>
      </c>
      <c r="G1271" s="2">
        <v>274.00000000028501</v>
      </c>
      <c r="H1271" s="2" t="s">
        <v>16</v>
      </c>
      <c r="I1271" s="2">
        <v>128890.00000001299</v>
      </c>
      <c r="J1271" s="2">
        <v>1000</v>
      </c>
      <c r="K1271" s="2">
        <v>20</v>
      </c>
      <c r="L1271" s="2">
        <v>0</v>
      </c>
      <c r="M1271" s="2">
        <v>104790.41</v>
      </c>
      <c r="N1271">
        <f t="shared" si="25"/>
        <v>233954.4100000133</v>
      </c>
      <c r="O1271" s="9" t="s">
        <v>5</v>
      </c>
    </row>
    <row r="1272" spans="1:15" x14ac:dyDescent="0.2">
      <c r="A1272">
        <v>65</v>
      </c>
      <c r="B1272">
        <v>5</v>
      </c>
      <c r="C1272">
        <v>8</v>
      </c>
      <c r="D1272" s="2">
        <v>2</v>
      </c>
      <c r="E1272" s="2">
        <v>2</v>
      </c>
      <c r="F1272" s="2" t="s">
        <v>5</v>
      </c>
      <c r="G1272" s="2">
        <v>271.20000000024902</v>
      </c>
      <c r="H1272" s="2" t="s">
        <v>16</v>
      </c>
      <c r="I1272" s="2">
        <v>165955.999999994</v>
      </c>
      <c r="J1272" s="2">
        <v>1000</v>
      </c>
      <c r="K1272" s="2">
        <v>20</v>
      </c>
      <c r="L1272" s="2">
        <v>0</v>
      </c>
      <c r="M1272" s="2">
        <v>101148.01</v>
      </c>
      <c r="N1272">
        <f t="shared" si="25"/>
        <v>267375.20999999426</v>
      </c>
      <c r="O1272" s="9" t="s">
        <v>4</v>
      </c>
    </row>
    <row r="1273" spans="1:15" x14ac:dyDescent="0.2">
      <c r="A1273">
        <v>66</v>
      </c>
      <c r="B1273">
        <v>5</v>
      </c>
      <c r="C1273">
        <v>8</v>
      </c>
      <c r="D1273" s="2">
        <v>2</v>
      </c>
      <c r="E1273" s="2">
        <v>3</v>
      </c>
      <c r="F1273" s="2" t="s">
        <v>5</v>
      </c>
      <c r="G1273" s="2">
        <v>390.99999999976399</v>
      </c>
      <c r="H1273" s="2" t="s">
        <v>16</v>
      </c>
      <c r="I1273" s="2">
        <v>603557.99999999197</v>
      </c>
      <c r="J1273" s="2">
        <v>1000</v>
      </c>
      <c r="K1273" s="2">
        <v>20</v>
      </c>
      <c r="L1273" s="2">
        <v>0</v>
      </c>
      <c r="M1273" s="2">
        <v>105829.21</v>
      </c>
      <c r="N1273">
        <f t="shared" si="25"/>
        <v>709778.2099999917</v>
      </c>
      <c r="O1273" s="9" t="s">
        <v>4</v>
      </c>
    </row>
    <row r="1274" spans="1:15" x14ac:dyDescent="0.2">
      <c r="A1274">
        <v>67</v>
      </c>
      <c r="B1274">
        <v>5</v>
      </c>
      <c r="C1274">
        <v>7</v>
      </c>
      <c r="D1274" s="2">
        <v>2</v>
      </c>
      <c r="E1274" s="2">
        <v>1</v>
      </c>
      <c r="F1274" s="2" t="s">
        <v>5</v>
      </c>
      <c r="G1274" s="2">
        <v>210.20000000007099</v>
      </c>
      <c r="H1274" s="2" t="s">
        <v>16</v>
      </c>
      <c r="I1274" s="2">
        <v>119817.999999981</v>
      </c>
      <c r="J1274" s="2">
        <v>1000</v>
      </c>
      <c r="K1274" s="2">
        <v>20</v>
      </c>
      <c r="L1274" s="2">
        <v>0</v>
      </c>
      <c r="M1274" s="2">
        <v>116268.01</v>
      </c>
      <c r="N1274">
        <f t="shared" si="25"/>
        <v>236296.20999998105</v>
      </c>
      <c r="O1274" s="9" t="s">
        <v>5</v>
      </c>
    </row>
    <row r="1275" spans="1:15" x14ac:dyDescent="0.2">
      <c r="A1275">
        <v>68</v>
      </c>
      <c r="B1275">
        <v>5</v>
      </c>
      <c r="C1275">
        <v>7</v>
      </c>
      <c r="D1275" s="2">
        <v>2</v>
      </c>
      <c r="E1275" s="2">
        <v>2</v>
      </c>
      <c r="F1275" s="2" t="s">
        <v>5</v>
      </c>
      <c r="G1275" s="2">
        <v>210.00000000022101</v>
      </c>
      <c r="H1275" s="2" t="s">
        <v>16</v>
      </c>
      <c r="I1275" s="2">
        <v>73575.000000005297</v>
      </c>
      <c r="J1275" s="2">
        <v>1000</v>
      </c>
      <c r="K1275" s="2">
        <v>20</v>
      </c>
      <c r="L1275" s="2">
        <v>0</v>
      </c>
      <c r="M1275" s="2">
        <v>102268.41</v>
      </c>
      <c r="N1275">
        <f t="shared" si="25"/>
        <v>176053.4100000055</v>
      </c>
      <c r="O1275" s="9" t="s">
        <v>5</v>
      </c>
    </row>
    <row r="1276" spans="1:15" x14ac:dyDescent="0.2">
      <c r="A1276">
        <v>69</v>
      </c>
      <c r="B1276">
        <v>5</v>
      </c>
      <c r="C1276">
        <v>7</v>
      </c>
      <c r="D1276" s="2">
        <v>2</v>
      </c>
      <c r="E1276" s="2">
        <v>3</v>
      </c>
      <c r="F1276" s="2" t="s">
        <v>5</v>
      </c>
      <c r="G1276" s="2">
        <v>292.59999999986502</v>
      </c>
      <c r="H1276" s="2" t="s">
        <v>16</v>
      </c>
      <c r="I1276" s="2">
        <v>260648.000000003</v>
      </c>
      <c r="J1276" s="2">
        <v>1000</v>
      </c>
      <c r="K1276" s="2">
        <v>20</v>
      </c>
      <c r="L1276" s="2">
        <v>0</v>
      </c>
      <c r="M1276" s="2">
        <v>98428.81</v>
      </c>
      <c r="N1276">
        <f t="shared" si="25"/>
        <v>359369.41000000283</v>
      </c>
      <c r="O1276" s="9" t="s">
        <v>4</v>
      </c>
    </row>
    <row r="1277" spans="1:15" x14ac:dyDescent="0.2">
      <c r="A1277">
        <v>28</v>
      </c>
      <c r="B1277">
        <v>5</v>
      </c>
      <c r="C1277">
        <v>4</v>
      </c>
      <c r="D1277" s="2">
        <v>2</v>
      </c>
      <c r="E1277" s="2">
        <v>1</v>
      </c>
      <c r="F1277" s="2" t="s">
        <v>5</v>
      </c>
      <c r="G1277" s="2">
        <v>541.19999999961999</v>
      </c>
      <c r="H1277" s="2" t="s">
        <v>16</v>
      </c>
      <c r="I1277" s="2">
        <v>40185.000000008098</v>
      </c>
      <c r="J1277" s="2">
        <v>2000</v>
      </c>
      <c r="K1277" s="2">
        <v>20</v>
      </c>
      <c r="L1277" s="2">
        <v>0</v>
      </c>
      <c r="M1277" s="2">
        <v>204108.81</v>
      </c>
      <c r="N1277">
        <f t="shared" si="25"/>
        <v>244835.01000000772</v>
      </c>
      <c r="O1277" s="9" t="s">
        <v>5</v>
      </c>
    </row>
    <row r="1278" spans="1:15" x14ac:dyDescent="0.2">
      <c r="A1278">
        <v>29</v>
      </c>
      <c r="B1278">
        <v>5</v>
      </c>
      <c r="C1278">
        <v>5</v>
      </c>
      <c r="D1278" s="2">
        <v>2</v>
      </c>
      <c r="E1278" s="2">
        <v>2</v>
      </c>
      <c r="F1278" s="2" t="s">
        <v>5</v>
      </c>
      <c r="G1278" s="2">
        <v>547.39999999959798</v>
      </c>
      <c r="H1278" s="2" t="s">
        <v>16</v>
      </c>
      <c r="I1278" s="2">
        <v>34695.999999996697</v>
      </c>
      <c r="J1278" s="2">
        <v>2000</v>
      </c>
      <c r="K1278" s="2">
        <v>20</v>
      </c>
      <c r="L1278" s="2">
        <v>0</v>
      </c>
      <c r="M1278" s="2">
        <v>175147.21</v>
      </c>
      <c r="N1278">
        <f t="shared" si="25"/>
        <v>210390.60999999629</v>
      </c>
      <c r="O1278" s="9" t="s">
        <v>5</v>
      </c>
    </row>
    <row r="1279" spans="1:15" x14ac:dyDescent="0.2">
      <c r="A1279">
        <v>30</v>
      </c>
      <c r="B1279">
        <v>5</v>
      </c>
      <c r="C1279">
        <v>5</v>
      </c>
      <c r="D1279" s="2">
        <v>2</v>
      </c>
      <c r="E1279" s="2">
        <v>3</v>
      </c>
      <c r="F1279" s="2" t="s">
        <v>5</v>
      </c>
      <c r="G1279" s="2">
        <v>598.60000000000502</v>
      </c>
      <c r="H1279" s="2" t="s">
        <v>16</v>
      </c>
      <c r="I1279" s="2">
        <v>78614.999999984997</v>
      </c>
      <c r="J1279" s="2">
        <v>2000</v>
      </c>
      <c r="K1279" s="2">
        <v>20</v>
      </c>
      <c r="L1279" s="2">
        <v>0</v>
      </c>
      <c r="M1279" s="2">
        <v>183228.01</v>
      </c>
      <c r="N1279">
        <f t="shared" si="25"/>
        <v>262441.60999998503</v>
      </c>
      <c r="O1279" s="9" t="s">
        <v>4</v>
      </c>
    </row>
    <row r="1280" spans="1:15" x14ac:dyDescent="0.2">
      <c r="A1280">
        <v>31</v>
      </c>
      <c r="B1280">
        <v>5</v>
      </c>
      <c r="C1280">
        <v>5</v>
      </c>
      <c r="D1280" s="2">
        <v>2</v>
      </c>
      <c r="E1280" s="2">
        <v>1</v>
      </c>
      <c r="F1280" s="2" t="s">
        <v>5</v>
      </c>
      <c r="G1280" s="2">
        <v>351.19999999970702</v>
      </c>
      <c r="H1280" s="2" t="s">
        <v>16</v>
      </c>
      <c r="I1280" s="2">
        <v>51963.999999998101</v>
      </c>
      <c r="J1280" s="2">
        <v>2000</v>
      </c>
      <c r="K1280" s="2">
        <v>20</v>
      </c>
      <c r="L1280" s="2">
        <v>0</v>
      </c>
      <c r="M1280" s="2">
        <v>178987.61</v>
      </c>
      <c r="N1280">
        <f t="shared" si="25"/>
        <v>231302.80999999779</v>
      </c>
      <c r="O1280" s="9" t="s">
        <v>5</v>
      </c>
    </row>
    <row r="1281" spans="1:15" x14ac:dyDescent="0.2">
      <c r="A1281">
        <v>32</v>
      </c>
      <c r="B1281">
        <v>5</v>
      </c>
      <c r="C1281">
        <v>5</v>
      </c>
      <c r="D1281" s="2">
        <v>2</v>
      </c>
      <c r="E1281" s="2">
        <v>2</v>
      </c>
      <c r="F1281" s="2" t="s">
        <v>5</v>
      </c>
      <c r="G1281" s="2">
        <v>356.00000000002302</v>
      </c>
      <c r="H1281" s="2" t="s">
        <v>16</v>
      </c>
      <c r="I1281" s="2">
        <v>20672.999999987998</v>
      </c>
      <c r="J1281" s="2">
        <v>2000</v>
      </c>
      <c r="K1281" s="2">
        <v>20</v>
      </c>
      <c r="L1281" s="2">
        <v>0</v>
      </c>
      <c r="M1281" s="2">
        <v>174347.21</v>
      </c>
      <c r="N1281">
        <f t="shared" si="25"/>
        <v>195376.209999988</v>
      </c>
      <c r="O1281" s="9" t="s">
        <v>5</v>
      </c>
    </row>
    <row r="1282" spans="1:15" x14ac:dyDescent="0.2">
      <c r="A1282">
        <v>33</v>
      </c>
      <c r="B1282">
        <v>5</v>
      </c>
      <c r="C1282">
        <v>5</v>
      </c>
      <c r="D1282" s="2">
        <v>2</v>
      </c>
      <c r="E1282" s="2">
        <v>3</v>
      </c>
      <c r="F1282" s="2" t="s">
        <v>5</v>
      </c>
      <c r="G1282" s="2">
        <v>485.39999999981399</v>
      </c>
      <c r="H1282" s="2" t="s">
        <v>16</v>
      </c>
      <c r="I1282" s="2">
        <v>60222.000000010201</v>
      </c>
      <c r="J1282" s="2">
        <v>2000</v>
      </c>
      <c r="K1282" s="2">
        <v>20</v>
      </c>
      <c r="L1282" s="2">
        <v>0</v>
      </c>
      <c r="M1282" s="2">
        <v>181627.61</v>
      </c>
      <c r="N1282">
        <f t="shared" si="25"/>
        <v>242335.01000000999</v>
      </c>
      <c r="O1282" s="9" t="s">
        <v>5</v>
      </c>
    </row>
    <row r="1283" spans="1:15" x14ac:dyDescent="0.2">
      <c r="A1283">
        <v>34</v>
      </c>
      <c r="B1283">
        <v>5</v>
      </c>
      <c r="C1283">
        <v>5</v>
      </c>
      <c r="D1283" s="2">
        <v>2</v>
      </c>
      <c r="E1283" s="2">
        <v>1</v>
      </c>
      <c r="F1283" s="2" t="s">
        <v>5</v>
      </c>
      <c r="G1283" s="2">
        <v>307.60000000000798</v>
      </c>
      <c r="H1283" s="2" t="s">
        <v>16</v>
      </c>
      <c r="I1283" s="2">
        <v>19947.000000001899</v>
      </c>
      <c r="J1283" s="2">
        <v>2000</v>
      </c>
      <c r="K1283" s="2">
        <v>20</v>
      </c>
      <c r="L1283" s="2">
        <v>0</v>
      </c>
      <c r="M1283" s="2">
        <v>178587.61</v>
      </c>
      <c r="N1283">
        <f t="shared" si="25"/>
        <v>198842.21000000188</v>
      </c>
      <c r="O1283" s="9" t="s">
        <v>5</v>
      </c>
    </row>
    <row r="1284" spans="1:15" x14ac:dyDescent="0.2">
      <c r="A1284">
        <v>35</v>
      </c>
      <c r="B1284">
        <v>5</v>
      </c>
      <c r="C1284">
        <v>6</v>
      </c>
      <c r="D1284" s="2">
        <v>2</v>
      </c>
      <c r="E1284" s="2">
        <v>1</v>
      </c>
      <c r="F1284" s="2" t="s">
        <v>5</v>
      </c>
      <c r="G1284" s="2">
        <v>378.80000000036802</v>
      </c>
      <c r="H1284" s="2" t="s">
        <v>16</v>
      </c>
      <c r="I1284" s="2">
        <v>67833.000000007407</v>
      </c>
      <c r="J1284" s="2">
        <v>2000</v>
      </c>
      <c r="K1284" s="2">
        <v>20</v>
      </c>
      <c r="L1284" s="2">
        <v>0</v>
      </c>
      <c r="M1284" s="2">
        <v>237467.61</v>
      </c>
      <c r="N1284">
        <f t="shared" si="25"/>
        <v>305679.41000000777</v>
      </c>
      <c r="O1284" s="9" t="s">
        <v>5</v>
      </c>
    </row>
    <row r="1285" spans="1:15" x14ac:dyDescent="0.2">
      <c r="A1285">
        <v>36</v>
      </c>
      <c r="B1285">
        <v>5</v>
      </c>
      <c r="C1285">
        <v>6</v>
      </c>
      <c r="D1285" s="2">
        <v>2</v>
      </c>
      <c r="E1285" s="2">
        <v>2</v>
      </c>
      <c r="F1285" s="2" t="s">
        <v>5</v>
      </c>
      <c r="G1285" s="2">
        <v>225.399999999709</v>
      </c>
      <c r="H1285" s="2" t="s">
        <v>16</v>
      </c>
      <c r="I1285" s="2">
        <v>85232.000000019107</v>
      </c>
      <c r="J1285" s="2">
        <v>2000</v>
      </c>
      <c r="K1285" s="2">
        <v>20</v>
      </c>
      <c r="L1285" s="2">
        <v>0</v>
      </c>
      <c r="M1285" s="2">
        <v>207548.01</v>
      </c>
      <c r="N1285">
        <f t="shared" si="25"/>
        <v>293005.41000001883</v>
      </c>
      <c r="O1285" s="9" t="s">
        <v>4</v>
      </c>
    </row>
    <row r="1286" spans="1:15" x14ac:dyDescent="0.2">
      <c r="A1286">
        <v>37</v>
      </c>
      <c r="B1286">
        <v>5</v>
      </c>
      <c r="C1286">
        <v>6</v>
      </c>
      <c r="D1286" s="2">
        <v>2</v>
      </c>
      <c r="E1286" s="2">
        <v>3</v>
      </c>
      <c r="F1286" s="2" t="s">
        <v>5</v>
      </c>
      <c r="G1286" s="2">
        <v>317.40000000049002</v>
      </c>
      <c r="H1286" s="2" t="s">
        <v>16</v>
      </c>
      <c r="I1286" s="2">
        <v>429632.99999999598</v>
      </c>
      <c r="J1286" s="2">
        <v>2000</v>
      </c>
      <c r="K1286" s="2">
        <v>20</v>
      </c>
      <c r="L1286" s="2">
        <v>0</v>
      </c>
      <c r="M1286" s="2">
        <v>231387.61</v>
      </c>
      <c r="N1286">
        <f t="shared" si="25"/>
        <v>661338.00999999652</v>
      </c>
      <c r="O1286" s="9" t="s">
        <v>4</v>
      </c>
    </row>
    <row r="1287" spans="1:15" x14ac:dyDescent="0.2">
      <c r="A1287">
        <v>38</v>
      </c>
      <c r="B1287">
        <v>5</v>
      </c>
      <c r="C1287">
        <v>6</v>
      </c>
      <c r="D1287" s="2">
        <v>2</v>
      </c>
      <c r="E1287" s="2">
        <v>1</v>
      </c>
      <c r="F1287" s="2" t="s">
        <v>5</v>
      </c>
      <c r="G1287" s="2">
        <v>206.39999999971801</v>
      </c>
      <c r="H1287" s="2" t="s">
        <v>16</v>
      </c>
      <c r="I1287" s="2">
        <v>58606.999999995001</v>
      </c>
      <c r="J1287" s="2">
        <v>2000</v>
      </c>
      <c r="K1287" s="2">
        <v>20</v>
      </c>
      <c r="L1287" s="2">
        <v>0</v>
      </c>
      <c r="M1287" s="2">
        <v>237707.21</v>
      </c>
      <c r="N1287">
        <f t="shared" si="25"/>
        <v>296520.60999999469</v>
      </c>
      <c r="O1287" s="9" t="s">
        <v>5</v>
      </c>
    </row>
    <row r="1288" spans="1:15" x14ac:dyDescent="0.2">
      <c r="A1288">
        <v>39</v>
      </c>
      <c r="B1288">
        <v>5</v>
      </c>
      <c r="C1288">
        <v>7</v>
      </c>
      <c r="D1288" s="2">
        <v>2</v>
      </c>
      <c r="E1288" s="2">
        <v>1</v>
      </c>
      <c r="F1288" s="2" t="s">
        <v>5</v>
      </c>
      <c r="G1288" s="2">
        <v>257.600000000124</v>
      </c>
      <c r="H1288" s="2" t="s">
        <v>16</v>
      </c>
      <c r="I1288" s="2">
        <v>172606.00000000201</v>
      </c>
      <c r="J1288" s="2">
        <v>2000</v>
      </c>
      <c r="K1288" s="2">
        <v>20</v>
      </c>
      <c r="L1288" s="2">
        <v>0</v>
      </c>
      <c r="M1288" s="2">
        <v>246428.01</v>
      </c>
      <c r="N1288">
        <f t="shared" si="25"/>
        <v>419291.61000000214</v>
      </c>
      <c r="O1288" s="9" t="s">
        <v>5</v>
      </c>
    </row>
    <row r="1289" spans="1:15" x14ac:dyDescent="0.2">
      <c r="A1289">
        <v>40</v>
      </c>
      <c r="B1289">
        <v>5</v>
      </c>
      <c r="C1289">
        <v>7</v>
      </c>
      <c r="D1289" s="2">
        <v>2</v>
      </c>
      <c r="E1289" s="2">
        <v>2</v>
      </c>
      <c r="F1289" s="2" t="s">
        <v>5</v>
      </c>
      <c r="G1289" s="2">
        <v>242.59999999962599</v>
      </c>
      <c r="H1289" s="2" t="s">
        <v>16</v>
      </c>
      <c r="I1289" s="2">
        <v>100393.999999994</v>
      </c>
      <c r="J1289" s="2">
        <v>2000</v>
      </c>
      <c r="K1289" s="2">
        <v>20</v>
      </c>
      <c r="L1289" s="2">
        <v>0</v>
      </c>
      <c r="M1289" s="2">
        <v>212908.41</v>
      </c>
      <c r="N1289">
        <f t="shared" si="25"/>
        <v>313545.00999999361</v>
      </c>
      <c r="O1289" s="9" t="s">
        <v>4</v>
      </c>
    </row>
    <row r="1290" spans="1:15" x14ac:dyDescent="0.2">
      <c r="A1290">
        <v>41</v>
      </c>
      <c r="B1290">
        <v>5</v>
      </c>
      <c r="C1290">
        <v>7</v>
      </c>
      <c r="D1290" s="2">
        <v>2</v>
      </c>
      <c r="E1290" s="2">
        <v>3</v>
      </c>
      <c r="F1290" s="2" t="s">
        <v>5</v>
      </c>
      <c r="G1290" s="2">
        <v>354.20000000030399</v>
      </c>
      <c r="H1290" s="2" t="s">
        <v>16</v>
      </c>
      <c r="I1290" s="2">
        <v>409392.00000002497</v>
      </c>
      <c r="J1290" s="2">
        <v>2000</v>
      </c>
      <c r="K1290" s="2">
        <v>20</v>
      </c>
      <c r="L1290" s="2">
        <v>0</v>
      </c>
      <c r="M1290" s="2">
        <v>231549.21</v>
      </c>
      <c r="N1290">
        <f t="shared" si="25"/>
        <v>641295.41000002529</v>
      </c>
      <c r="O1290" s="9" t="s">
        <v>4</v>
      </c>
    </row>
    <row r="1291" spans="1:15" x14ac:dyDescent="0.2">
      <c r="A1291">
        <v>42</v>
      </c>
      <c r="B1291">
        <v>5</v>
      </c>
      <c r="C1291">
        <v>4</v>
      </c>
      <c r="D1291" s="2">
        <v>2</v>
      </c>
      <c r="E1291" s="2">
        <v>1</v>
      </c>
      <c r="F1291" s="2" t="s">
        <v>5</v>
      </c>
      <c r="G1291" s="2">
        <v>129.800000000202</v>
      </c>
      <c r="H1291" s="2" t="s">
        <v>16</v>
      </c>
      <c r="I1291" s="2">
        <v>11878.999999993301</v>
      </c>
      <c r="J1291" s="2">
        <v>2000</v>
      </c>
      <c r="K1291" s="2">
        <v>20</v>
      </c>
      <c r="L1291" s="2">
        <v>0</v>
      </c>
      <c r="M1291" s="2">
        <v>176907.61</v>
      </c>
      <c r="N1291">
        <f t="shared" si="25"/>
        <v>188916.40999999348</v>
      </c>
      <c r="O1291" s="9" t="s">
        <v>5</v>
      </c>
    </row>
    <row r="1292" spans="1:15" x14ac:dyDescent="0.2">
      <c r="A1292">
        <v>43</v>
      </c>
      <c r="B1292">
        <v>5</v>
      </c>
      <c r="C1292">
        <v>5</v>
      </c>
      <c r="D1292" s="2">
        <v>2</v>
      </c>
      <c r="E1292" s="2">
        <v>1</v>
      </c>
      <c r="F1292" s="2" t="s">
        <v>5</v>
      </c>
      <c r="G1292" s="2">
        <v>157.00000000009601</v>
      </c>
      <c r="H1292" s="2" t="s">
        <v>16</v>
      </c>
      <c r="I1292" s="2">
        <v>17081.999999987798</v>
      </c>
      <c r="J1292" s="2">
        <v>2000</v>
      </c>
      <c r="K1292" s="2">
        <v>20</v>
      </c>
      <c r="L1292" s="2">
        <v>0</v>
      </c>
      <c r="M1292" s="2">
        <v>181627.61</v>
      </c>
      <c r="N1292">
        <f t="shared" si="25"/>
        <v>198866.60999998788</v>
      </c>
      <c r="O1292" s="9" t="s">
        <v>5</v>
      </c>
    </row>
    <row r="1293" spans="1:15" x14ac:dyDescent="0.2">
      <c r="A1293">
        <v>44</v>
      </c>
      <c r="B1293">
        <v>5</v>
      </c>
      <c r="C1293">
        <v>5</v>
      </c>
      <c r="D1293" s="2">
        <v>2</v>
      </c>
      <c r="E1293" s="2">
        <v>2</v>
      </c>
      <c r="F1293" s="2" t="s">
        <v>5</v>
      </c>
      <c r="G1293" s="2">
        <v>156.599999999685</v>
      </c>
      <c r="H1293" s="2" t="s">
        <v>16</v>
      </c>
      <c r="I1293" s="2">
        <v>24732.0000000002</v>
      </c>
      <c r="J1293" s="2">
        <v>2000</v>
      </c>
      <c r="K1293" s="2">
        <v>20</v>
      </c>
      <c r="L1293" s="2">
        <v>0</v>
      </c>
      <c r="M1293" s="2">
        <v>180508.01</v>
      </c>
      <c r="N1293">
        <f t="shared" si="25"/>
        <v>205396.6099999999</v>
      </c>
      <c r="O1293" s="9" t="s">
        <v>5</v>
      </c>
    </row>
    <row r="1294" spans="1:15" x14ac:dyDescent="0.2">
      <c r="A1294">
        <v>45</v>
      </c>
      <c r="B1294">
        <v>5</v>
      </c>
      <c r="C1294">
        <v>5</v>
      </c>
      <c r="D1294" s="2">
        <v>2</v>
      </c>
      <c r="E1294" s="2">
        <v>3</v>
      </c>
      <c r="F1294" s="2" t="s">
        <v>5</v>
      </c>
      <c r="G1294" s="2">
        <v>211.00000000018301</v>
      </c>
      <c r="H1294" s="2" t="s">
        <v>16</v>
      </c>
      <c r="I1294" s="2">
        <v>56737.9999999957</v>
      </c>
      <c r="J1294" s="2">
        <v>2000</v>
      </c>
      <c r="K1294" s="2">
        <v>20</v>
      </c>
      <c r="L1294" s="2">
        <v>0</v>
      </c>
      <c r="M1294" s="2">
        <v>175628.01</v>
      </c>
      <c r="N1294">
        <f t="shared" si="25"/>
        <v>232577.00999999588</v>
      </c>
      <c r="O1294" s="9" t="s">
        <v>5</v>
      </c>
    </row>
    <row r="1295" spans="1:15" x14ac:dyDescent="0.2">
      <c r="A1295">
        <v>46</v>
      </c>
      <c r="B1295">
        <v>5</v>
      </c>
      <c r="C1295">
        <v>6</v>
      </c>
      <c r="D1295" s="2">
        <v>2</v>
      </c>
      <c r="E1295" s="2">
        <v>1</v>
      </c>
      <c r="F1295" s="2" t="s">
        <v>5</v>
      </c>
      <c r="G1295" s="2">
        <v>189.400000000006</v>
      </c>
      <c r="H1295" s="2" t="s">
        <v>16</v>
      </c>
      <c r="I1295" s="2">
        <v>68061.000000000204</v>
      </c>
      <c r="J1295" s="2">
        <v>2000</v>
      </c>
      <c r="K1295" s="2">
        <v>20</v>
      </c>
      <c r="L1295" s="2">
        <v>0</v>
      </c>
      <c r="M1295" s="2">
        <v>179789.21</v>
      </c>
      <c r="N1295">
        <f t="shared" si="25"/>
        <v>248039.61000000022</v>
      </c>
      <c r="O1295" s="9" t="s">
        <v>5</v>
      </c>
    </row>
    <row r="1296" spans="1:15" x14ac:dyDescent="0.2">
      <c r="A1296">
        <v>47</v>
      </c>
      <c r="B1296">
        <v>5</v>
      </c>
      <c r="C1296">
        <v>6</v>
      </c>
      <c r="D1296" s="2">
        <v>2</v>
      </c>
      <c r="E1296" s="2">
        <v>2</v>
      </c>
      <c r="F1296" s="2" t="s">
        <v>5</v>
      </c>
      <c r="G1296" s="2">
        <v>193.80000000026601</v>
      </c>
      <c r="H1296" s="2" t="s">
        <v>16</v>
      </c>
      <c r="I1296" s="2">
        <v>55103.000000002598</v>
      </c>
      <c r="J1296" s="2">
        <v>2000</v>
      </c>
      <c r="K1296" s="2">
        <v>20</v>
      </c>
      <c r="L1296" s="2">
        <v>0</v>
      </c>
      <c r="M1296" s="2">
        <v>181307.61</v>
      </c>
      <c r="N1296">
        <f t="shared" si="25"/>
        <v>236604.41000000286</v>
      </c>
      <c r="O1296" s="9" t="s">
        <v>5</v>
      </c>
    </row>
    <row r="1297" spans="1:15" x14ac:dyDescent="0.2">
      <c r="A1297">
        <v>48</v>
      </c>
      <c r="B1297">
        <v>5</v>
      </c>
      <c r="C1297">
        <v>6</v>
      </c>
      <c r="D1297" s="2">
        <v>2</v>
      </c>
      <c r="E1297" s="2">
        <v>3</v>
      </c>
      <c r="F1297" s="2" t="s">
        <v>5</v>
      </c>
      <c r="G1297" s="2">
        <v>249.79999999992199</v>
      </c>
      <c r="H1297" s="2" t="s">
        <v>16</v>
      </c>
      <c r="I1297" s="2">
        <v>121555.000000001</v>
      </c>
      <c r="J1297" s="2">
        <v>2000</v>
      </c>
      <c r="K1297" s="2">
        <v>20</v>
      </c>
      <c r="L1297" s="2">
        <v>0</v>
      </c>
      <c r="M1297" s="2">
        <v>239787.61</v>
      </c>
      <c r="N1297">
        <f t="shared" si="25"/>
        <v>361592.41000000091</v>
      </c>
      <c r="O1297" s="9" t="s">
        <v>4</v>
      </c>
    </row>
    <row r="1298" spans="1:15" x14ac:dyDescent="0.2">
      <c r="A1298">
        <v>49</v>
      </c>
      <c r="B1298">
        <v>5</v>
      </c>
      <c r="C1298">
        <v>6</v>
      </c>
      <c r="D1298" s="2">
        <v>2</v>
      </c>
      <c r="E1298" s="2">
        <v>1</v>
      </c>
      <c r="F1298" s="2" t="s">
        <v>5</v>
      </c>
      <c r="G1298" s="2">
        <v>183.19999999931699</v>
      </c>
      <c r="H1298" s="2" t="s">
        <v>16</v>
      </c>
      <c r="I1298" s="2">
        <v>41121.000000004002</v>
      </c>
      <c r="J1298" s="2">
        <v>2000</v>
      </c>
      <c r="K1298" s="2">
        <v>20</v>
      </c>
      <c r="L1298" s="2">
        <v>0</v>
      </c>
      <c r="M1298" s="2">
        <v>172908.41</v>
      </c>
      <c r="N1298">
        <f t="shared" si="25"/>
        <v>214212.61000000333</v>
      </c>
      <c r="O1298" s="9" t="s">
        <v>5</v>
      </c>
    </row>
    <row r="1299" spans="1:15" x14ac:dyDescent="0.2">
      <c r="A1299">
        <v>50</v>
      </c>
      <c r="B1299">
        <v>5</v>
      </c>
      <c r="C1299">
        <v>6</v>
      </c>
      <c r="D1299" s="2">
        <v>2</v>
      </c>
      <c r="E1299" s="2">
        <v>2</v>
      </c>
      <c r="F1299" s="2" t="s">
        <v>5</v>
      </c>
      <c r="G1299" s="2">
        <v>190.800000000024</v>
      </c>
      <c r="H1299" s="2" t="s">
        <v>16</v>
      </c>
      <c r="I1299" s="2">
        <v>50727.999999992302</v>
      </c>
      <c r="J1299" s="2">
        <v>2000</v>
      </c>
      <c r="K1299" s="2">
        <v>20</v>
      </c>
      <c r="L1299" s="2">
        <v>0</v>
      </c>
      <c r="M1299" s="2">
        <v>204268.01</v>
      </c>
      <c r="N1299">
        <f t="shared" si="25"/>
        <v>255186.80999999234</v>
      </c>
      <c r="O1299" s="9" t="s">
        <v>5</v>
      </c>
    </row>
    <row r="1300" spans="1:15" x14ac:dyDescent="0.2">
      <c r="A1300">
        <v>51</v>
      </c>
      <c r="B1300">
        <v>5</v>
      </c>
      <c r="C1300">
        <v>6</v>
      </c>
      <c r="D1300" s="2">
        <v>2</v>
      </c>
      <c r="E1300" s="2">
        <v>3</v>
      </c>
      <c r="F1300" s="2" t="s">
        <v>5</v>
      </c>
      <c r="G1300" s="2">
        <v>252.19999999990301</v>
      </c>
      <c r="H1300" s="2" t="s">
        <v>16</v>
      </c>
      <c r="I1300" s="2">
        <v>139174.99999999499</v>
      </c>
      <c r="J1300" s="2">
        <v>2000</v>
      </c>
      <c r="K1300" s="2">
        <v>20</v>
      </c>
      <c r="L1300" s="2">
        <v>0</v>
      </c>
      <c r="M1300" s="2">
        <v>206908.01</v>
      </c>
      <c r="N1300">
        <f t="shared" si="25"/>
        <v>346335.2099999949</v>
      </c>
      <c r="O1300" s="9" t="s">
        <v>4</v>
      </c>
    </row>
    <row r="1301" spans="1:15" x14ac:dyDescent="0.2">
      <c r="A1301">
        <v>52</v>
      </c>
      <c r="B1301">
        <v>5</v>
      </c>
      <c r="C1301">
        <v>7</v>
      </c>
      <c r="D1301" s="2">
        <v>2</v>
      </c>
      <c r="E1301" s="2">
        <v>1</v>
      </c>
      <c r="F1301" s="2" t="s">
        <v>5</v>
      </c>
      <c r="G1301" s="2">
        <v>219.40000000029201</v>
      </c>
      <c r="H1301" s="2" t="s">
        <v>16</v>
      </c>
      <c r="I1301" s="2">
        <v>49910.000000011198</v>
      </c>
      <c r="J1301" s="2">
        <v>2000</v>
      </c>
      <c r="K1301" s="2">
        <v>20</v>
      </c>
      <c r="L1301" s="2">
        <v>0</v>
      </c>
      <c r="M1301" s="2">
        <v>175628.81</v>
      </c>
      <c r="N1301">
        <f t="shared" si="25"/>
        <v>225758.21000001149</v>
      </c>
      <c r="O1301" s="9" t="s">
        <v>5</v>
      </c>
    </row>
    <row r="1302" spans="1:15" x14ac:dyDescent="0.2">
      <c r="A1302">
        <v>53</v>
      </c>
      <c r="B1302">
        <v>5</v>
      </c>
      <c r="C1302">
        <v>7</v>
      </c>
      <c r="D1302" s="2">
        <v>2</v>
      </c>
      <c r="E1302" s="2">
        <v>2</v>
      </c>
      <c r="F1302" s="2" t="s">
        <v>5</v>
      </c>
      <c r="G1302" s="2">
        <v>218.80000000038501</v>
      </c>
      <c r="H1302" s="2" t="s">
        <v>16</v>
      </c>
      <c r="I1302" s="2">
        <v>113836.99999999</v>
      </c>
      <c r="J1302" s="2">
        <v>2000</v>
      </c>
      <c r="K1302" s="2">
        <v>20</v>
      </c>
      <c r="L1302" s="2">
        <v>0</v>
      </c>
      <c r="M1302" s="2">
        <v>210267.61</v>
      </c>
      <c r="N1302">
        <f t="shared" si="25"/>
        <v>324323.40999999037</v>
      </c>
      <c r="O1302" s="9" t="s">
        <v>5</v>
      </c>
    </row>
    <row r="1303" spans="1:15" x14ac:dyDescent="0.2">
      <c r="A1303">
        <v>54</v>
      </c>
      <c r="B1303">
        <v>5</v>
      </c>
      <c r="C1303">
        <v>7</v>
      </c>
      <c r="D1303" s="2">
        <v>2</v>
      </c>
      <c r="E1303" s="2">
        <v>3</v>
      </c>
      <c r="F1303" s="2" t="s">
        <v>5</v>
      </c>
      <c r="G1303" s="2">
        <v>306.40000000019501</v>
      </c>
      <c r="H1303" s="2" t="s">
        <v>16</v>
      </c>
      <c r="I1303" s="2">
        <v>434876.00000000303</v>
      </c>
      <c r="J1303" s="2">
        <v>2000</v>
      </c>
      <c r="K1303" s="2">
        <v>20</v>
      </c>
      <c r="L1303" s="2">
        <v>0</v>
      </c>
      <c r="M1303" s="2">
        <v>247070.01</v>
      </c>
      <c r="N1303">
        <f t="shared" si="25"/>
        <v>682252.41000000318</v>
      </c>
      <c r="O1303" s="9" t="s">
        <v>5</v>
      </c>
    </row>
    <row r="1304" spans="1:15" x14ac:dyDescent="0.2">
      <c r="A1304">
        <v>55</v>
      </c>
      <c r="B1304">
        <v>5</v>
      </c>
      <c r="C1304">
        <v>5</v>
      </c>
      <c r="D1304" s="2">
        <v>2</v>
      </c>
      <c r="E1304" s="2">
        <v>1</v>
      </c>
      <c r="F1304" s="2" t="s">
        <v>5</v>
      </c>
      <c r="G1304" s="2">
        <v>140.60000000064599</v>
      </c>
      <c r="H1304" s="2" t="s">
        <v>16</v>
      </c>
      <c r="I1304" s="2">
        <v>27028.000000001401</v>
      </c>
      <c r="J1304" s="2">
        <v>2000</v>
      </c>
      <c r="K1304" s="2">
        <v>20</v>
      </c>
      <c r="L1304" s="2">
        <v>0</v>
      </c>
      <c r="M1304" s="2">
        <v>177708.01</v>
      </c>
      <c r="N1304">
        <f t="shared" si="25"/>
        <v>204876.61000000205</v>
      </c>
      <c r="O1304" s="9" t="s">
        <v>5</v>
      </c>
    </row>
    <row r="1305" spans="1:15" x14ac:dyDescent="0.2">
      <c r="A1305">
        <v>56</v>
      </c>
      <c r="B1305">
        <v>5</v>
      </c>
      <c r="C1305">
        <v>5</v>
      </c>
      <c r="D1305" s="2">
        <v>2</v>
      </c>
      <c r="E1305" s="2">
        <v>2</v>
      </c>
      <c r="F1305" s="2" t="s">
        <v>5</v>
      </c>
      <c r="G1305" s="2">
        <v>137.60000000004899</v>
      </c>
      <c r="H1305" s="2" t="s">
        <v>16</v>
      </c>
      <c r="I1305" s="2">
        <v>25397.999999995602</v>
      </c>
      <c r="J1305" s="2">
        <v>2000</v>
      </c>
      <c r="K1305" s="2">
        <v>20</v>
      </c>
      <c r="L1305" s="2">
        <v>0</v>
      </c>
      <c r="M1305" s="2">
        <v>180428.01</v>
      </c>
      <c r="N1305">
        <f t="shared" si="25"/>
        <v>205963.60999999565</v>
      </c>
      <c r="O1305" s="9" t="s">
        <v>5</v>
      </c>
    </row>
    <row r="1306" spans="1:15" x14ac:dyDescent="0.2">
      <c r="A1306">
        <v>57</v>
      </c>
      <c r="B1306">
        <v>5</v>
      </c>
      <c r="C1306">
        <v>5</v>
      </c>
      <c r="D1306" s="2">
        <v>2</v>
      </c>
      <c r="E1306" s="2">
        <v>3</v>
      </c>
      <c r="F1306" s="2" t="s">
        <v>5</v>
      </c>
      <c r="G1306" s="2">
        <v>183.39999999987799</v>
      </c>
      <c r="H1306" s="2" t="s">
        <v>16</v>
      </c>
      <c r="I1306" s="2">
        <v>44558.000000023399</v>
      </c>
      <c r="J1306" s="2">
        <v>2000</v>
      </c>
      <c r="K1306" s="2">
        <v>20</v>
      </c>
      <c r="L1306" s="2">
        <v>0</v>
      </c>
      <c r="M1306" s="2">
        <v>173708.81</v>
      </c>
      <c r="N1306">
        <f t="shared" si="25"/>
        <v>218450.21000002327</v>
      </c>
      <c r="O1306" s="9" t="s">
        <v>5</v>
      </c>
    </row>
    <row r="1307" spans="1:15" x14ac:dyDescent="0.2">
      <c r="A1307">
        <v>58</v>
      </c>
      <c r="B1307">
        <v>5</v>
      </c>
      <c r="C1307">
        <v>6</v>
      </c>
      <c r="D1307" s="2">
        <v>2</v>
      </c>
      <c r="E1307" s="2">
        <v>1</v>
      </c>
      <c r="F1307" s="2" t="s">
        <v>5</v>
      </c>
      <c r="G1307" s="2">
        <v>215.599999999228</v>
      </c>
      <c r="H1307" s="2" t="s">
        <v>16</v>
      </c>
      <c r="I1307" s="2">
        <v>56205.000000005602</v>
      </c>
      <c r="J1307" s="2">
        <v>2000</v>
      </c>
      <c r="K1307" s="2">
        <v>20</v>
      </c>
      <c r="L1307" s="2">
        <v>0</v>
      </c>
      <c r="M1307" s="2">
        <v>182831.21</v>
      </c>
      <c r="N1307">
        <f t="shared" si="25"/>
        <v>239251.81000000483</v>
      </c>
      <c r="O1307" s="9" t="s">
        <v>5</v>
      </c>
    </row>
    <row r="1308" spans="1:15" x14ac:dyDescent="0.2">
      <c r="A1308">
        <v>59</v>
      </c>
      <c r="B1308">
        <v>5</v>
      </c>
      <c r="C1308">
        <v>6</v>
      </c>
      <c r="D1308" s="2">
        <v>2</v>
      </c>
      <c r="E1308" s="2">
        <v>2</v>
      </c>
      <c r="F1308" s="2" t="s">
        <v>5</v>
      </c>
      <c r="G1308" s="2">
        <v>212.39999999984599</v>
      </c>
      <c r="H1308" s="2" t="s">
        <v>16</v>
      </c>
      <c r="I1308" s="2">
        <v>45035.000000012798</v>
      </c>
      <c r="J1308" s="2">
        <v>2000</v>
      </c>
      <c r="K1308" s="2">
        <v>20</v>
      </c>
      <c r="L1308" s="2">
        <v>0</v>
      </c>
      <c r="M1308" s="2">
        <v>179548.01</v>
      </c>
      <c r="N1308">
        <f t="shared" si="25"/>
        <v>224795.41000001266</v>
      </c>
      <c r="O1308" s="9" t="s">
        <v>5</v>
      </c>
    </row>
    <row r="1309" spans="1:15" x14ac:dyDescent="0.2">
      <c r="A1309">
        <v>60</v>
      </c>
      <c r="B1309">
        <v>5</v>
      </c>
      <c r="C1309">
        <v>6</v>
      </c>
      <c r="D1309" s="2">
        <v>2</v>
      </c>
      <c r="E1309" s="2">
        <v>3</v>
      </c>
      <c r="F1309" s="2" t="s">
        <v>5</v>
      </c>
      <c r="G1309" s="2">
        <v>288.40000000016602</v>
      </c>
      <c r="H1309" s="2" t="s">
        <v>16</v>
      </c>
      <c r="I1309" s="2">
        <v>150798.00000000899</v>
      </c>
      <c r="J1309" s="2">
        <v>2000</v>
      </c>
      <c r="K1309" s="2">
        <v>20</v>
      </c>
      <c r="L1309" s="2">
        <v>0</v>
      </c>
      <c r="M1309" s="2">
        <v>183149.61</v>
      </c>
      <c r="N1309">
        <f t="shared" si="25"/>
        <v>334236.01000000915</v>
      </c>
      <c r="O1309" s="9" t="s">
        <v>5</v>
      </c>
    </row>
    <row r="1310" spans="1:15" x14ac:dyDescent="0.2">
      <c r="A1310">
        <v>61</v>
      </c>
      <c r="B1310">
        <v>5</v>
      </c>
      <c r="C1310">
        <v>7</v>
      </c>
      <c r="D1310" s="2">
        <v>2</v>
      </c>
      <c r="E1310" s="2">
        <v>1</v>
      </c>
      <c r="F1310" s="2" t="s">
        <v>5</v>
      </c>
      <c r="G1310" s="2">
        <v>230.60000000043601</v>
      </c>
      <c r="H1310" s="2" t="s">
        <v>16</v>
      </c>
      <c r="I1310" s="2">
        <v>105615.99999999801</v>
      </c>
      <c r="J1310" s="2">
        <v>2000</v>
      </c>
      <c r="K1310" s="2">
        <v>20</v>
      </c>
      <c r="L1310" s="2">
        <v>0</v>
      </c>
      <c r="M1310" s="2">
        <v>222429.21</v>
      </c>
      <c r="N1310">
        <f t="shared" si="25"/>
        <v>328275.80999999843</v>
      </c>
      <c r="O1310" s="9" t="s">
        <v>5</v>
      </c>
    </row>
    <row r="1311" spans="1:15" x14ac:dyDescent="0.2">
      <c r="A1311">
        <v>62</v>
      </c>
      <c r="B1311">
        <v>5</v>
      </c>
      <c r="C1311">
        <v>7</v>
      </c>
      <c r="D1311" s="2">
        <v>2</v>
      </c>
      <c r="E1311" s="2">
        <v>2</v>
      </c>
      <c r="F1311" s="2" t="s">
        <v>5</v>
      </c>
      <c r="G1311" s="2">
        <v>233.80000000017299</v>
      </c>
      <c r="H1311" s="2" t="s">
        <v>16</v>
      </c>
      <c r="I1311" s="2">
        <v>102223.999999978</v>
      </c>
      <c r="J1311" s="2">
        <v>2000</v>
      </c>
      <c r="K1311" s="2">
        <v>20</v>
      </c>
      <c r="L1311" s="2">
        <v>0</v>
      </c>
      <c r="M1311" s="2">
        <v>176187.61</v>
      </c>
      <c r="N1311">
        <f t="shared" si="25"/>
        <v>278645.40999997815</v>
      </c>
      <c r="O1311" s="9" t="s">
        <v>5</v>
      </c>
    </row>
    <row r="1312" spans="1:15" x14ac:dyDescent="0.2">
      <c r="A1312">
        <v>63</v>
      </c>
      <c r="B1312">
        <v>5</v>
      </c>
      <c r="C1312">
        <v>7</v>
      </c>
      <c r="D1312" s="2">
        <v>2</v>
      </c>
      <c r="E1312" s="2">
        <v>3</v>
      </c>
      <c r="F1312" s="2" t="s">
        <v>5</v>
      </c>
      <c r="G1312" s="2">
        <v>359.799999999666</v>
      </c>
      <c r="H1312" s="2" t="s">
        <v>16</v>
      </c>
      <c r="I1312" s="2">
        <v>241534.99999999901</v>
      </c>
      <c r="J1312" s="2">
        <v>2000</v>
      </c>
      <c r="K1312" s="2">
        <v>20</v>
      </c>
      <c r="L1312" s="2">
        <v>0</v>
      </c>
      <c r="M1312" s="2">
        <v>187628.41</v>
      </c>
      <c r="N1312">
        <f t="shared" si="25"/>
        <v>429523.20999999868</v>
      </c>
      <c r="O1312" s="9" t="s">
        <v>5</v>
      </c>
    </row>
    <row r="1313" spans="1:15" x14ac:dyDescent="0.2">
      <c r="A1313">
        <v>64</v>
      </c>
      <c r="B1313">
        <v>5</v>
      </c>
      <c r="C1313">
        <v>8</v>
      </c>
      <c r="D1313" s="2">
        <v>2</v>
      </c>
      <c r="E1313" s="2">
        <v>1</v>
      </c>
      <c r="F1313" s="2" t="s">
        <v>5</v>
      </c>
      <c r="G1313" s="2">
        <v>274.00000000028501</v>
      </c>
      <c r="H1313" s="2" t="s">
        <v>16</v>
      </c>
      <c r="I1313" s="2">
        <v>128890.00000001299</v>
      </c>
      <c r="J1313" s="2">
        <v>2000</v>
      </c>
      <c r="K1313" s="2">
        <v>20</v>
      </c>
      <c r="L1313" s="2">
        <v>0</v>
      </c>
      <c r="M1313" s="2">
        <v>190350.41</v>
      </c>
      <c r="N1313">
        <f t="shared" si="25"/>
        <v>319514.4100000133</v>
      </c>
      <c r="O1313" s="9" t="s">
        <v>5</v>
      </c>
    </row>
    <row r="1314" spans="1:15" x14ac:dyDescent="0.2">
      <c r="A1314">
        <v>65</v>
      </c>
      <c r="B1314">
        <v>5</v>
      </c>
      <c r="C1314">
        <v>8</v>
      </c>
      <c r="D1314" s="2">
        <v>2</v>
      </c>
      <c r="E1314" s="2">
        <v>2</v>
      </c>
      <c r="F1314" s="2" t="s">
        <v>5</v>
      </c>
      <c r="G1314" s="2">
        <v>271.20000000024902</v>
      </c>
      <c r="H1314" s="2" t="s">
        <v>16</v>
      </c>
      <c r="I1314" s="2">
        <v>165955.999999994</v>
      </c>
      <c r="J1314" s="2">
        <v>2000</v>
      </c>
      <c r="K1314" s="2">
        <v>20</v>
      </c>
      <c r="L1314" s="2">
        <v>0</v>
      </c>
      <c r="M1314" s="2">
        <v>183068.01</v>
      </c>
      <c r="N1314">
        <f t="shared" si="25"/>
        <v>349295.20999999426</v>
      </c>
      <c r="O1314" s="9" t="s">
        <v>4</v>
      </c>
    </row>
    <row r="1315" spans="1:15" x14ac:dyDescent="0.2">
      <c r="A1315">
        <v>66</v>
      </c>
      <c r="B1315">
        <v>5</v>
      </c>
      <c r="C1315">
        <v>8</v>
      </c>
      <c r="D1315" s="2">
        <v>2</v>
      </c>
      <c r="E1315" s="2">
        <v>3</v>
      </c>
      <c r="F1315" s="2" t="s">
        <v>5</v>
      </c>
      <c r="G1315" s="2">
        <v>390.99999999976399</v>
      </c>
      <c r="H1315" s="2" t="s">
        <v>16</v>
      </c>
      <c r="I1315" s="2">
        <v>603557.99999999197</v>
      </c>
      <c r="J1315" s="2">
        <v>2000</v>
      </c>
      <c r="K1315" s="2">
        <v>20</v>
      </c>
      <c r="L1315" s="2">
        <v>0</v>
      </c>
      <c r="M1315" s="2">
        <v>192429.21</v>
      </c>
      <c r="N1315">
        <f t="shared" si="25"/>
        <v>796378.2099999917</v>
      </c>
      <c r="O1315" s="9" t="s">
        <v>4</v>
      </c>
    </row>
    <row r="1316" spans="1:15" x14ac:dyDescent="0.2">
      <c r="A1316">
        <v>67</v>
      </c>
      <c r="B1316">
        <v>5</v>
      </c>
      <c r="C1316">
        <v>7</v>
      </c>
      <c r="D1316" s="2">
        <v>2</v>
      </c>
      <c r="E1316" s="2">
        <v>1</v>
      </c>
      <c r="F1316" s="2" t="s">
        <v>5</v>
      </c>
      <c r="G1316" s="2">
        <v>210.20000000007099</v>
      </c>
      <c r="H1316" s="2" t="s">
        <v>16</v>
      </c>
      <c r="I1316" s="2">
        <v>119817.999999981</v>
      </c>
      <c r="J1316" s="2">
        <v>2000</v>
      </c>
      <c r="K1316" s="2">
        <v>20</v>
      </c>
      <c r="L1316" s="2">
        <v>0</v>
      </c>
      <c r="M1316" s="2">
        <v>213308.01</v>
      </c>
      <c r="N1316">
        <f t="shared" si="25"/>
        <v>333336.2099999811</v>
      </c>
      <c r="O1316" s="9" t="s">
        <v>5</v>
      </c>
    </row>
    <row r="1317" spans="1:15" x14ac:dyDescent="0.2">
      <c r="A1317">
        <v>68</v>
      </c>
      <c r="B1317">
        <v>5</v>
      </c>
      <c r="C1317">
        <v>7</v>
      </c>
      <c r="D1317" s="2">
        <v>2</v>
      </c>
      <c r="E1317" s="2">
        <v>2</v>
      </c>
      <c r="F1317" s="2" t="s">
        <v>5</v>
      </c>
      <c r="G1317" s="2">
        <v>210.00000000022101</v>
      </c>
      <c r="H1317" s="2" t="s">
        <v>16</v>
      </c>
      <c r="I1317" s="2">
        <v>73575.000000005297</v>
      </c>
      <c r="J1317" s="2">
        <v>2000</v>
      </c>
      <c r="K1317" s="2">
        <v>20</v>
      </c>
      <c r="L1317" s="2">
        <v>0</v>
      </c>
      <c r="M1317" s="2">
        <v>185308.41</v>
      </c>
      <c r="N1317">
        <f t="shared" si="25"/>
        <v>259093.4100000055</v>
      </c>
      <c r="O1317" s="9" t="s">
        <v>5</v>
      </c>
    </row>
    <row r="1318" spans="1:15" x14ac:dyDescent="0.2">
      <c r="A1318">
        <v>69</v>
      </c>
      <c r="B1318">
        <v>5</v>
      </c>
      <c r="C1318">
        <v>7</v>
      </c>
      <c r="D1318" s="2">
        <v>2</v>
      </c>
      <c r="E1318" s="2">
        <v>3</v>
      </c>
      <c r="F1318" s="2" t="s">
        <v>5</v>
      </c>
      <c r="G1318" s="2">
        <v>292.59999999986502</v>
      </c>
      <c r="H1318" s="2" t="s">
        <v>16</v>
      </c>
      <c r="I1318" s="2">
        <v>260648.000000003</v>
      </c>
      <c r="J1318" s="2">
        <v>2000</v>
      </c>
      <c r="K1318" s="2">
        <v>20</v>
      </c>
      <c r="L1318" s="2">
        <v>0</v>
      </c>
      <c r="M1318" s="2">
        <v>177628.81</v>
      </c>
      <c r="N1318">
        <f t="shared" si="25"/>
        <v>438569.41000000283</v>
      </c>
      <c r="O1318" s="9" t="s">
        <v>4</v>
      </c>
    </row>
    <row r="1319" spans="1:15" x14ac:dyDescent="0.2">
      <c r="A1319">
        <v>28</v>
      </c>
      <c r="B1319">
        <v>5</v>
      </c>
      <c r="C1319">
        <v>4</v>
      </c>
      <c r="D1319" s="2">
        <v>2</v>
      </c>
      <c r="E1319" s="2">
        <v>1</v>
      </c>
      <c r="F1319" s="2" t="s">
        <v>5</v>
      </c>
      <c r="G1319" s="2">
        <v>541.19999999961999</v>
      </c>
      <c r="H1319" s="2" t="s">
        <v>16</v>
      </c>
      <c r="I1319" s="2">
        <v>40185.000000008098</v>
      </c>
      <c r="J1319" s="2">
        <v>3000</v>
      </c>
      <c r="K1319" s="2">
        <v>20</v>
      </c>
      <c r="L1319" s="2">
        <v>0</v>
      </c>
      <c r="M1319" s="2">
        <v>296548.81</v>
      </c>
      <c r="N1319">
        <f t="shared" si="25"/>
        <v>337275.01000000769</v>
      </c>
      <c r="O1319" s="9" t="s">
        <v>5</v>
      </c>
    </row>
    <row r="1320" spans="1:15" x14ac:dyDescent="0.2">
      <c r="A1320">
        <v>29</v>
      </c>
      <c r="B1320">
        <v>5</v>
      </c>
      <c r="C1320">
        <v>5</v>
      </c>
      <c r="D1320" s="2">
        <v>2</v>
      </c>
      <c r="E1320" s="2">
        <v>2</v>
      </c>
      <c r="F1320" s="2" t="s">
        <v>5</v>
      </c>
      <c r="G1320" s="2">
        <v>547.39999999959798</v>
      </c>
      <c r="H1320" s="2" t="s">
        <v>16</v>
      </c>
      <c r="I1320" s="2">
        <v>34695.999999996697</v>
      </c>
      <c r="J1320" s="2">
        <v>3000</v>
      </c>
      <c r="K1320" s="2">
        <v>20</v>
      </c>
      <c r="L1320" s="2">
        <v>0</v>
      </c>
      <c r="M1320" s="2">
        <v>253107.21</v>
      </c>
      <c r="N1320">
        <f t="shared" si="25"/>
        <v>288350.60999999626</v>
      </c>
      <c r="O1320" s="9" t="s">
        <v>5</v>
      </c>
    </row>
    <row r="1321" spans="1:15" x14ac:dyDescent="0.2">
      <c r="A1321">
        <v>30</v>
      </c>
      <c r="B1321">
        <v>5</v>
      </c>
      <c r="C1321">
        <v>5</v>
      </c>
      <c r="D1321" s="2">
        <v>2</v>
      </c>
      <c r="E1321" s="2">
        <v>3</v>
      </c>
      <c r="F1321" s="2" t="s">
        <v>5</v>
      </c>
      <c r="G1321" s="2">
        <v>598.60000000000502</v>
      </c>
      <c r="H1321" s="2" t="s">
        <v>16</v>
      </c>
      <c r="I1321" s="2">
        <v>78614.999999984997</v>
      </c>
      <c r="J1321" s="2">
        <v>3000</v>
      </c>
      <c r="K1321" s="2">
        <v>20</v>
      </c>
      <c r="L1321" s="2">
        <v>0</v>
      </c>
      <c r="M1321" s="2">
        <v>265228.01</v>
      </c>
      <c r="N1321">
        <f t="shared" si="25"/>
        <v>344441.60999998503</v>
      </c>
      <c r="O1321" s="9" t="s">
        <v>5</v>
      </c>
    </row>
    <row r="1322" spans="1:15" x14ac:dyDescent="0.2">
      <c r="A1322">
        <v>31</v>
      </c>
      <c r="B1322">
        <v>5</v>
      </c>
      <c r="C1322">
        <v>5</v>
      </c>
      <c r="D1322" s="2">
        <v>2</v>
      </c>
      <c r="E1322" s="2">
        <v>1</v>
      </c>
      <c r="F1322" s="2" t="s">
        <v>5</v>
      </c>
      <c r="G1322" s="2">
        <v>351.19999999970702</v>
      </c>
      <c r="H1322" s="2" t="s">
        <v>16</v>
      </c>
      <c r="I1322" s="2">
        <v>51963.999999998101</v>
      </c>
      <c r="J1322" s="2">
        <v>3000</v>
      </c>
      <c r="K1322" s="2">
        <v>20</v>
      </c>
      <c r="L1322" s="2">
        <v>0</v>
      </c>
      <c r="M1322" s="2">
        <v>258867.61</v>
      </c>
      <c r="N1322">
        <f t="shared" si="25"/>
        <v>311182.80999999779</v>
      </c>
      <c r="O1322" s="9" t="s">
        <v>5</v>
      </c>
    </row>
    <row r="1323" spans="1:15" x14ac:dyDescent="0.2">
      <c r="A1323">
        <v>32</v>
      </c>
      <c r="B1323">
        <v>5</v>
      </c>
      <c r="C1323">
        <v>5</v>
      </c>
      <c r="D1323" s="2">
        <v>2</v>
      </c>
      <c r="E1323" s="2">
        <v>2</v>
      </c>
      <c r="F1323" s="2" t="s">
        <v>5</v>
      </c>
      <c r="G1323" s="2">
        <v>356.00000000002302</v>
      </c>
      <c r="H1323" s="2" t="s">
        <v>16</v>
      </c>
      <c r="I1323" s="2">
        <v>20672.999999987998</v>
      </c>
      <c r="J1323" s="2">
        <v>3000</v>
      </c>
      <c r="K1323" s="2">
        <v>20</v>
      </c>
      <c r="L1323" s="2">
        <v>0</v>
      </c>
      <c r="M1323" s="2">
        <v>251907.21</v>
      </c>
      <c r="N1323">
        <f t="shared" si="25"/>
        <v>272936.20999998803</v>
      </c>
      <c r="O1323" s="9" t="s">
        <v>5</v>
      </c>
    </row>
    <row r="1324" spans="1:15" x14ac:dyDescent="0.2">
      <c r="A1324">
        <v>33</v>
      </c>
      <c r="B1324">
        <v>5</v>
      </c>
      <c r="C1324">
        <v>5</v>
      </c>
      <c r="D1324" s="2">
        <v>2</v>
      </c>
      <c r="E1324" s="2">
        <v>3</v>
      </c>
      <c r="F1324" s="2" t="s">
        <v>5</v>
      </c>
      <c r="G1324" s="2">
        <v>485.39999999981399</v>
      </c>
      <c r="H1324" s="2" t="s">
        <v>16</v>
      </c>
      <c r="I1324" s="2">
        <v>60222.000000010201</v>
      </c>
      <c r="J1324" s="2">
        <v>3000</v>
      </c>
      <c r="K1324" s="2">
        <v>20</v>
      </c>
      <c r="L1324" s="2">
        <v>0</v>
      </c>
      <c r="M1324" s="2">
        <v>262827.61</v>
      </c>
      <c r="N1324">
        <f t="shared" si="25"/>
        <v>323535.01000001002</v>
      </c>
      <c r="O1324" s="9" t="s">
        <v>5</v>
      </c>
    </row>
    <row r="1325" spans="1:15" x14ac:dyDescent="0.2">
      <c r="A1325">
        <v>34</v>
      </c>
      <c r="B1325">
        <v>5</v>
      </c>
      <c r="C1325">
        <v>5</v>
      </c>
      <c r="D1325" s="2">
        <v>2</v>
      </c>
      <c r="E1325" s="2">
        <v>1</v>
      </c>
      <c r="F1325" s="2" t="s">
        <v>5</v>
      </c>
      <c r="G1325" s="2">
        <v>307.60000000000798</v>
      </c>
      <c r="H1325" s="2" t="s">
        <v>16</v>
      </c>
      <c r="I1325" s="2">
        <v>19947.000000001899</v>
      </c>
      <c r="J1325" s="2">
        <v>3000</v>
      </c>
      <c r="K1325" s="2">
        <v>20</v>
      </c>
      <c r="L1325" s="2">
        <v>0</v>
      </c>
      <c r="M1325" s="2">
        <v>258267.61</v>
      </c>
      <c r="N1325">
        <f t="shared" si="25"/>
        <v>278522.21000000188</v>
      </c>
      <c r="O1325" s="9" t="s">
        <v>5</v>
      </c>
    </row>
    <row r="1326" spans="1:15" x14ac:dyDescent="0.2">
      <c r="A1326">
        <v>35</v>
      </c>
      <c r="B1326">
        <v>5</v>
      </c>
      <c r="C1326">
        <v>6</v>
      </c>
      <c r="D1326" s="2">
        <v>2</v>
      </c>
      <c r="E1326" s="2">
        <v>1</v>
      </c>
      <c r="F1326" s="2" t="s">
        <v>5</v>
      </c>
      <c r="G1326" s="2">
        <v>378.80000000036802</v>
      </c>
      <c r="H1326" s="2" t="s">
        <v>16</v>
      </c>
      <c r="I1326" s="2">
        <v>67833.000000007407</v>
      </c>
      <c r="J1326" s="2">
        <v>3000</v>
      </c>
      <c r="K1326" s="2">
        <v>20</v>
      </c>
      <c r="L1326" s="2">
        <v>0</v>
      </c>
      <c r="M1326" s="2">
        <v>346587.61</v>
      </c>
      <c r="N1326">
        <f t="shared" si="25"/>
        <v>414799.41000000777</v>
      </c>
      <c r="O1326" s="9" t="s">
        <v>5</v>
      </c>
    </row>
    <row r="1327" spans="1:15" x14ac:dyDescent="0.2">
      <c r="A1327">
        <v>36</v>
      </c>
      <c r="B1327">
        <v>5</v>
      </c>
      <c r="C1327">
        <v>6</v>
      </c>
      <c r="D1327" s="2">
        <v>2</v>
      </c>
      <c r="E1327" s="2">
        <v>2</v>
      </c>
      <c r="F1327" s="2" t="s">
        <v>5</v>
      </c>
      <c r="G1327" s="2">
        <v>225.399999999709</v>
      </c>
      <c r="H1327" s="2" t="s">
        <v>16</v>
      </c>
      <c r="I1327" s="2">
        <v>85232.000000019107</v>
      </c>
      <c r="J1327" s="2">
        <v>3000</v>
      </c>
      <c r="K1327" s="2">
        <v>20</v>
      </c>
      <c r="L1327" s="2">
        <v>0</v>
      </c>
      <c r="M1327" s="2">
        <v>301708.01</v>
      </c>
      <c r="N1327">
        <f t="shared" ref="N1327:N1390" si="26">G1327+I1327+M1327</f>
        <v>387165.41000001883</v>
      </c>
      <c r="O1327" s="9" t="s">
        <v>4</v>
      </c>
    </row>
    <row r="1328" spans="1:15" x14ac:dyDescent="0.2">
      <c r="A1328">
        <v>37</v>
      </c>
      <c r="B1328">
        <v>5</v>
      </c>
      <c r="C1328">
        <v>6</v>
      </c>
      <c r="D1328" s="2">
        <v>2</v>
      </c>
      <c r="E1328" s="2">
        <v>3</v>
      </c>
      <c r="F1328" s="2" t="s">
        <v>5</v>
      </c>
      <c r="G1328" s="2">
        <v>317.40000000049002</v>
      </c>
      <c r="H1328" s="2" t="s">
        <v>16</v>
      </c>
      <c r="I1328" s="2">
        <v>429632.99999999598</v>
      </c>
      <c r="J1328" s="2">
        <v>3000</v>
      </c>
      <c r="K1328" s="2">
        <v>20</v>
      </c>
      <c r="L1328" s="2">
        <v>0</v>
      </c>
      <c r="M1328" s="2">
        <v>337467.61</v>
      </c>
      <c r="N1328">
        <f t="shared" si="26"/>
        <v>767418.00999999652</v>
      </c>
      <c r="O1328" s="9" t="s">
        <v>4</v>
      </c>
    </row>
    <row r="1329" spans="1:15" x14ac:dyDescent="0.2">
      <c r="A1329">
        <v>38</v>
      </c>
      <c r="B1329">
        <v>5</v>
      </c>
      <c r="C1329">
        <v>6</v>
      </c>
      <c r="D1329" s="2">
        <v>2</v>
      </c>
      <c r="E1329" s="2">
        <v>1</v>
      </c>
      <c r="F1329" s="2" t="s">
        <v>5</v>
      </c>
      <c r="G1329" s="2">
        <v>206.39999999971801</v>
      </c>
      <c r="H1329" s="2" t="s">
        <v>16</v>
      </c>
      <c r="I1329" s="2">
        <v>58606.999999995001</v>
      </c>
      <c r="J1329" s="2">
        <v>3000</v>
      </c>
      <c r="K1329" s="2">
        <v>20</v>
      </c>
      <c r="L1329" s="2">
        <v>0</v>
      </c>
      <c r="M1329" s="2">
        <v>346947.21</v>
      </c>
      <c r="N1329">
        <f t="shared" si="26"/>
        <v>405760.60999999475</v>
      </c>
      <c r="O1329" s="9" t="s">
        <v>5</v>
      </c>
    </row>
    <row r="1330" spans="1:15" x14ac:dyDescent="0.2">
      <c r="A1330">
        <v>39</v>
      </c>
      <c r="B1330">
        <v>5</v>
      </c>
      <c r="C1330">
        <v>7</v>
      </c>
      <c r="D1330" s="2">
        <v>2</v>
      </c>
      <c r="E1330" s="2">
        <v>1</v>
      </c>
      <c r="F1330" s="2" t="s">
        <v>5</v>
      </c>
      <c r="G1330" s="2">
        <v>257.600000000124</v>
      </c>
      <c r="H1330" s="2" t="s">
        <v>16</v>
      </c>
      <c r="I1330" s="2">
        <v>172606.00000000201</v>
      </c>
      <c r="J1330" s="2">
        <v>3000</v>
      </c>
      <c r="K1330" s="2">
        <v>20</v>
      </c>
      <c r="L1330" s="2">
        <v>0</v>
      </c>
      <c r="M1330" s="2">
        <v>360028.01</v>
      </c>
      <c r="N1330">
        <f t="shared" si="26"/>
        <v>532891.6100000022</v>
      </c>
      <c r="O1330" s="9" t="s">
        <v>5</v>
      </c>
    </row>
    <row r="1331" spans="1:15" x14ac:dyDescent="0.2">
      <c r="A1331">
        <v>40</v>
      </c>
      <c r="B1331">
        <v>5</v>
      </c>
      <c r="C1331">
        <v>7</v>
      </c>
      <c r="D1331" s="2">
        <v>2</v>
      </c>
      <c r="E1331" s="2">
        <v>2</v>
      </c>
      <c r="F1331" s="2" t="s">
        <v>5</v>
      </c>
      <c r="G1331" s="2">
        <v>242.59999999962599</v>
      </c>
      <c r="H1331" s="2" t="s">
        <v>16</v>
      </c>
      <c r="I1331" s="2">
        <v>100393.999999994</v>
      </c>
      <c r="J1331" s="2">
        <v>3000</v>
      </c>
      <c r="K1331" s="2">
        <v>20</v>
      </c>
      <c r="L1331" s="2">
        <v>0</v>
      </c>
      <c r="M1331" s="2">
        <v>309748.40999999997</v>
      </c>
      <c r="N1331">
        <f t="shared" si="26"/>
        <v>410385.00999999361</v>
      </c>
      <c r="O1331" s="9" t="s">
        <v>4</v>
      </c>
    </row>
    <row r="1332" spans="1:15" x14ac:dyDescent="0.2">
      <c r="A1332">
        <v>41</v>
      </c>
      <c r="B1332">
        <v>5</v>
      </c>
      <c r="C1332">
        <v>7</v>
      </c>
      <c r="D1332" s="2">
        <v>2</v>
      </c>
      <c r="E1332" s="2">
        <v>3</v>
      </c>
      <c r="F1332" s="2" t="s">
        <v>5</v>
      </c>
      <c r="G1332" s="2">
        <v>354.20000000030399</v>
      </c>
      <c r="H1332" s="2" t="s">
        <v>16</v>
      </c>
      <c r="I1332" s="2">
        <v>409392.00000002497</v>
      </c>
      <c r="J1332" s="2">
        <v>3000</v>
      </c>
      <c r="K1332" s="2">
        <v>20</v>
      </c>
      <c r="L1332" s="2">
        <v>0</v>
      </c>
      <c r="M1332" s="2">
        <v>337709.21</v>
      </c>
      <c r="N1332">
        <f t="shared" si="26"/>
        <v>747455.41000002529</v>
      </c>
      <c r="O1332" s="9" t="s">
        <v>4</v>
      </c>
    </row>
    <row r="1333" spans="1:15" x14ac:dyDescent="0.2">
      <c r="A1333">
        <v>42</v>
      </c>
      <c r="B1333">
        <v>5</v>
      </c>
      <c r="C1333">
        <v>4</v>
      </c>
      <c r="D1333" s="2">
        <v>2</v>
      </c>
      <c r="E1333" s="2">
        <v>1</v>
      </c>
      <c r="F1333" s="2" t="s">
        <v>5</v>
      </c>
      <c r="G1333" s="2">
        <v>129.800000000202</v>
      </c>
      <c r="H1333" s="2" t="s">
        <v>16</v>
      </c>
      <c r="I1333" s="2">
        <v>11878.999999993301</v>
      </c>
      <c r="J1333" s="2">
        <v>3000</v>
      </c>
      <c r="K1333" s="2">
        <v>20</v>
      </c>
      <c r="L1333" s="2">
        <v>0</v>
      </c>
      <c r="M1333" s="2">
        <v>255747.61</v>
      </c>
      <c r="N1333">
        <f t="shared" si="26"/>
        <v>267756.40999999351</v>
      </c>
      <c r="O1333" s="9" t="s">
        <v>5</v>
      </c>
    </row>
    <row r="1334" spans="1:15" x14ac:dyDescent="0.2">
      <c r="A1334">
        <v>43</v>
      </c>
      <c r="B1334">
        <v>5</v>
      </c>
      <c r="C1334">
        <v>5</v>
      </c>
      <c r="D1334" s="2">
        <v>2</v>
      </c>
      <c r="E1334" s="2">
        <v>1</v>
      </c>
      <c r="F1334" s="2" t="s">
        <v>5</v>
      </c>
      <c r="G1334" s="2">
        <v>157.00000000009601</v>
      </c>
      <c r="H1334" s="2" t="s">
        <v>16</v>
      </c>
      <c r="I1334" s="2">
        <v>17081.999999987798</v>
      </c>
      <c r="J1334" s="2">
        <v>3000</v>
      </c>
      <c r="K1334" s="2">
        <v>20</v>
      </c>
      <c r="L1334" s="2">
        <v>0</v>
      </c>
      <c r="M1334" s="2">
        <v>262827.61</v>
      </c>
      <c r="N1334">
        <f t="shared" si="26"/>
        <v>280066.60999998788</v>
      </c>
      <c r="O1334" s="9" t="s">
        <v>5</v>
      </c>
    </row>
    <row r="1335" spans="1:15" x14ac:dyDescent="0.2">
      <c r="A1335">
        <v>44</v>
      </c>
      <c r="B1335">
        <v>5</v>
      </c>
      <c r="C1335">
        <v>5</v>
      </c>
      <c r="D1335" s="2">
        <v>2</v>
      </c>
      <c r="E1335" s="2">
        <v>2</v>
      </c>
      <c r="F1335" s="2" t="s">
        <v>5</v>
      </c>
      <c r="G1335" s="2">
        <v>156.599999999685</v>
      </c>
      <c r="H1335" s="2" t="s">
        <v>16</v>
      </c>
      <c r="I1335" s="2">
        <v>24732.0000000002</v>
      </c>
      <c r="J1335" s="2">
        <v>3000</v>
      </c>
      <c r="K1335" s="2">
        <v>20</v>
      </c>
      <c r="L1335" s="2">
        <v>0</v>
      </c>
      <c r="M1335" s="2">
        <v>261148.01</v>
      </c>
      <c r="N1335">
        <f t="shared" si="26"/>
        <v>286036.60999999987</v>
      </c>
      <c r="O1335" s="9" t="s">
        <v>5</v>
      </c>
    </row>
    <row r="1336" spans="1:15" x14ac:dyDescent="0.2">
      <c r="A1336">
        <v>45</v>
      </c>
      <c r="B1336">
        <v>5</v>
      </c>
      <c r="C1336">
        <v>5</v>
      </c>
      <c r="D1336" s="2">
        <v>2</v>
      </c>
      <c r="E1336" s="2">
        <v>3</v>
      </c>
      <c r="F1336" s="2" t="s">
        <v>5</v>
      </c>
      <c r="G1336" s="2">
        <v>211.00000000018301</v>
      </c>
      <c r="H1336" s="2" t="s">
        <v>16</v>
      </c>
      <c r="I1336" s="2">
        <v>56737.9999999957</v>
      </c>
      <c r="J1336" s="2">
        <v>3000</v>
      </c>
      <c r="K1336" s="2">
        <v>20</v>
      </c>
      <c r="L1336" s="2">
        <v>0</v>
      </c>
      <c r="M1336" s="2">
        <v>253828.01</v>
      </c>
      <c r="N1336">
        <f t="shared" si="26"/>
        <v>310777.00999999588</v>
      </c>
      <c r="O1336" s="9" t="s">
        <v>5</v>
      </c>
    </row>
    <row r="1337" spans="1:15" x14ac:dyDescent="0.2">
      <c r="A1337">
        <v>46</v>
      </c>
      <c r="B1337">
        <v>5</v>
      </c>
      <c r="C1337">
        <v>6</v>
      </c>
      <c r="D1337" s="2">
        <v>2</v>
      </c>
      <c r="E1337" s="2">
        <v>1</v>
      </c>
      <c r="F1337" s="2" t="s">
        <v>5</v>
      </c>
      <c r="G1337" s="2">
        <v>189.400000000006</v>
      </c>
      <c r="H1337" s="2" t="s">
        <v>16</v>
      </c>
      <c r="I1337" s="2">
        <v>68061.000000000204</v>
      </c>
      <c r="J1337" s="2">
        <v>3000</v>
      </c>
      <c r="K1337" s="2">
        <v>20</v>
      </c>
      <c r="L1337" s="2">
        <v>0</v>
      </c>
      <c r="M1337" s="2">
        <v>260069.21</v>
      </c>
      <c r="N1337">
        <f t="shared" si="26"/>
        <v>328319.61000000022</v>
      </c>
      <c r="O1337" s="9" t="s">
        <v>5</v>
      </c>
    </row>
    <row r="1338" spans="1:15" x14ac:dyDescent="0.2">
      <c r="A1338">
        <v>47</v>
      </c>
      <c r="B1338">
        <v>5</v>
      </c>
      <c r="C1338">
        <v>6</v>
      </c>
      <c r="D1338" s="2">
        <v>2</v>
      </c>
      <c r="E1338" s="2">
        <v>2</v>
      </c>
      <c r="F1338" s="2" t="s">
        <v>5</v>
      </c>
      <c r="G1338" s="2">
        <v>193.80000000026601</v>
      </c>
      <c r="H1338" s="2" t="s">
        <v>16</v>
      </c>
      <c r="I1338" s="2">
        <v>55103.000000002598</v>
      </c>
      <c r="J1338" s="2">
        <v>3000</v>
      </c>
      <c r="K1338" s="2">
        <v>20</v>
      </c>
      <c r="L1338" s="2">
        <v>0</v>
      </c>
      <c r="M1338" s="2">
        <v>262347.61</v>
      </c>
      <c r="N1338">
        <f t="shared" si="26"/>
        <v>317644.41000000283</v>
      </c>
      <c r="O1338" s="9" t="s">
        <v>5</v>
      </c>
    </row>
    <row r="1339" spans="1:15" x14ac:dyDescent="0.2">
      <c r="A1339">
        <v>48</v>
      </c>
      <c r="B1339">
        <v>5</v>
      </c>
      <c r="C1339">
        <v>6</v>
      </c>
      <c r="D1339" s="2">
        <v>2</v>
      </c>
      <c r="E1339" s="2">
        <v>3</v>
      </c>
      <c r="F1339" s="2" t="s">
        <v>5</v>
      </c>
      <c r="G1339" s="2">
        <v>249.79999999992199</v>
      </c>
      <c r="H1339" s="2" t="s">
        <v>16</v>
      </c>
      <c r="I1339" s="2">
        <v>121555.000000001</v>
      </c>
      <c r="J1339" s="2">
        <v>3000</v>
      </c>
      <c r="K1339" s="2">
        <v>20</v>
      </c>
      <c r="L1339" s="2">
        <v>0</v>
      </c>
      <c r="M1339" s="2">
        <v>350067.61</v>
      </c>
      <c r="N1339">
        <f t="shared" si="26"/>
        <v>471872.41000000091</v>
      </c>
      <c r="O1339" s="9" t="s">
        <v>4</v>
      </c>
    </row>
    <row r="1340" spans="1:15" x14ac:dyDescent="0.2">
      <c r="A1340">
        <v>49</v>
      </c>
      <c r="B1340">
        <v>5</v>
      </c>
      <c r="C1340">
        <v>6</v>
      </c>
      <c r="D1340" s="2">
        <v>2</v>
      </c>
      <c r="E1340" s="2">
        <v>1</v>
      </c>
      <c r="F1340" s="2" t="s">
        <v>5</v>
      </c>
      <c r="G1340" s="2">
        <v>183.19999999931699</v>
      </c>
      <c r="H1340" s="2" t="s">
        <v>16</v>
      </c>
      <c r="I1340" s="2">
        <v>41121.000000004002</v>
      </c>
      <c r="J1340" s="2">
        <v>3000</v>
      </c>
      <c r="K1340" s="2">
        <v>20</v>
      </c>
      <c r="L1340" s="2">
        <v>0</v>
      </c>
      <c r="M1340" s="2">
        <v>249748.41</v>
      </c>
      <c r="N1340">
        <f t="shared" si="26"/>
        <v>291052.6100000033</v>
      </c>
      <c r="O1340" s="9" t="s">
        <v>5</v>
      </c>
    </row>
    <row r="1341" spans="1:15" x14ac:dyDescent="0.2">
      <c r="A1341">
        <v>50</v>
      </c>
      <c r="B1341">
        <v>5</v>
      </c>
      <c r="C1341">
        <v>6</v>
      </c>
      <c r="D1341" s="2">
        <v>2</v>
      </c>
      <c r="E1341" s="2">
        <v>2</v>
      </c>
      <c r="F1341" s="2" t="s">
        <v>5</v>
      </c>
      <c r="G1341" s="2">
        <v>190.800000000024</v>
      </c>
      <c r="H1341" s="2" t="s">
        <v>16</v>
      </c>
      <c r="I1341" s="2">
        <v>50727.999999992302</v>
      </c>
      <c r="J1341" s="2">
        <v>3000</v>
      </c>
      <c r="K1341" s="2">
        <v>20</v>
      </c>
      <c r="L1341" s="2">
        <v>0</v>
      </c>
      <c r="M1341" s="2">
        <v>296788.01</v>
      </c>
      <c r="N1341">
        <f t="shared" si="26"/>
        <v>347706.80999999231</v>
      </c>
      <c r="O1341" s="9" t="s">
        <v>5</v>
      </c>
    </row>
    <row r="1342" spans="1:15" x14ac:dyDescent="0.2">
      <c r="A1342">
        <v>51</v>
      </c>
      <c r="B1342">
        <v>5</v>
      </c>
      <c r="C1342">
        <v>6</v>
      </c>
      <c r="D1342" s="2">
        <v>2</v>
      </c>
      <c r="E1342" s="2">
        <v>3</v>
      </c>
      <c r="F1342" s="2" t="s">
        <v>5</v>
      </c>
      <c r="G1342" s="2">
        <v>252.19999999990301</v>
      </c>
      <c r="H1342" s="2" t="s">
        <v>16</v>
      </c>
      <c r="I1342" s="2">
        <v>139174.99999999499</v>
      </c>
      <c r="J1342" s="2">
        <v>3000</v>
      </c>
      <c r="K1342" s="2">
        <v>20</v>
      </c>
      <c r="L1342" s="2">
        <v>0</v>
      </c>
      <c r="M1342" s="2">
        <v>300748.01</v>
      </c>
      <c r="N1342">
        <f t="shared" si="26"/>
        <v>440175.2099999949</v>
      </c>
      <c r="O1342" s="9" t="s">
        <v>5</v>
      </c>
    </row>
    <row r="1343" spans="1:15" x14ac:dyDescent="0.2">
      <c r="A1343">
        <v>52</v>
      </c>
      <c r="B1343">
        <v>5</v>
      </c>
      <c r="C1343">
        <v>7</v>
      </c>
      <c r="D1343" s="2">
        <v>2</v>
      </c>
      <c r="E1343" s="2">
        <v>1</v>
      </c>
      <c r="F1343" s="2" t="s">
        <v>5</v>
      </c>
      <c r="G1343" s="2">
        <v>219.40000000029201</v>
      </c>
      <c r="H1343" s="2" t="s">
        <v>16</v>
      </c>
      <c r="I1343" s="2">
        <v>49910.000000011198</v>
      </c>
      <c r="J1343" s="2">
        <v>3000</v>
      </c>
      <c r="K1343" s="2">
        <v>20</v>
      </c>
      <c r="L1343" s="2">
        <v>0</v>
      </c>
      <c r="M1343" s="2">
        <v>253828.81</v>
      </c>
      <c r="N1343">
        <f t="shared" si="26"/>
        <v>303958.21000001149</v>
      </c>
      <c r="O1343" s="9" t="s">
        <v>5</v>
      </c>
    </row>
    <row r="1344" spans="1:15" x14ac:dyDescent="0.2">
      <c r="A1344">
        <v>53</v>
      </c>
      <c r="B1344">
        <v>5</v>
      </c>
      <c r="C1344">
        <v>7</v>
      </c>
      <c r="D1344" s="2">
        <v>2</v>
      </c>
      <c r="E1344" s="2">
        <v>2</v>
      </c>
      <c r="F1344" s="2" t="s">
        <v>5</v>
      </c>
      <c r="G1344" s="2">
        <v>218.80000000038501</v>
      </c>
      <c r="H1344" s="2" t="s">
        <v>16</v>
      </c>
      <c r="I1344" s="2">
        <v>113836.99999999</v>
      </c>
      <c r="J1344" s="2">
        <v>3000</v>
      </c>
      <c r="K1344" s="2">
        <v>20</v>
      </c>
      <c r="L1344" s="2">
        <v>0</v>
      </c>
      <c r="M1344" s="2">
        <v>305787.61</v>
      </c>
      <c r="N1344">
        <f t="shared" si="26"/>
        <v>419843.40999999037</v>
      </c>
      <c r="O1344" s="9" t="s">
        <v>4</v>
      </c>
    </row>
    <row r="1345" spans="1:15" x14ac:dyDescent="0.2">
      <c r="A1345">
        <v>54</v>
      </c>
      <c r="B1345">
        <v>5</v>
      </c>
      <c r="C1345">
        <v>7</v>
      </c>
      <c r="D1345" s="2">
        <v>2</v>
      </c>
      <c r="E1345" s="2">
        <v>3</v>
      </c>
      <c r="F1345" s="2" t="s">
        <v>5</v>
      </c>
      <c r="G1345" s="2">
        <v>306.40000000019501</v>
      </c>
      <c r="H1345" s="2" t="s">
        <v>16</v>
      </c>
      <c r="I1345" s="2">
        <v>434876.00000000303</v>
      </c>
      <c r="J1345" s="2">
        <v>3000</v>
      </c>
      <c r="K1345" s="2">
        <v>20</v>
      </c>
      <c r="L1345" s="2">
        <v>0</v>
      </c>
      <c r="M1345" s="2">
        <v>360990.01</v>
      </c>
      <c r="N1345">
        <f t="shared" si="26"/>
        <v>796172.41000000318</v>
      </c>
      <c r="O1345" s="9" t="s">
        <v>5</v>
      </c>
    </row>
    <row r="1346" spans="1:15" x14ac:dyDescent="0.2">
      <c r="A1346">
        <v>55</v>
      </c>
      <c r="B1346">
        <v>5</v>
      </c>
      <c r="C1346">
        <v>5</v>
      </c>
      <c r="D1346" s="2">
        <v>2</v>
      </c>
      <c r="E1346" s="2">
        <v>1</v>
      </c>
      <c r="F1346" s="2" t="s">
        <v>5</v>
      </c>
      <c r="G1346" s="2">
        <v>140.60000000064599</v>
      </c>
      <c r="H1346" s="2" t="s">
        <v>16</v>
      </c>
      <c r="I1346" s="2">
        <v>27028.000000001401</v>
      </c>
      <c r="J1346" s="2">
        <v>3000</v>
      </c>
      <c r="K1346" s="2">
        <v>20</v>
      </c>
      <c r="L1346" s="2">
        <v>0</v>
      </c>
      <c r="M1346" s="2">
        <v>256948.01</v>
      </c>
      <c r="N1346">
        <f t="shared" si="26"/>
        <v>284116.61000000208</v>
      </c>
      <c r="O1346" s="9" t="s">
        <v>5</v>
      </c>
    </row>
    <row r="1347" spans="1:15" x14ac:dyDescent="0.2">
      <c r="A1347">
        <v>56</v>
      </c>
      <c r="B1347">
        <v>5</v>
      </c>
      <c r="C1347">
        <v>5</v>
      </c>
      <c r="D1347" s="2">
        <v>2</v>
      </c>
      <c r="E1347" s="2">
        <v>2</v>
      </c>
      <c r="F1347" s="2" t="s">
        <v>5</v>
      </c>
      <c r="G1347" s="2">
        <v>137.60000000004899</v>
      </c>
      <c r="H1347" s="2" t="s">
        <v>16</v>
      </c>
      <c r="I1347" s="2">
        <v>25397.999999995602</v>
      </c>
      <c r="J1347" s="2">
        <v>3000</v>
      </c>
      <c r="K1347" s="2">
        <v>20</v>
      </c>
      <c r="L1347" s="2">
        <v>0</v>
      </c>
      <c r="M1347" s="2">
        <v>261028.01</v>
      </c>
      <c r="N1347">
        <f t="shared" si="26"/>
        <v>286563.60999999568</v>
      </c>
      <c r="O1347" s="9" t="s">
        <v>5</v>
      </c>
    </row>
    <row r="1348" spans="1:15" x14ac:dyDescent="0.2">
      <c r="A1348">
        <v>57</v>
      </c>
      <c r="B1348">
        <v>5</v>
      </c>
      <c r="C1348">
        <v>5</v>
      </c>
      <c r="D1348" s="2">
        <v>2</v>
      </c>
      <c r="E1348" s="2">
        <v>3</v>
      </c>
      <c r="F1348" s="2" t="s">
        <v>5</v>
      </c>
      <c r="G1348" s="2">
        <v>183.39999999987799</v>
      </c>
      <c r="H1348" s="2" t="s">
        <v>16</v>
      </c>
      <c r="I1348" s="2">
        <v>44558.000000023399</v>
      </c>
      <c r="J1348" s="2">
        <v>3000</v>
      </c>
      <c r="K1348" s="2">
        <v>20</v>
      </c>
      <c r="L1348" s="2">
        <v>0</v>
      </c>
      <c r="M1348" s="2">
        <v>250948.81</v>
      </c>
      <c r="N1348">
        <f t="shared" si="26"/>
        <v>295690.21000002325</v>
      </c>
      <c r="O1348" s="9" t="s">
        <v>5</v>
      </c>
    </row>
    <row r="1349" spans="1:15" x14ac:dyDescent="0.2">
      <c r="A1349">
        <v>58</v>
      </c>
      <c r="B1349">
        <v>5</v>
      </c>
      <c r="C1349">
        <v>6</v>
      </c>
      <c r="D1349" s="2">
        <v>2</v>
      </c>
      <c r="E1349" s="2">
        <v>1</v>
      </c>
      <c r="F1349" s="2" t="s">
        <v>5</v>
      </c>
      <c r="G1349" s="2">
        <v>215.599999999228</v>
      </c>
      <c r="H1349" s="2" t="s">
        <v>16</v>
      </c>
      <c r="I1349" s="2">
        <v>56205.000000005602</v>
      </c>
      <c r="J1349" s="2">
        <v>3000</v>
      </c>
      <c r="K1349" s="2">
        <v>20</v>
      </c>
      <c r="L1349" s="2">
        <v>0</v>
      </c>
      <c r="M1349" s="2">
        <v>264631.21000000002</v>
      </c>
      <c r="N1349">
        <f t="shared" si="26"/>
        <v>321051.81000000483</v>
      </c>
      <c r="O1349" s="9" t="s">
        <v>5</v>
      </c>
    </row>
    <row r="1350" spans="1:15" x14ac:dyDescent="0.2">
      <c r="A1350">
        <v>59</v>
      </c>
      <c r="B1350">
        <v>5</v>
      </c>
      <c r="C1350">
        <v>6</v>
      </c>
      <c r="D1350" s="2">
        <v>2</v>
      </c>
      <c r="E1350" s="2">
        <v>2</v>
      </c>
      <c r="F1350" s="2" t="s">
        <v>5</v>
      </c>
      <c r="G1350" s="2">
        <v>212.39999999984599</v>
      </c>
      <c r="H1350" s="2" t="s">
        <v>16</v>
      </c>
      <c r="I1350" s="2">
        <v>45035.000000012798</v>
      </c>
      <c r="J1350" s="2">
        <v>3000</v>
      </c>
      <c r="K1350" s="2">
        <v>20</v>
      </c>
      <c r="L1350" s="2">
        <v>0</v>
      </c>
      <c r="M1350" s="2">
        <v>259708.01</v>
      </c>
      <c r="N1350">
        <f t="shared" si="26"/>
        <v>304955.41000001266</v>
      </c>
      <c r="O1350" s="9" t="s">
        <v>5</v>
      </c>
    </row>
    <row r="1351" spans="1:15" x14ac:dyDescent="0.2">
      <c r="A1351">
        <v>60</v>
      </c>
      <c r="B1351">
        <v>5</v>
      </c>
      <c r="C1351">
        <v>6</v>
      </c>
      <c r="D1351" s="2">
        <v>2</v>
      </c>
      <c r="E1351" s="2">
        <v>3</v>
      </c>
      <c r="F1351" s="2" t="s">
        <v>5</v>
      </c>
      <c r="G1351" s="2">
        <v>288.40000000016602</v>
      </c>
      <c r="H1351" s="2" t="s">
        <v>16</v>
      </c>
      <c r="I1351" s="2">
        <v>150798.00000000899</v>
      </c>
      <c r="J1351" s="2">
        <v>3000</v>
      </c>
      <c r="K1351" s="2">
        <v>20</v>
      </c>
      <c r="L1351" s="2">
        <v>0</v>
      </c>
      <c r="M1351" s="2">
        <v>265109.61</v>
      </c>
      <c r="N1351">
        <f t="shared" si="26"/>
        <v>416196.01000000915</v>
      </c>
      <c r="O1351" s="9" t="s">
        <v>4</v>
      </c>
    </row>
    <row r="1352" spans="1:15" x14ac:dyDescent="0.2">
      <c r="A1352">
        <v>61</v>
      </c>
      <c r="B1352">
        <v>5</v>
      </c>
      <c r="C1352">
        <v>7</v>
      </c>
      <c r="D1352" s="2">
        <v>2</v>
      </c>
      <c r="E1352" s="2">
        <v>1</v>
      </c>
      <c r="F1352" s="2" t="s">
        <v>5</v>
      </c>
      <c r="G1352" s="2">
        <v>230.60000000043601</v>
      </c>
      <c r="H1352" s="2" t="s">
        <v>16</v>
      </c>
      <c r="I1352" s="2">
        <v>105615.99999999801</v>
      </c>
      <c r="J1352" s="2">
        <v>3000</v>
      </c>
      <c r="K1352" s="2">
        <v>20</v>
      </c>
      <c r="L1352" s="2">
        <v>0</v>
      </c>
      <c r="M1352" s="2">
        <v>324029.21000000002</v>
      </c>
      <c r="N1352">
        <f t="shared" si="26"/>
        <v>429875.80999999848</v>
      </c>
      <c r="O1352" s="9" t="s">
        <v>5</v>
      </c>
    </row>
    <row r="1353" spans="1:15" x14ac:dyDescent="0.2">
      <c r="A1353">
        <v>62</v>
      </c>
      <c r="B1353">
        <v>5</v>
      </c>
      <c r="C1353">
        <v>7</v>
      </c>
      <c r="D1353" s="2">
        <v>2</v>
      </c>
      <c r="E1353" s="2">
        <v>2</v>
      </c>
      <c r="F1353" s="2" t="s">
        <v>5</v>
      </c>
      <c r="G1353" s="2">
        <v>233.80000000017299</v>
      </c>
      <c r="H1353" s="2" t="s">
        <v>16</v>
      </c>
      <c r="I1353" s="2">
        <v>102223.999999978</v>
      </c>
      <c r="J1353" s="2">
        <v>3000</v>
      </c>
      <c r="K1353" s="2">
        <v>20</v>
      </c>
      <c r="L1353" s="2">
        <v>0</v>
      </c>
      <c r="M1353" s="2">
        <v>254667.61</v>
      </c>
      <c r="N1353">
        <f t="shared" si="26"/>
        <v>357125.40999997815</v>
      </c>
      <c r="O1353" s="9" t="s">
        <v>5</v>
      </c>
    </row>
    <row r="1354" spans="1:15" x14ac:dyDescent="0.2">
      <c r="A1354">
        <v>63</v>
      </c>
      <c r="B1354">
        <v>5</v>
      </c>
      <c r="C1354">
        <v>7</v>
      </c>
      <c r="D1354" s="2">
        <v>2</v>
      </c>
      <c r="E1354" s="2">
        <v>3</v>
      </c>
      <c r="F1354" s="2" t="s">
        <v>5</v>
      </c>
      <c r="G1354" s="2">
        <v>359.799999999666</v>
      </c>
      <c r="H1354" s="2" t="s">
        <v>16</v>
      </c>
      <c r="I1354" s="2">
        <v>241534.99999999901</v>
      </c>
      <c r="J1354" s="2">
        <v>3000</v>
      </c>
      <c r="K1354" s="2">
        <v>20</v>
      </c>
      <c r="L1354" s="2">
        <v>0</v>
      </c>
      <c r="M1354" s="2">
        <v>271828.40999999997</v>
      </c>
      <c r="N1354">
        <f t="shared" si="26"/>
        <v>513723.20999999868</v>
      </c>
      <c r="O1354" s="9" t="s">
        <v>4</v>
      </c>
    </row>
    <row r="1355" spans="1:15" x14ac:dyDescent="0.2">
      <c r="A1355">
        <v>64</v>
      </c>
      <c r="B1355">
        <v>5</v>
      </c>
      <c r="C1355">
        <v>8</v>
      </c>
      <c r="D1355" s="2">
        <v>2</v>
      </c>
      <c r="E1355" s="2">
        <v>1</v>
      </c>
      <c r="F1355" s="2" t="s">
        <v>5</v>
      </c>
      <c r="G1355" s="2">
        <v>274.00000000028501</v>
      </c>
      <c r="H1355" s="2" t="s">
        <v>16</v>
      </c>
      <c r="I1355" s="2">
        <v>128890.00000001299</v>
      </c>
      <c r="J1355" s="2">
        <v>3000</v>
      </c>
      <c r="K1355" s="2">
        <v>20</v>
      </c>
      <c r="L1355" s="2">
        <v>0</v>
      </c>
      <c r="M1355" s="2">
        <v>275910.40999999997</v>
      </c>
      <c r="N1355">
        <f t="shared" si="26"/>
        <v>405074.41000001325</v>
      </c>
      <c r="O1355" s="9" t="s">
        <v>5</v>
      </c>
    </row>
    <row r="1356" spans="1:15" x14ac:dyDescent="0.2">
      <c r="A1356">
        <v>65</v>
      </c>
      <c r="B1356">
        <v>5</v>
      </c>
      <c r="C1356">
        <v>8</v>
      </c>
      <c r="D1356" s="2">
        <v>2</v>
      </c>
      <c r="E1356" s="2">
        <v>2</v>
      </c>
      <c r="F1356" s="2" t="s">
        <v>5</v>
      </c>
      <c r="G1356" s="2">
        <v>271.20000000024902</v>
      </c>
      <c r="H1356" s="2" t="s">
        <v>16</v>
      </c>
      <c r="I1356" s="2">
        <v>165955.999999994</v>
      </c>
      <c r="J1356" s="2">
        <v>3000</v>
      </c>
      <c r="K1356" s="2">
        <v>20</v>
      </c>
      <c r="L1356" s="2">
        <v>0</v>
      </c>
      <c r="M1356" s="2">
        <v>264988.01</v>
      </c>
      <c r="N1356">
        <f t="shared" si="26"/>
        <v>431215.20999999426</v>
      </c>
      <c r="O1356" s="9" t="s">
        <v>4</v>
      </c>
    </row>
    <row r="1357" spans="1:15" x14ac:dyDescent="0.2">
      <c r="A1357">
        <v>66</v>
      </c>
      <c r="B1357">
        <v>5</v>
      </c>
      <c r="C1357">
        <v>8</v>
      </c>
      <c r="D1357" s="2">
        <v>2</v>
      </c>
      <c r="E1357" s="2">
        <v>3</v>
      </c>
      <c r="F1357" s="2" t="s">
        <v>5</v>
      </c>
      <c r="G1357" s="2">
        <v>390.99999999976399</v>
      </c>
      <c r="H1357" s="2" t="s">
        <v>16</v>
      </c>
      <c r="I1357" s="2">
        <v>603557.99999999197</v>
      </c>
      <c r="J1357" s="2">
        <v>3000</v>
      </c>
      <c r="K1357" s="2">
        <v>20</v>
      </c>
      <c r="L1357" s="2">
        <v>0</v>
      </c>
      <c r="M1357" s="2">
        <v>279029.21000000002</v>
      </c>
      <c r="N1357">
        <f t="shared" si="26"/>
        <v>882978.20999999181</v>
      </c>
      <c r="O1357" s="9" t="s">
        <v>4</v>
      </c>
    </row>
    <row r="1358" spans="1:15" x14ac:dyDescent="0.2">
      <c r="A1358">
        <v>67</v>
      </c>
      <c r="B1358">
        <v>5</v>
      </c>
      <c r="C1358">
        <v>7</v>
      </c>
      <c r="D1358" s="2">
        <v>2</v>
      </c>
      <c r="E1358" s="2">
        <v>1</v>
      </c>
      <c r="F1358" s="2" t="s">
        <v>5</v>
      </c>
      <c r="G1358" s="2">
        <v>210.20000000007099</v>
      </c>
      <c r="H1358" s="2" t="s">
        <v>16</v>
      </c>
      <c r="I1358" s="2">
        <v>119817.999999981</v>
      </c>
      <c r="J1358" s="2">
        <v>3000</v>
      </c>
      <c r="K1358" s="2">
        <v>20</v>
      </c>
      <c r="L1358" s="2">
        <v>0</v>
      </c>
      <c r="M1358" s="2">
        <v>310348.01</v>
      </c>
      <c r="N1358">
        <f t="shared" si="26"/>
        <v>430376.2099999811</v>
      </c>
      <c r="O1358" s="9" t="s">
        <v>5</v>
      </c>
    </row>
    <row r="1359" spans="1:15" x14ac:dyDescent="0.2">
      <c r="A1359">
        <v>68</v>
      </c>
      <c r="B1359">
        <v>5</v>
      </c>
      <c r="C1359">
        <v>7</v>
      </c>
      <c r="D1359" s="2">
        <v>2</v>
      </c>
      <c r="E1359" s="2">
        <v>2</v>
      </c>
      <c r="F1359" s="2" t="s">
        <v>5</v>
      </c>
      <c r="G1359" s="2">
        <v>210.00000000022101</v>
      </c>
      <c r="H1359" s="2" t="s">
        <v>16</v>
      </c>
      <c r="I1359" s="2">
        <v>73575.000000005297</v>
      </c>
      <c r="J1359" s="2">
        <v>3000</v>
      </c>
      <c r="K1359" s="2">
        <v>20</v>
      </c>
      <c r="L1359" s="2">
        <v>0</v>
      </c>
      <c r="M1359" s="2">
        <v>268348.40999999997</v>
      </c>
      <c r="N1359">
        <f t="shared" si="26"/>
        <v>342133.4100000055</v>
      </c>
      <c r="O1359" s="9" t="s">
        <v>5</v>
      </c>
    </row>
    <row r="1360" spans="1:15" x14ac:dyDescent="0.2">
      <c r="A1360">
        <v>69</v>
      </c>
      <c r="B1360">
        <v>5</v>
      </c>
      <c r="C1360">
        <v>7</v>
      </c>
      <c r="D1360" s="2">
        <v>2</v>
      </c>
      <c r="E1360" s="2">
        <v>3</v>
      </c>
      <c r="F1360" s="2" t="s">
        <v>5</v>
      </c>
      <c r="G1360" s="2">
        <v>292.59999999986502</v>
      </c>
      <c r="H1360" s="2" t="s">
        <v>16</v>
      </c>
      <c r="I1360" s="2">
        <v>260648.000000003</v>
      </c>
      <c r="J1360" s="2">
        <v>3000</v>
      </c>
      <c r="K1360" s="2">
        <v>20</v>
      </c>
      <c r="L1360" s="2">
        <v>0</v>
      </c>
      <c r="M1360" s="2">
        <v>256828.81</v>
      </c>
      <c r="N1360">
        <f t="shared" si="26"/>
        <v>517769.41000000283</v>
      </c>
      <c r="O1360" s="9" t="s">
        <v>4</v>
      </c>
    </row>
    <row r="1361" spans="1:15" x14ac:dyDescent="0.2">
      <c r="A1361">
        <v>28</v>
      </c>
      <c r="B1361">
        <v>5</v>
      </c>
      <c r="C1361">
        <v>4</v>
      </c>
      <c r="D1361" s="2">
        <v>2</v>
      </c>
      <c r="E1361" s="2">
        <v>1</v>
      </c>
      <c r="F1361" s="2" t="s">
        <v>5</v>
      </c>
      <c r="G1361" s="2">
        <v>541.19999999961999</v>
      </c>
      <c r="H1361" s="2" t="s">
        <v>16</v>
      </c>
      <c r="I1361" s="2">
        <v>40185.000000008098</v>
      </c>
      <c r="J1361" s="2">
        <v>5000</v>
      </c>
      <c r="K1361" s="2">
        <v>20</v>
      </c>
      <c r="L1361" s="2">
        <v>0</v>
      </c>
      <c r="M1361" s="2">
        <v>481428.81</v>
      </c>
      <c r="N1361">
        <f t="shared" si="26"/>
        <v>522155.01000000769</v>
      </c>
      <c r="O1361" s="9" t="s">
        <v>5</v>
      </c>
    </row>
    <row r="1362" spans="1:15" x14ac:dyDescent="0.2">
      <c r="A1362">
        <v>29</v>
      </c>
      <c r="B1362">
        <v>5</v>
      </c>
      <c r="C1362">
        <v>5</v>
      </c>
      <c r="D1362" s="2">
        <v>2</v>
      </c>
      <c r="E1362" s="2">
        <v>2</v>
      </c>
      <c r="F1362" s="2" t="s">
        <v>5</v>
      </c>
      <c r="G1362" s="2">
        <v>547.39999999959798</v>
      </c>
      <c r="H1362" s="2" t="s">
        <v>16</v>
      </c>
      <c r="I1362" s="2">
        <v>34695.999999996697</v>
      </c>
      <c r="J1362" s="2">
        <v>5000</v>
      </c>
      <c r="K1362" s="2">
        <v>20</v>
      </c>
      <c r="L1362" s="2">
        <v>0</v>
      </c>
      <c r="M1362" s="2">
        <v>409027.21</v>
      </c>
      <c r="N1362">
        <f t="shared" si="26"/>
        <v>444270.60999999632</v>
      </c>
      <c r="O1362" s="9" t="s">
        <v>5</v>
      </c>
    </row>
    <row r="1363" spans="1:15" x14ac:dyDescent="0.2">
      <c r="A1363">
        <v>30</v>
      </c>
      <c r="B1363">
        <v>5</v>
      </c>
      <c r="C1363">
        <v>5</v>
      </c>
      <c r="D1363" s="2">
        <v>2</v>
      </c>
      <c r="E1363" s="2">
        <v>3</v>
      </c>
      <c r="F1363" s="2" t="s">
        <v>5</v>
      </c>
      <c r="G1363" s="2">
        <v>598.60000000000502</v>
      </c>
      <c r="H1363" s="2" t="s">
        <v>16</v>
      </c>
      <c r="I1363" s="2">
        <v>78614.999999984997</v>
      </c>
      <c r="J1363" s="2">
        <v>5000</v>
      </c>
      <c r="K1363" s="2">
        <v>20</v>
      </c>
      <c r="L1363" s="2">
        <v>0</v>
      </c>
      <c r="M1363" s="2">
        <v>429228.01</v>
      </c>
      <c r="N1363">
        <f t="shared" si="26"/>
        <v>508441.60999998503</v>
      </c>
      <c r="O1363" s="9" t="s">
        <v>5</v>
      </c>
    </row>
    <row r="1364" spans="1:15" x14ac:dyDescent="0.2">
      <c r="A1364">
        <v>31</v>
      </c>
      <c r="B1364">
        <v>5</v>
      </c>
      <c r="C1364">
        <v>5</v>
      </c>
      <c r="D1364" s="2">
        <v>2</v>
      </c>
      <c r="E1364" s="2">
        <v>1</v>
      </c>
      <c r="F1364" s="2" t="s">
        <v>5</v>
      </c>
      <c r="G1364" s="2">
        <v>351.19999999970702</v>
      </c>
      <c r="H1364" s="2" t="s">
        <v>16</v>
      </c>
      <c r="I1364" s="2">
        <v>51963.999999998101</v>
      </c>
      <c r="J1364" s="2">
        <v>5000</v>
      </c>
      <c r="K1364" s="2">
        <v>20</v>
      </c>
      <c r="L1364" s="2">
        <v>0</v>
      </c>
      <c r="M1364" s="2">
        <v>418627.61</v>
      </c>
      <c r="N1364">
        <f t="shared" si="26"/>
        <v>470942.80999999779</v>
      </c>
      <c r="O1364" s="9" t="s">
        <v>5</v>
      </c>
    </row>
    <row r="1365" spans="1:15" x14ac:dyDescent="0.2">
      <c r="A1365">
        <v>32</v>
      </c>
      <c r="B1365">
        <v>5</v>
      </c>
      <c r="C1365">
        <v>5</v>
      </c>
      <c r="D1365" s="2">
        <v>2</v>
      </c>
      <c r="E1365" s="2">
        <v>2</v>
      </c>
      <c r="F1365" s="2" t="s">
        <v>5</v>
      </c>
      <c r="G1365" s="2">
        <v>356.00000000002302</v>
      </c>
      <c r="H1365" s="2" t="s">
        <v>16</v>
      </c>
      <c r="I1365" s="2">
        <v>20672.999999987998</v>
      </c>
      <c r="J1365" s="2">
        <v>5000</v>
      </c>
      <c r="K1365" s="2">
        <v>20</v>
      </c>
      <c r="L1365" s="2">
        <v>0</v>
      </c>
      <c r="M1365" s="2">
        <v>407027.21</v>
      </c>
      <c r="N1365">
        <f t="shared" si="26"/>
        <v>428056.20999998803</v>
      </c>
      <c r="O1365" s="9" t="s">
        <v>5</v>
      </c>
    </row>
    <row r="1366" spans="1:15" x14ac:dyDescent="0.2">
      <c r="A1366">
        <v>33</v>
      </c>
      <c r="B1366">
        <v>5</v>
      </c>
      <c r="C1366">
        <v>5</v>
      </c>
      <c r="D1366" s="2">
        <v>2</v>
      </c>
      <c r="E1366" s="2">
        <v>3</v>
      </c>
      <c r="F1366" s="2" t="s">
        <v>5</v>
      </c>
      <c r="G1366" s="2">
        <v>485.39999999981399</v>
      </c>
      <c r="H1366" s="2" t="s">
        <v>16</v>
      </c>
      <c r="I1366" s="2">
        <v>60222.000000010201</v>
      </c>
      <c r="J1366" s="2">
        <v>5000</v>
      </c>
      <c r="K1366" s="2">
        <v>20</v>
      </c>
      <c r="L1366" s="2">
        <v>0</v>
      </c>
      <c r="M1366" s="2">
        <v>425227.61</v>
      </c>
      <c r="N1366">
        <f t="shared" si="26"/>
        <v>485935.01000001002</v>
      </c>
      <c r="O1366" s="9" t="s">
        <v>5</v>
      </c>
    </row>
    <row r="1367" spans="1:15" x14ac:dyDescent="0.2">
      <c r="A1367">
        <v>34</v>
      </c>
      <c r="B1367">
        <v>5</v>
      </c>
      <c r="C1367">
        <v>5</v>
      </c>
      <c r="D1367" s="2">
        <v>2</v>
      </c>
      <c r="E1367" s="2">
        <v>1</v>
      </c>
      <c r="F1367" s="2" t="s">
        <v>5</v>
      </c>
      <c r="G1367" s="2">
        <v>307.60000000000798</v>
      </c>
      <c r="H1367" s="2" t="s">
        <v>16</v>
      </c>
      <c r="I1367" s="2">
        <v>19947.000000001899</v>
      </c>
      <c r="J1367" s="2">
        <v>5000</v>
      </c>
      <c r="K1367" s="2">
        <v>20</v>
      </c>
      <c r="L1367" s="2">
        <v>0</v>
      </c>
      <c r="M1367" s="2">
        <v>417627.61</v>
      </c>
      <c r="N1367">
        <f t="shared" si="26"/>
        <v>437882.21000000188</v>
      </c>
      <c r="O1367" s="9" t="s">
        <v>5</v>
      </c>
    </row>
    <row r="1368" spans="1:15" x14ac:dyDescent="0.2">
      <c r="A1368">
        <v>35</v>
      </c>
      <c r="B1368">
        <v>5</v>
      </c>
      <c r="C1368">
        <v>6</v>
      </c>
      <c r="D1368" s="2">
        <v>2</v>
      </c>
      <c r="E1368" s="2">
        <v>1</v>
      </c>
      <c r="F1368" s="2" t="s">
        <v>5</v>
      </c>
      <c r="G1368" s="2">
        <v>378.80000000036802</v>
      </c>
      <c r="H1368" s="2" t="s">
        <v>16</v>
      </c>
      <c r="I1368" s="2">
        <v>67833.000000007407</v>
      </c>
      <c r="J1368" s="2">
        <v>5000</v>
      </c>
      <c r="K1368" s="2">
        <v>20</v>
      </c>
      <c r="L1368" s="2">
        <v>0</v>
      </c>
      <c r="M1368" s="2">
        <v>564827.61</v>
      </c>
      <c r="N1368">
        <f t="shared" si="26"/>
        <v>633039.41000000772</v>
      </c>
      <c r="O1368" s="9" t="s">
        <v>5</v>
      </c>
    </row>
    <row r="1369" spans="1:15" x14ac:dyDescent="0.2">
      <c r="A1369">
        <v>36</v>
      </c>
      <c r="B1369">
        <v>5</v>
      </c>
      <c r="C1369">
        <v>6</v>
      </c>
      <c r="D1369" s="2">
        <v>2</v>
      </c>
      <c r="E1369" s="2">
        <v>2</v>
      </c>
      <c r="F1369" s="2" t="s">
        <v>5</v>
      </c>
      <c r="G1369" s="2">
        <v>225.399999999709</v>
      </c>
      <c r="H1369" s="2" t="s">
        <v>16</v>
      </c>
      <c r="I1369" s="2">
        <v>85232.000000019107</v>
      </c>
      <c r="J1369" s="2">
        <v>5000</v>
      </c>
      <c r="K1369" s="2">
        <v>20</v>
      </c>
      <c r="L1369" s="2">
        <v>0</v>
      </c>
      <c r="M1369" s="2">
        <v>490028.01</v>
      </c>
      <c r="N1369">
        <f t="shared" si="26"/>
        <v>575485.41000001878</v>
      </c>
      <c r="O1369" s="9" t="s">
        <v>4</v>
      </c>
    </row>
    <row r="1370" spans="1:15" x14ac:dyDescent="0.2">
      <c r="A1370">
        <v>37</v>
      </c>
      <c r="B1370">
        <v>5</v>
      </c>
      <c r="C1370">
        <v>6</v>
      </c>
      <c r="D1370" s="2">
        <v>2</v>
      </c>
      <c r="E1370" s="2">
        <v>3</v>
      </c>
      <c r="F1370" s="2" t="s">
        <v>5</v>
      </c>
      <c r="G1370" s="2">
        <v>317.40000000049002</v>
      </c>
      <c r="H1370" s="2" t="s">
        <v>16</v>
      </c>
      <c r="I1370" s="2">
        <v>429632.99999999598</v>
      </c>
      <c r="J1370" s="2">
        <v>5000</v>
      </c>
      <c r="K1370" s="2">
        <v>20</v>
      </c>
      <c r="L1370" s="2">
        <v>0</v>
      </c>
      <c r="M1370" s="2">
        <v>549627.61</v>
      </c>
      <c r="N1370">
        <f t="shared" si="26"/>
        <v>979578.00999999652</v>
      </c>
      <c r="O1370" s="9" t="s">
        <v>4</v>
      </c>
    </row>
    <row r="1371" spans="1:15" x14ac:dyDescent="0.2">
      <c r="A1371">
        <v>38</v>
      </c>
      <c r="B1371">
        <v>5</v>
      </c>
      <c r="C1371">
        <v>6</v>
      </c>
      <c r="D1371" s="2">
        <v>2</v>
      </c>
      <c r="E1371" s="2">
        <v>1</v>
      </c>
      <c r="F1371" s="2" t="s">
        <v>5</v>
      </c>
      <c r="G1371" s="2">
        <v>206.39999999971801</v>
      </c>
      <c r="H1371" s="2" t="s">
        <v>16</v>
      </c>
      <c r="I1371" s="2">
        <v>58606.999999995001</v>
      </c>
      <c r="J1371" s="2">
        <v>5000</v>
      </c>
      <c r="K1371" s="2">
        <v>20</v>
      </c>
      <c r="L1371" s="2">
        <v>0</v>
      </c>
      <c r="M1371" s="2">
        <v>565427.21</v>
      </c>
      <c r="N1371">
        <f t="shared" si="26"/>
        <v>624240.60999999463</v>
      </c>
      <c r="O1371" s="9" t="s">
        <v>5</v>
      </c>
    </row>
    <row r="1372" spans="1:15" x14ac:dyDescent="0.2">
      <c r="A1372">
        <v>39</v>
      </c>
      <c r="B1372">
        <v>5</v>
      </c>
      <c r="C1372">
        <v>7</v>
      </c>
      <c r="D1372" s="2">
        <v>2</v>
      </c>
      <c r="E1372" s="2">
        <v>1</v>
      </c>
      <c r="F1372" s="2" t="s">
        <v>5</v>
      </c>
      <c r="G1372" s="2">
        <v>257.600000000124</v>
      </c>
      <c r="H1372" s="2" t="s">
        <v>16</v>
      </c>
      <c r="I1372" s="2">
        <v>172606.00000000201</v>
      </c>
      <c r="J1372" s="2">
        <v>5000</v>
      </c>
      <c r="K1372" s="2">
        <v>20</v>
      </c>
      <c r="L1372" s="2">
        <v>0</v>
      </c>
      <c r="M1372" s="2">
        <v>587228.01</v>
      </c>
      <c r="N1372">
        <f t="shared" si="26"/>
        <v>760091.6100000022</v>
      </c>
      <c r="O1372" s="9" t="s">
        <v>5</v>
      </c>
    </row>
    <row r="1373" spans="1:15" x14ac:dyDescent="0.2">
      <c r="A1373">
        <v>40</v>
      </c>
      <c r="B1373">
        <v>5</v>
      </c>
      <c r="C1373">
        <v>7</v>
      </c>
      <c r="D1373" s="2">
        <v>2</v>
      </c>
      <c r="E1373" s="2">
        <v>2</v>
      </c>
      <c r="F1373" s="2" t="s">
        <v>5</v>
      </c>
      <c r="G1373" s="2">
        <v>242.59999999962599</v>
      </c>
      <c r="H1373" s="2" t="s">
        <v>16</v>
      </c>
      <c r="I1373" s="2">
        <v>100393.999999994</v>
      </c>
      <c r="J1373" s="2">
        <v>5000</v>
      </c>
      <c r="K1373" s="2">
        <v>20</v>
      </c>
      <c r="L1373" s="2">
        <v>0</v>
      </c>
      <c r="M1373" s="2">
        <v>503428.41</v>
      </c>
      <c r="N1373">
        <f t="shared" si="26"/>
        <v>604065.00999999361</v>
      </c>
      <c r="O1373" s="9" t="s">
        <v>5</v>
      </c>
    </row>
    <row r="1374" spans="1:15" x14ac:dyDescent="0.2">
      <c r="A1374">
        <v>41</v>
      </c>
      <c r="B1374">
        <v>5</v>
      </c>
      <c r="C1374">
        <v>7</v>
      </c>
      <c r="D1374" s="2">
        <v>2</v>
      </c>
      <c r="E1374" s="2">
        <v>3</v>
      </c>
      <c r="F1374" s="2" t="s">
        <v>5</v>
      </c>
      <c r="G1374" s="2">
        <v>354.20000000030399</v>
      </c>
      <c r="H1374" s="2" t="s">
        <v>16</v>
      </c>
      <c r="I1374" s="2">
        <v>409392.00000002497</v>
      </c>
      <c r="J1374" s="2">
        <v>5000</v>
      </c>
      <c r="K1374" s="2">
        <v>20</v>
      </c>
      <c r="L1374" s="2">
        <v>0</v>
      </c>
      <c r="M1374" s="2">
        <v>550029.21</v>
      </c>
      <c r="N1374">
        <f t="shared" si="26"/>
        <v>959775.41000002529</v>
      </c>
      <c r="O1374" s="9" t="s">
        <v>4</v>
      </c>
    </row>
    <row r="1375" spans="1:15" x14ac:dyDescent="0.2">
      <c r="A1375">
        <v>42</v>
      </c>
      <c r="B1375">
        <v>5</v>
      </c>
      <c r="C1375">
        <v>4</v>
      </c>
      <c r="D1375" s="2">
        <v>2</v>
      </c>
      <c r="E1375" s="2">
        <v>1</v>
      </c>
      <c r="F1375" s="2" t="s">
        <v>5</v>
      </c>
      <c r="G1375" s="2">
        <v>129.800000000202</v>
      </c>
      <c r="H1375" s="2" t="s">
        <v>16</v>
      </c>
      <c r="I1375" s="2">
        <v>11878.999999993301</v>
      </c>
      <c r="J1375" s="2">
        <v>5000</v>
      </c>
      <c r="K1375" s="2">
        <v>20</v>
      </c>
      <c r="L1375" s="2">
        <v>0</v>
      </c>
      <c r="M1375" s="2">
        <v>413427.61</v>
      </c>
      <c r="N1375">
        <f t="shared" si="26"/>
        <v>425436.40999999351</v>
      </c>
      <c r="O1375" s="9" t="s">
        <v>5</v>
      </c>
    </row>
    <row r="1376" spans="1:15" x14ac:dyDescent="0.2">
      <c r="A1376">
        <v>43</v>
      </c>
      <c r="B1376">
        <v>5</v>
      </c>
      <c r="C1376">
        <v>5</v>
      </c>
      <c r="D1376" s="2">
        <v>2</v>
      </c>
      <c r="E1376" s="2">
        <v>1</v>
      </c>
      <c r="F1376" s="2" t="s">
        <v>5</v>
      </c>
      <c r="G1376" s="2">
        <v>157.00000000009601</v>
      </c>
      <c r="H1376" s="2" t="s">
        <v>16</v>
      </c>
      <c r="I1376" s="2">
        <v>17081.999999987798</v>
      </c>
      <c r="J1376" s="2">
        <v>5000</v>
      </c>
      <c r="K1376" s="2">
        <v>20</v>
      </c>
      <c r="L1376" s="2">
        <v>0</v>
      </c>
      <c r="M1376" s="2">
        <v>425227.61</v>
      </c>
      <c r="N1376">
        <f t="shared" si="26"/>
        <v>442466.60999998788</v>
      </c>
      <c r="O1376" s="9" t="s">
        <v>5</v>
      </c>
    </row>
    <row r="1377" spans="1:15" x14ac:dyDescent="0.2">
      <c r="A1377">
        <v>44</v>
      </c>
      <c r="B1377">
        <v>5</v>
      </c>
      <c r="C1377">
        <v>5</v>
      </c>
      <c r="D1377" s="2">
        <v>2</v>
      </c>
      <c r="E1377" s="2">
        <v>2</v>
      </c>
      <c r="F1377" s="2" t="s">
        <v>5</v>
      </c>
      <c r="G1377" s="2">
        <v>156.599999999685</v>
      </c>
      <c r="H1377" s="2" t="s">
        <v>16</v>
      </c>
      <c r="I1377" s="2">
        <v>24732.0000000002</v>
      </c>
      <c r="J1377" s="2">
        <v>5000</v>
      </c>
      <c r="K1377" s="2">
        <v>20</v>
      </c>
      <c r="L1377" s="2">
        <v>0</v>
      </c>
      <c r="M1377" s="2">
        <v>422428.01</v>
      </c>
      <c r="N1377">
        <f t="shared" si="26"/>
        <v>447316.60999999987</v>
      </c>
      <c r="O1377" s="9" t="s">
        <v>5</v>
      </c>
    </row>
    <row r="1378" spans="1:15" x14ac:dyDescent="0.2">
      <c r="A1378">
        <v>45</v>
      </c>
      <c r="B1378">
        <v>5</v>
      </c>
      <c r="C1378">
        <v>5</v>
      </c>
      <c r="D1378" s="2">
        <v>2</v>
      </c>
      <c r="E1378" s="2">
        <v>3</v>
      </c>
      <c r="F1378" s="2" t="s">
        <v>5</v>
      </c>
      <c r="G1378" s="2">
        <v>211.00000000018301</v>
      </c>
      <c r="H1378" s="2" t="s">
        <v>16</v>
      </c>
      <c r="I1378" s="2">
        <v>56737.9999999957</v>
      </c>
      <c r="J1378" s="2">
        <v>5000</v>
      </c>
      <c r="K1378" s="2">
        <v>20</v>
      </c>
      <c r="L1378" s="2">
        <v>0</v>
      </c>
      <c r="M1378" s="2">
        <v>410228.01</v>
      </c>
      <c r="N1378">
        <f t="shared" si="26"/>
        <v>467177.00999999588</v>
      </c>
      <c r="O1378" s="9" t="s">
        <v>5</v>
      </c>
    </row>
    <row r="1379" spans="1:15" x14ac:dyDescent="0.2">
      <c r="A1379">
        <v>46</v>
      </c>
      <c r="B1379">
        <v>5</v>
      </c>
      <c r="C1379">
        <v>6</v>
      </c>
      <c r="D1379" s="2">
        <v>2</v>
      </c>
      <c r="E1379" s="2">
        <v>1</v>
      </c>
      <c r="F1379" s="2" t="s">
        <v>5</v>
      </c>
      <c r="G1379" s="2">
        <v>189.400000000006</v>
      </c>
      <c r="H1379" s="2" t="s">
        <v>16</v>
      </c>
      <c r="I1379" s="2">
        <v>68061.000000000204</v>
      </c>
      <c r="J1379" s="2">
        <v>5000</v>
      </c>
      <c r="K1379" s="2">
        <v>20</v>
      </c>
      <c r="L1379" s="2">
        <v>0</v>
      </c>
      <c r="M1379" s="2">
        <v>420629.21</v>
      </c>
      <c r="N1379">
        <f t="shared" si="26"/>
        <v>488879.61000000022</v>
      </c>
      <c r="O1379" s="9" t="s">
        <v>5</v>
      </c>
    </row>
    <row r="1380" spans="1:15" x14ac:dyDescent="0.2">
      <c r="A1380">
        <v>47</v>
      </c>
      <c r="B1380">
        <v>5</v>
      </c>
      <c r="C1380">
        <v>6</v>
      </c>
      <c r="D1380" s="2">
        <v>2</v>
      </c>
      <c r="E1380" s="2">
        <v>2</v>
      </c>
      <c r="F1380" s="2" t="s">
        <v>5</v>
      </c>
      <c r="G1380" s="2">
        <v>193.80000000026601</v>
      </c>
      <c r="H1380" s="2" t="s">
        <v>16</v>
      </c>
      <c r="I1380" s="2">
        <v>55103.000000002598</v>
      </c>
      <c r="J1380" s="2">
        <v>5000</v>
      </c>
      <c r="K1380" s="2">
        <v>20</v>
      </c>
      <c r="L1380" s="2">
        <v>0</v>
      </c>
      <c r="M1380" s="2">
        <v>424427.61</v>
      </c>
      <c r="N1380">
        <f t="shared" si="26"/>
        <v>479724.41000000283</v>
      </c>
      <c r="O1380" s="9" t="s">
        <v>5</v>
      </c>
    </row>
    <row r="1381" spans="1:15" x14ac:dyDescent="0.2">
      <c r="A1381">
        <v>48</v>
      </c>
      <c r="B1381">
        <v>5</v>
      </c>
      <c r="C1381">
        <v>6</v>
      </c>
      <c r="D1381" s="2">
        <v>2</v>
      </c>
      <c r="E1381" s="2">
        <v>3</v>
      </c>
      <c r="F1381" s="2" t="s">
        <v>5</v>
      </c>
      <c r="G1381" s="2">
        <v>249.79999999992199</v>
      </c>
      <c r="H1381" s="2" t="s">
        <v>16</v>
      </c>
      <c r="I1381" s="2">
        <v>121555.000000001</v>
      </c>
      <c r="J1381" s="2">
        <v>5000</v>
      </c>
      <c r="K1381" s="2">
        <v>20</v>
      </c>
      <c r="L1381" s="2">
        <v>0</v>
      </c>
      <c r="M1381" s="2">
        <v>570627.61</v>
      </c>
      <c r="N1381">
        <f t="shared" si="26"/>
        <v>692432.41000000085</v>
      </c>
      <c r="O1381" s="9" t="s">
        <v>4</v>
      </c>
    </row>
    <row r="1382" spans="1:15" x14ac:dyDescent="0.2">
      <c r="A1382">
        <v>49</v>
      </c>
      <c r="B1382">
        <v>5</v>
      </c>
      <c r="C1382">
        <v>6</v>
      </c>
      <c r="D1382" s="2">
        <v>2</v>
      </c>
      <c r="E1382" s="2">
        <v>1</v>
      </c>
      <c r="F1382" s="2" t="s">
        <v>5</v>
      </c>
      <c r="G1382" s="2">
        <v>183.19999999931699</v>
      </c>
      <c r="H1382" s="2" t="s">
        <v>16</v>
      </c>
      <c r="I1382" s="2">
        <v>41121.000000004002</v>
      </c>
      <c r="J1382" s="2">
        <v>5000</v>
      </c>
      <c r="K1382" s="2">
        <v>20</v>
      </c>
      <c r="L1382" s="2">
        <v>0</v>
      </c>
      <c r="M1382" s="2">
        <v>403428.41</v>
      </c>
      <c r="N1382">
        <f t="shared" si="26"/>
        <v>444732.6100000033</v>
      </c>
      <c r="O1382" s="9" t="s">
        <v>5</v>
      </c>
    </row>
    <row r="1383" spans="1:15" x14ac:dyDescent="0.2">
      <c r="A1383">
        <v>50</v>
      </c>
      <c r="B1383">
        <v>5</v>
      </c>
      <c r="C1383">
        <v>6</v>
      </c>
      <c r="D1383" s="2">
        <v>2</v>
      </c>
      <c r="E1383" s="2">
        <v>2</v>
      </c>
      <c r="F1383" s="2" t="s">
        <v>5</v>
      </c>
      <c r="G1383" s="2">
        <v>190.800000000024</v>
      </c>
      <c r="H1383" s="2" t="s">
        <v>16</v>
      </c>
      <c r="I1383" s="2">
        <v>50727.999999992302</v>
      </c>
      <c r="J1383" s="2">
        <v>5000</v>
      </c>
      <c r="K1383" s="2">
        <v>20</v>
      </c>
      <c r="L1383" s="2">
        <v>0</v>
      </c>
      <c r="M1383" s="2">
        <v>481828.01</v>
      </c>
      <c r="N1383">
        <f t="shared" si="26"/>
        <v>532746.80999999237</v>
      </c>
      <c r="O1383" s="9" t="s">
        <v>5</v>
      </c>
    </row>
    <row r="1384" spans="1:15" x14ac:dyDescent="0.2">
      <c r="A1384">
        <v>51</v>
      </c>
      <c r="B1384">
        <v>5</v>
      </c>
      <c r="C1384">
        <v>6</v>
      </c>
      <c r="D1384" s="2">
        <v>2</v>
      </c>
      <c r="E1384" s="2">
        <v>3</v>
      </c>
      <c r="F1384" s="2" t="s">
        <v>5</v>
      </c>
      <c r="G1384" s="2">
        <v>252.19999999990301</v>
      </c>
      <c r="H1384" s="2" t="s">
        <v>16</v>
      </c>
      <c r="I1384" s="2">
        <v>139174.99999999499</v>
      </c>
      <c r="J1384" s="2">
        <v>5000</v>
      </c>
      <c r="K1384" s="2">
        <v>20</v>
      </c>
      <c r="L1384" s="2">
        <v>0</v>
      </c>
      <c r="M1384" s="2">
        <v>488428.01</v>
      </c>
      <c r="N1384">
        <f t="shared" si="26"/>
        <v>627855.20999999484</v>
      </c>
      <c r="O1384" s="9" t="s">
        <v>5</v>
      </c>
    </row>
    <row r="1385" spans="1:15" x14ac:dyDescent="0.2">
      <c r="A1385">
        <v>52</v>
      </c>
      <c r="B1385">
        <v>5</v>
      </c>
      <c r="C1385">
        <v>7</v>
      </c>
      <c r="D1385" s="2">
        <v>2</v>
      </c>
      <c r="E1385" s="2">
        <v>1</v>
      </c>
      <c r="F1385" s="2" t="s">
        <v>5</v>
      </c>
      <c r="G1385" s="2">
        <v>219.40000000029201</v>
      </c>
      <c r="H1385" s="2" t="s">
        <v>16</v>
      </c>
      <c r="I1385" s="2">
        <v>49910.000000011198</v>
      </c>
      <c r="J1385" s="2">
        <v>5000</v>
      </c>
      <c r="K1385" s="2">
        <v>20</v>
      </c>
      <c r="L1385" s="2">
        <v>0</v>
      </c>
      <c r="M1385" s="2">
        <v>410228.81</v>
      </c>
      <c r="N1385">
        <f t="shared" si="26"/>
        <v>460358.21000001149</v>
      </c>
      <c r="O1385" s="9" t="s">
        <v>5</v>
      </c>
    </row>
    <row r="1386" spans="1:15" x14ac:dyDescent="0.2">
      <c r="A1386">
        <v>53</v>
      </c>
      <c r="B1386">
        <v>5</v>
      </c>
      <c r="C1386">
        <v>7</v>
      </c>
      <c r="D1386" s="2">
        <v>2</v>
      </c>
      <c r="E1386" s="2">
        <v>2</v>
      </c>
      <c r="F1386" s="2" t="s">
        <v>5</v>
      </c>
      <c r="G1386" s="2">
        <v>218.80000000038501</v>
      </c>
      <c r="H1386" s="2" t="s">
        <v>16</v>
      </c>
      <c r="I1386" s="2">
        <v>113836.99999999</v>
      </c>
      <c r="J1386" s="2">
        <v>5000</v>
      </c>
      <c r="K1386" s="2">
        <v>20</v>
      </c>
      <c r="L1386" s="2">
        <v>0</v>
      </c>
      <c r="M1386" s="2">
        <v>496827.61</v>
      </c>
      <c r="N1386">
        <f t="shared" si="26"/>
        <v>610883.40999999037</v>
      </c>
      <c r="O1386" s="9" t="s">
        <v>4</v>
      </c>
    </row>
    <row r="1387" spans="1:15" x14ac:dyDescent="0.2">
      <c r="A1387">
        <v>54</v>
      </c>
      <c r="B1387">
        <v>5</v>
      </c>
      <c r="C1387">
        <v>7</v>
      </c>
      <c r="D1387" s="2">
        <v>2</v>
      </c>
      <c r="E1387" s="2">
        <v>3</v>
      </c>
      <c r="F1387" s="2" t="s">
        <v>5</v>
      </c>
      <c r="G1387" s="2">
        <v>306.40000000019501</v>
      </c>
      <c r="H1387" s="2" t="s">
        <v>16</v>
      </c>
      <c r="I1387" s="2">
        <v>434876.00000000303</v>
      </c>
      <c r="J1387" s="2">
        <v>5000</v>
      </c>
      <c r="K1387" s="2">
        <v>20</v>
      </c>
      <c r="L1387" s="2">
        <v>0</v>
      </c>
      <c r="M1387" s="2">
        <v>588830.01</v>
      </c>
      <c r="N1387">
        <f t="shared" si="26"/>
        <v>1024012.4100000032</v>
      </c>
      <c r="O1387" s="9" t="s">
        <v>5</v>
      </c>
    </row>
    <row r="1388" spans="1:15" x14ac:dyDescent="0.2">
      <c r="A1388">
        <v>55</v>
      </c>
      <c r="B1388">
        <v>5</v>
      </c>
      <c r="C1388">
        <v>5</v>
      </c>
      <c r="D1388" s="2">
        <v>2</v>
      </c>
      <c r="E1388" s="2">
        <v>1</v>
      </c>
      <c r="F1388" s="2" t="s">
        <v>5</v>
      </c>
      <c r="G1388" s="2">
        <v>140.60000000064599</v>
      </c>
      <c r="H1388" s="2" t="s">
        <v>16</v>
      </c>
      <c r="I1388" s="2">
        <v>27028.000000001401</v>
      </c>
      <c r="J1388" s="2">
        <v>5000</v>
      </c>
      <c r="K1388" s="2">
        <v>20</v>
      </c>
      <c r="L1388" s="2">
        <v>0</v>
      </c>
      <c r="M1388" s="2">
        <v>415428.01</v>
      </c>
      <c r="N1388">
        <f t="shared" si="26"/>
        <v>442596.61000000208</v>
      </c>
      <c r="O1388" s="9" t="s">
        <v>5</v>
      </c>
    </row>
    <row r="1389" spans="1:15" x14ac:dyDescent="0.2">
      <c r="A1389">
        <v>56</v>
      </c>
      <c r="B1389">
        <v>5</v>
      </c>
      <c r="C1389">
        <v>5</v>
      </c>
      <c r="D1389" s="2">
        <v>2</v>
      </c>
      <c r="E1389" s="2">
        <v>2</v>
      </c>
      <c r="F1389" s="2" t="s">
        <v>5</v>
      </c>
      <c r="G1389" s="2">
        <v>137.60000000004899</v>
      </c>
      <c r="H1389" s="2" t="s">
        <v>16</v>
      </c>
      <c r="I1389" s="2">
        <v>25397.999999995602</v>
      </c>
      <c r="J1389" s="2">
        <v>5000</v>
      </c>
      <c r="K1389" s="2">
        <v>20</v>
      </c>
      <c r="L1389" s="2">
        <v>0</v>
      </c>
      <c r="M1389" s="2">
        <v>422228.01</v>
      </c>
      <c r="N1389">
        <f t="shared" si="26"/>
        <v>447763.60999999568</v>
      </c>
      <c r="O1389" s="9" t="s">
        <v>5</v>
      </c>
    </row>
    <row r="1390" spans="1:15" x14ac:dyDescent="0.2">
      <c r="A1390">
        <v>57</v>
      </c>
      <c r="B1390">
        <v>5</v>
      </c>
      <c r="C1390">
        <v>5</v>
      </c>
      <c r="D1390" s="2">
        <v>2</v>
      </c>
      <c r="E1390" s="2">
        <v>3</v>
      </c>
      <c r="F1390" s="2" t="s">
        <v>5</v>
      </c>
      <c r="G1390" s="2">
        <v>183.39999999987799</v>
      </c>
      <c r="H1390" s="2" t="s">
        <v>16</v>
      </c>
      <c r="I1390" s="2">
        <v>44558.000000023399</v>
      </c>
      <c r="J1390" s="2">
        <v>5000</v>
      </c>
      <c r="K1390" s="2">
        <v>20</v>
      </c>
      <c r="L1390" s="2">
        <v>0</v>
      </c>
      <c r="M1390" s="2">
        <v>405428.81</v>
      </c>
      <c r="N1390">
        <f t="shared" si="26"/>
        <v>450170.21000002325</v>
      </c>
      <c r="O1390" s="9" t="s">
        <v>5</v>
      </c>
    </row>
    <row r="1391" spans="1:15" x14ac:dyDescent="0.2">
      <c r="A1391">
        <v>58</v>
      </c>
      <c r="B1391">
        <v>5</v>
      </c>
      <c r="C1391">
        <v>6</v>
      </c>
      <c r="D1391" s="2">
        <v>2</v>
      </c>
      <c r="E1391" s="2">
        <v>1</v>
      </c>
      <c r="F1391" s="2" t="s">
        <v>5</v>
      </c>
      <c r="G1391" s="2">
        <v>215.599999999228</v>
      </c>
      <c r="H1391" s="2" t="s">
        <v>16</v>
      </c>
      <c r="I1391" s="2">
        <v>56205.000000005602</v>
      </c>
      <c r="J1391" s="2">
        <v>5000</v>
      </c>
      <c r="K1391" s="2">
        <v>20</v>
      </c>
      <c r="L1391" s="2">
        <v>0</v>
      </c>
      <c r="M1391" s="2">
        <v>428231.21</v>
      </c>
      <c r="N1391">
        <f t="shared" ref="N1391:N1538" si="27">G1391+I1391+M1391</f>
        <v>484651.81000000483</v>
      </c>
      <c r="O1391" s="9" t="s">
        <v>5</v>
      </c>
    </row>
    <row r="1392" spans="1:15" x14ac:dyDescent="0.2">
      <c r="A1392">
        <v>59</v>
      </c>
      <c r="B1392">
        <v>5</v>
      </c>
      <c r="C1392">
        <v>6</v>
      </c>
      <c r="D1392" s="2">
        <v>2</v>
      </c>
      <c r="E1392" s="2">
        <v>2</v>
      </c>
      <c r="F1392" s="2" t="s">
        <v>5</v>
      </c>
      <c r="G1392" s="2">
        <v>212.39999999984599</v>
      </c>
      <c r="H1392" s="2" t="s">
        <v>16</v>
      </c>
      <c r="I1392" s="2">
        <v>45035.000000012798</v>
      </c>
      <c r="J1392" s="2">
        <v>5000</v>
      </c>
      <c r="K1392" s="2">
        <v>20</v>
      </c>
      <c r="L1392" s="2">
        <v>0</v>
      </c>
      <c r="M1392" s="2">
        <v>420028.01</v>
      </c>
      <c r="N1392">
        <f t="shared" si="27"/>
        <v>465275.41000001266</v>
      </c>
      <c r="O1392" s="9" t="s">
        <v>5</v>
      </c>
    </row>
    <row r="1393" spans="1:15" x14ac:dyDescent="0.2">
      <c r="A1393">
        <v>60</v>
      </c>
      <c r="B1393">
        <v>5</v>
      </c>
      <c r="C1393">
        <v>6</v>
      </c>
      <c r="D1393" s="2">
        <v>2</v>
      </c>
      <c r="E1393" s="2">
        <v>3</v>
      </c>
      <c r="F1393" s="2" t="s">
        <v>5</v>
      </c>
      <c r="G1393" s="2">
        <v>288.40000000016602</v>
      </c>
      <c r="H1393" s="2" t="s">
        <v>16</v>
      </c>
      <c r="I1393" s="2">
        <v>150798.00000000899</v>
      </c>
      <c r="J1393" s="2">
        <v>5000</v>
      </c>
      <c r="K1393" s="2">
        <v>20</v>
      </c>
      <c r="L1393" s="2">
        <v>0</v>
      </c>
      <c r="M1393" s="2">
        <v>429029.61</v>
      </c>
      <c r="N1393">
        <f t="shared" si="27"/>
        <v>580116.01000000909</v>
      </c>
      <c r="O1393" s="9" t="s">
        <v>5</v>
      </c>
    </row>
    <row r="1394" spans="1:15" x14ac:dyDescent="0.2">
      <c r="A1394">
        <v>61</v>
      </c>
      <c r="B1394">
        <v>5</v>
      </c>
      <c r="C1394">
        <v>7</v>
      </c>
      <c r="D1394" s="2">
        <v>2</v>
      </c>
      <c r="E1394" s="2">
        <v>1</v>
      </c>
      <c r="F1394" s="2" t="s">
        <v>5</v>
      </c>
      <c r="G1394" s="2">
        <v>230.60000000043601</v>
      </c>
      <c r="H1394" s="2" t="s">
        <v>16</v>
      </c>
      <c r="I1394" s="2">
        <v>105615.99999999801</v>
      </c>
      <c r="J1394" s="2">
        <v>5000</v>
      </c>
      <c r="K1394" s="2">
        <v>20</v>
      </c>
      <c r="L1394" s="2">
        <v>0</v>
      </c>
      <c r="M1394" s="2">
        <v>527229.21</v>
      </c>
      <c r="N1394">
        <f t="shared" si="27"/>
        <v>633075.80999999843</v>
      </c>
      <c r="O1394" s="9" t="s">
        <v>5</v>
      </c>
    </row>
    <row r="1395" spans="1:15" x14ac:dyDescent="0.2">
      <c r="A1395">
        <v>62</v>
      </c>
      <c r="B1395">
        <v>5</v>
      </c>
      <c r="C1395">
        <v>7</v>
      </c>
      <c r="D1395" s="2">
        <v>2</v>
      </c>
      <c r="E1395" s="2">
        <v>2</v>
      </c>
      <c r="F1395" s="2" t="s">
        <v>5</v>
      </c>
      <c r="G1395" s="2">
        <v>233.80000000017299</v>
      </c>
      <c r="H1395" s="2" t="s">
        <v>16</v>
      </c>
      <c r="I1395" s="2">
        <v>102223.999999978</v>
      </c>
      <c r="J1395" s="2">
        <v>5000</v>
      </c>
      <c r="K1395" s="2">
        <v>20</v>
      </c>
      <c r="L1395" s="2">
        <v>0</v>
      </c>
      <c r="M1395" s="2">
        <v>411627.61</v>
      </c>
      <c r="N1395">
        <f t="shared" si="27"/>
        <v>514085.40999997815</v>
      </c>
      <c r="O1395" s="9" t="s">
        <v>5</v>
      </c>
    </row>
    <row r="1396" spans="1:15" x14ac:dyDescent="0.2">
      <c r="A1396">
        <v>63</v>
      </c>
      <c r="B1396">
        <v>5</v>
      </c>
      <c r="C1396">
        <v>7</v>
      </c>
      <c r="D1396" s="2">
        <v>2</v>
      </c>
      <c r="E1396" s="2">
        <v>3</v>
      </c>
      <c r="F1396" s="2" t="s">
        <v>5</v>
      </c>
      <c r="G1396" s="2">
        <v>359.799999999666</v>
      </c>
      <c r="H1396" s="2" t="s">
        <v>16</v>
      </c>
      <c r="I1396" s="2">
        <v>241534.99999999901</v>
      </c>
      <c r="J1396" s="2">
        <v>5000</v>
      </c>
      <c r="K1396" s="2">
        <v>20</v>
      </c>
      <c r="L1396" s="2">
        <v>0</v>
      </c>
      <c r="M1396" s="2">
        <v>440228.41</v>
      </c>
      <c r="N1396">
        <f t="shared" si="27"/>
        <v>682123.20999999868</v>
      </c>
      <c r="O1396" s="9" t="s">
        <v>4</v>
      </c>
    </row>
    <row r="1397" spans="1:15" x14ac:dyDescent="0.2">
      <c r="A1397">
        <v>64</v>
      </c>
      <c r="B1397">
        <v>5</v>
      </c>
      <c r="C1397">
        <v>8</v>
      </c>
      <c r="D1397" s="2">
        <v>2</v>
      </c>
      <c r="E1397" s="2">
        <v>1</v>
      </c>
      <c r="F1397" s="2" t="s">
        <v>5</v>
      </c>
      <c r="G1397" s="2">
        <v>274.00000000028501</v>
      </c>
      <c r="H1397" s="2" t="s">
        <v>16</v>
      </c>
      <c r="I1397" s="2">
        <v>128890.00000001299</v>
      </c>
      <c r="J1397" s="2">
        <v>5000</v>
      </c>
      <c r="K1397" s="2">
        <v>20</v>
      </c>
      <c r="L1397" s="2">
        <v>0</v>
      </c>
      <c r="M1397" s="2">
        <v>447030.41</v>
      </c>
      <c r="N1397">
        <f t="shared" si="27"/>
        <v>576194.4100000133</v>
      </c>
      <c r="O1397" s="9" t="s">
        <v>5</v>
      </c>
    </row>
    <row r="1398" spans="1:15" x14ac:dyDescent="0.2">
      <c r="A1398">
        <v>65</v>
      </c>
      <c r="B1398">
        <v>5</v>
      </c>
      <c r="C1398">
        <v>8</v>
      </c>
      <c r="D1398" s="2">
        <v>2</v>
      </c>
      <c r="E1398" s="2">
        <v>2</v>
      </c>
      <c r="F1398" s="2" t="s">
        <v>5</v>
      </c>
      <c r="G1398" s="2">
        <v>271.20000000024902</v>
      </c>
      <c r="H1398" s="2" t="s">
        <v>16</v>
      </c>
      <c r="I1398" s="2">
        <v>165955.999999994</v>
      </c>
      <c r="J1398" s="2">
        <v>5000</v>
      </c>
      <c r="K1398" s="2">
        <v>20</v>
      </c>
      <c r="L1398" s="2">
        <v>0</v>
      </c>
      <c r="M1398" s="2">
        <v>428828.01</v>
      </c>
      <c r="N1398">
        <f t="shared" si="27"/>
        <v>595055.20999999426</v>
      </c>
      <c r="O1398" s="9" t="s">
        <v>4</v>
      </c>
    </row>
    <row r="1399" spans="1:15" x14ac:dyDescent="0.2">
      <c r="A1399">
        <v>66</v>
      </c>
      <c r="B1399">
        <v>5</v>
      </c>
      <c r="C1399">
        <v>8</v>
      </c>
      <c r="D1399" s="2">
        <v>2</v>
      </c>
      <c r="E1399" s="2">
        <v>3</v>
      </c>
      <c r="F1399" s="2" t="s">
        <v>5</v>
      </c>
      <c r="G1399" s="2">
        <v>390.99999999976399</v>
      </c>
      <c r="H1399" s="2" t="s">
        <v>16</v>
      </c>
      <c r="I1399" s="2">
        <v>603557.99999999197</v>
      </c>
      <c r="J1399" s="2">
        <v>5000</v>
      </c>
      <c r="K1399" s="2">
        <v>20</v>
      </c>
      <c r="L1399" s="2">
        <v>0</v>
      </c>
      <c r="M1399" s="2">
        <v>452229.21</v>
      </c>
      <c r="N1399">
        <f t="shared" si="27"/>
        <v>1056178.2099999918</v>
      </c>
      <c r="O1399" s="9" t="s">
        <v>4</v>
      </c>
    </row>
    <row r="1400" spans="1:15" x14ac:dyDescent="0.2">
      <c r="A1400">
        <v>67</v>
      </c>
      <c r="B1400">
        <v>5</v>
      </c>
      <c r="C1400">
        <v>7</v>
      </c>
      <c r="D1400" s="2">
        <v>2</v>
      </c>
      <c r="E1400" s="2">
        <v>1</v>
      </c>
      <c r="F1400" s="2" t="s">
        <v>5</v>
      </c>
      <c r="G1400" s="2">
        <v>210.20000000007099</v>
      </c>
      <c r="H1400" s="2" t="s">
        <v>16</v>
      </c>
      <c r="I1400" s="2">
        <v>119817.999999981</v>
      </c>
      <c r="J1400" s="2">
        <v>5000</v>
      </c>
      <c r="K1400" s="2">
        <v>20</v>
      </c>
      <c r="L1400" s="2">
        <v>0</v>
      </c>
      <c r="M1400" s="2">
        <v>504428.01</v>
      </c>
      <c r="N1400">
        <f t="shared" si="27"/>
        <v>624456.2099999811</v>
      </c>
      <c r="O1400" s="9" t="s">
        <v>5</v>
      </c>
    </row>
    <row r="1401" spans="1:15" x14ac:dyDescent="0.2">
      <c r="A1401">
        <v>68</v>
      </c>
      <c r="B1401">
        <v>5</v>
      </c>
      <c r="C1401">
        <v>7</v>
      </c>
      <c r="D1401" s="2">
        <v>2</v>
      </c>
      <c r="E1401" s="2">
        <v>2</v>
      </c>
      <c r="F1401" s="2" t="s">
        <v>5</v>
      </c>
      <c r="G1401" s="2">
        <v>210.00000000022101</v>
      </c>
      <c r="H1401" s="2" t="s">
        <v>16</v>
      </c>
      <c r="I1401" s="2">
        <v>73575.000000005297</v>
      </c>
      <c r="J1401" s="2">
        <v>5000</v>
      </c>
      <c r="K1401" s="2">
        <v>20</v>
      </c>
      <c r="L1401" s="2">
        <v>0</v>
      </c>
      <c r="M1401" s="2">
        <v>434428.41</v>
      </c>
      <c r="N1401">
        <f t="shared" si="27"/>
        <v>508213.4100000055</v>
      </c>
      <c r="O1401" s="9" t="s">
        <v>5</v>
      </c>
    </row>
    <row r="1402" spans="1:15" x14ac:dyDescent="0.2">
      <c r="A1402">
        <v>69</v>
      </c>
      <c r="B1402">
        <v>5</v>
      </c>
      <c r="C1402">
        <v>7</v>
      </c>
      <c r="D1402" s="2">
        <v>2</v>
      </c>
      <c r="E1402" s="2">
        <v>3</v>
      </c>
      <c r="F1402" s="2" t="s">
        <v>5</v>
      </c>
      <c r="G1402" s="2">
        <v>292.59999999986502</v>
      </c>
      <c r="H1402" s="2" t="s">
        <v>16</v>
      </c>
      <c r="I1402" s="2">
        <v>260648.000000003</v>
      </c>
      <c r="J1402" s="2">
        <v>5000</v>
      </c>
      <c r="K1402" s="2">
        <v>20</v>
      </c>
      <c r="L1402" s="2">
        <v>0</v>
      </c>
      <c r="M1402" s="2">
        <v>415228.81</v>
      </c>
      <c r="N1402">
        <f t="shared" si="27"/>
        <v>676169.41000000283</v>
      </c>
      <c r="O1402" s="9" t="s">
        <v>4</v>
      </c>
    </row>
    <row r="1403" spans="1:15" x14ac:dyDescent="0.2">
      <c r="A1403">
        <v>28</v>
      </c>
      <c r="B1403">
        <v>5</v>
      </c>
      <c r="C1403">
        <v>4</v>
      </c>
      <c r="D1403" s="2">
        <v>2</v>
      </c>
      <c r="E1403" s="2">
        <v>1</v>
      </c>
      <c r="F1403" s="2" t="s">
        <v>5</v>
      </c>
      <c r="G1403" s="2">
        <v>541.19999999961999</v>
      </c>
      <c r="H1403" s="2" t="s">
        <v>16</v>
      </c>
      <c r="I1403" s="2">
        <v>40185.000000008098</v>
      </c>
      <c r="J1403" s="2">
        <v>2000</v>
      </c>
      <c r="K1403" s="2">
        <v>300</v>
      </c>
      <c r="L1403" s="2">
        <v>0</v>
      </c>
      <c r="M1403" s="2">
        <v>764108.81</v>
      </c>
      <c r="N1403">
        <f t="shared" si="27"/>
        <v>804835.01000000781</v>
      </c>
      <c r="O1403" s="9" t="s">
        <v>5</v>
      </c>
    </row>
    <row r="1404" spans="1:15" x14ac:dyDescent="0.2">
      <c r="A1404">
        <v>29</v>
      </c>
      <c r="B1404">
        <v>5</v>
      </c>
      <c r="C1404">
        <v>5</v>
      </c>
      <c r="D1404" s="2">
        <v>2</v>
      </c>
      <c r="E1404" s="2">
        <v>2</v>
      </c>
      <c r="F1404" s="2" t="s">
        <v>5</v>
      </c>
      <c r="G1404" s="2">
        <v>547.39999999959798</v>
      </c>
      <c r="H1404" s="2" t="s">
        <v>16</v>
      </c>
      <c r="I1404" s="2">
        <v>34695.999999996697</v>
      </c>
      <c r="J1404" s="2">
        <v>2000</v>
      </c>
      <c r="K1404" s="2">
        <v>300</v>
      </c>
      <c r="L1404" s="2">
        <v>0</v>
      </c>
      <c r="M1404" s="2">
        <v>735147.21</v>
      </c>
      <c r="N1404">
        <f t="shared" si="27"/>
        <v>770390.60999999626</v>
      </c>
      <c r="O1404" s="9" t="s">
        <v>5</v>
      </c>
    </row>
    <row r="1405" spans="1:15" x14ac:dyDescent="0.2">
      <c r="A1405">
        <v>30</v>
      </c>
      <c r="B1405">
        <v>5</v>
      </c>
      <c r="C1405">
        <v>5</v>
      </c>
      <c r="D1405" s="2">
        <v>2</v>
      </c>
      <c r="E1405" s="2">
        <v>3</v>
      </c>
      <c r="F1405" s="2" t="s">
        <v>5</v>
      </c>
      <c r="G1405" s="2">
        <v>598.60000000000502</v>
      </c>
      <c r="H1405" s="2" t="s">
        <v>16</v>
      </c>
      <c r="I1405" s="2">
        <v>78614.999999984997</v>
      </c>
      <c r="J1405" s="2">
        <v>2000</v>
      </c>
      <c r="K1405" s="2">
        <v>300</v>
      </c>
      <c r="L1405" s="2">
        <v>0</v>
      </c>
      <c r="M1405" s="2">
        <v>743228.01</v>
      </c>
      <c r="N1405">
        <f t="shared" si="27"/>
        <v>822441.60999998497</v>
      </c>
      <c r="O1405" s="9" t="s">
        <v>5</v>
      </c>
    </row>
    <row r="1406" spans="1:15" x14ac:dyDescent="0.2">
      <c r="A1406">
        <v>31</v>
      </c>
      <c r="B1406">
        <v>5</v>
      </c>
      <c r="C1406">
        <v>5</v>
      </c>
      <c r="D1406" s="2">
        <v>2</v>
      </c>
      <c r="E1406" s="2">
        <v>1</v>
      </c>
      <c r="F1406" s="2" t="s">
        <v>5</v>
      </c>
      <c r="G1406" s="2">
        <v>351.19999999970702</v>
      </c>
      <c r="H1406" s="2" t="s">
        <v>16</v>
      </c>
      <c r="I1406" s="2">
        <v>51963.999999998101</v>
      </c>
      <c r="J1406" s="2">
        <v>2000</v>
      </c>
      <c r="K1406" s="2">
        <v>300</v>
      </c>
      <c r="L1406" s="2">
        <v>0</v>
      </c>
      <c r="M1406" s="2">
        <v>738987.61</v>
      </c>
      <c r="N1406">
        <f t="shared" si="27"/>
        <v>791302.80999999784</v>
      </c>
      <c r="O1406" s="9" t="s">
        <v>5</v>
      </c>
    </row>
    <row r="1407" spans="1:15" x14ac:dyDescent="0.2">
      <c r="A1407">
        <v>32</v>
      </c>
      <c r="B1407">
        <v>5</v>
      </c>
      <c r="C1407">
        <v>5</v>
      </c>
      <c r="D1407" s="2">
        <v>2</v>
      </c>
      <c r="E1407" s="2">
        <v>2</v>
      </c>
      <c r="F1407" s="2" t="s">
        <v>5</v>
      </c>
      <c r="G1407" s="2">
        <v>356.00000000002302</v>
      </c>
      <c r="H1407" s="2" t="s">
        <v>16</v>
      </c>
      <c r="I1407" s="2">
        <v>20672.999999987998</v>
      </c>
      <c r="J1407" s="2">
        <v>2000</v>
      </c>
      <c r="K1407" s="2">
        <v>300</v>
      </c>
      <c r="L1407" s="2">
        <v>0</v>
      </c>
      <c r="M1407" s="2">
        <v>734347.21</v>
      </c>
      <c r="N1407">
        <f t="shared" si="27"/>
        <v>755376.20999998797</v>
      </c>
      <c r="O1407" s="9" t="s">
        <v>5</v>
      </c>
    </row>
    <row r="1408" spans="1:15" x14ac:dyDescent="0.2">
      <c r="A1408">
        <v>33</v>
      </c>
      <c r="B1408">
        <v>5</v>
      </c>
      <c r="C1408">
        <v>5</v>
      </c>
      <c r="D1408" s="2">
        <v>2</v>
      </c>
      <c r="E1408" s="2">
        <v>3</v>
      </c>
      <c r="F1408" s="2" t="s">
        <v>5</v>
      </c>
      <c r="G1408" s="2">
        <v>485.39999999981399</v>
      </c>
      <c r="H1408" s="2" t="s">
        <v>16</v>
      </c>
      <c r="I1408" s="2">
        <v>60222.000000010201</v>
      </c>
      <c r="J1408" s="2">
        <v>2000</v>
      </c>
      <c r="K1408" s="2">
        <v>300</v>
      </c>
      <c r="L1408" s="2">
        <v>0</v>
      </c>
      <c r="M1408" s="2">
        <v>741628.01</v>
      </c>
      <c r="N1408">
        <f t="shared" si="27"/>
        <v>802335.41000001004</v>
      </c>
      <c r="O1408" s="9" t="s">
        <v>5</v>
      </c>
    </row>
    <row r="1409" spans="1:15" x14ac:dyDescent="0.2">
      <c r="A1409">
        <v>34</v>
      </c>
      <c r="B1409">
        <v>5</v>
      </c>
      <c r="C1409">
        <v>5</v>
      </c>
      <c r="D1409" s="2">
        <v>2</v>
      </c>
      <c r="E1409" s="2">
        <v>1</v>
      </c>
      <c r="F1409" s="2" t="s">
        <v>5</v>
      </c>
      <c r="G1409" s="2">
        <v>307.60000000000798</v>
      </c>
      <c r="H1409" s="2" t="s">
        <v>16</v>
      </c>
      <c r="I1409" s="2">
        <v>19947.000000001899</v>
      </c>
      <c r="J1409" s="2">
        <v>2000</v>
      </c>
      <c r="K1409" s="2">
        <v>300</v>
      </c>
      <c r="L1409" s="2">
        <v>0</v>
      </c>
      <c r="M1409" s="2">
        <v>738587.61</v>
      </c>
      <c r="N1409">
        <f t="shared" si="27"/>
        <v>758842.21000000194</v>
      </c>
      <c r="O1409" s="9" t="s">
        <v>5</v>
      </c>
    </row>
    <row r="1410" spans="1:15" x14ac:dyDescent="0.2">
      <c r="A1410">
        <v>35</v>
      </c>
      <c r="B1410">
        <v>5</v>
      </c>
      <c r="C1410">
        <v>6</v>
      </c>
      <c r="D1410" s="2">
        <v>2</v>
      </c>
      <c r="E1410" s="2">
        <v>1</v>
      </c>
      <c r="F1410" s="2" t="s">
        <v>5</v>
      </c>
      <c r="G1410" s="2">
        <v>378.80000000036802</v>
      </c>
      <c r="H1410" s="2" t="s">
        <v>16</v>
      </c>
      <c r="I1410" s="2">
        <v>67833.000000007407</v>
      </c>
      <c r="J1410" s="2">
        <v>2000</v>
      </c>
      <c r="K1410" s="2">
        <v>300</v>
      </c>
      <c r="L1410" s="2">
        <v>0</v>
      </c>
      <c r="M1410" s="2">
        <v>797467.61</v>
      </c>
      <c r="N1410">
        <f t="shared" si="27"/>
        <v>865679.41000000772</v>
      </c>
      <c r="O1410" s="9" t="s">
        <v>5</v>
      </c>
    </row>
    <row r="1411" spans="1:15" x14ac:dyDescent="0.2">
      <c r="A1411">
        <v>36</v>
      </c>
      <c r="B1411">
        <v>5</v>
      </c>
      <c r="C1411">
        <v>6</v>
      </c>
      <c r="D1411" s="2">
        <v>2</v>
      </c>
      <c r="E1411" s="2">
        <v>2</v>
      </c>
      <c r="F1411" s="2" t="s">
        <v>5</v>
      </c>
      <c r="G1411" s="2">
        <v>225.399999999709</v>
      </c>
      <c r="H1411" s="2" t="s">
        <v>16</v>
      </c>
      <c r="I1411" s="2">
        <v>85232.000000019107</v>
      </c>
      <c r="J1411" s="2">
        <v>2000</v>
      </c>
      <c r="K1411" s="2">
        <v>300</v>
      </c>
      <c r="L1411" s="2">
        <v>0</v>
      </c>
      <c r="M1411" s="2">
        <v>767548.01</v>
      </c>
      <c r="N1411">
        <f t="shared" si="27"/>
        <v>853005.41000001878</v>
      </c>
      <c r="O1411" s="9" t="s">
        <v>4</v>
      </c>
    </row>
    <row r="1412" spans="1:15" x14ac:dyDescent="0.2">
      <c r="A1412">
        <v>37</v>
      </c>
      <c r="B1412">
        <v>5</v>
      </c>
      <c r="C1412">
        <v>6</v>
      </c>
      <c r="D1412" s="2">
        <v>2</v>
      </c>
      <c r="E1412" s="2">
        <v>3</v>
      </c>
      <c r="F1412" s="2" t="s">
        <v>5</v>
      </c>
      <c r="G1412" s="2">
        <v>317.40000000049002</v>
      </c>
      <c r="H1412" s="2" t="s">
        <v>16</v>
      </c>
      <c r="I1412" s="2">
        <v>429632.99999999598</v>
      </c>
      <c r="J1412" s="2">
        <v>2000</v>
      </c>
      <c r="K1412" s="2">
        <v>300</v>
      </c>
      <c r="L1412" s="2">
        <v>0</v>
      </c>
      <c r="M1412" s="2">
        <v>791387.61</v>
      </c>
      <c r="N1412">
        <f t="shared" si="27"/>
        <v>1221338.0099999965</v>
      </c>
      <c r="O1412" s="9" t="s">
        <v>4</v>
      </c>
    </row>
    <row r="1413" spans="1:15" x14ac:dyDescent="0.2">
      <c r="A1413">
        <v>38</v>
      </c>
      <c r="B1413">
        <v>5</v>
      </c>
      <c r="C1413">
        <v>6</v>
      </c>
      <c r="D1413" s="2">
        <v>2</v>
      </c>
      <c r="E1413" s="2">
        <v>1</v>
      </c>
      <c r="F1413" s="2" t="s">
        <v>5</v>
      </c>
      <c r="G1413" s="2">
        <v>206.39999999971801</v>
      </c>
      <c r="H1413" s="2" t="s">
        <v>16</v>
      </c>
      <c r="I1413" s="2">
        <v>58606.999999995001</v>
      </c>
      <c r="J1413" s="2">
        <v>2000</v>
      </c>
      <c r="K1413" s="2">
        <v>300</v>
      </c>
      <c r="L1413" s="2">
        <v>0</v>
      </c>
      <c r="M1413" s="2">
        <v>797707.21</v>
      </c>
      <c r="N1413">
        <f t="shared" si="27"/>
        <v>856520.60999999463</v>
      </c>
      <c r="O1413" s="9" t="s">
        <v>5</v>
      </c>
    </row>
    <row r="1414" spans="1:15" x14ac:dyDescent="0.2">
      <c r="A1414">
        <v>39</v>
      </c>
      <c r="B1414">
        <v>5</v>
      </c>
      <c r="C1414">
        <v>7</v>
      </c>
      <c r="D1414" s="2">
        <v>2</v>
      </c>
      <c r="E1414" s="2">
        <v>1</v>
      </c>
      <c r="F1414" s="2" t="s">
        <v>5</v>
      </c>
      <c r="G1414" s="2">
        <v>257.600000000124</v>
      </c>
      <c r="H1414" s="2" t="s">
        <v>16</v>
      </c>
      <c r="I1414" s="2">
        <v>172606.00000000201</v>
      </c>
      <c r="J1414" s="2">
        <v>2000</v>
      </c>
      <c r="K1414" s="2">
        <v>300</v>
      </c>
      <c r="L1414" s="2">
        <v>0</v>
      </c>
      <c r="M1414" s="2">
        <v>806428.01</v>
      </c>
      <c r="N1414">
        <f t="shared" si="27"/>
        <v>979291.6100000022</v>
      </c>
      <c r="O1414" s="9" t="s">
        <v>5</v>
      </c>
    </row>
    <row r="1415" spans="1:15" x14ac:dyDescent="0.2">
      <c r="A1415">
        <v>40</v>
      </c>
      <c r="B1415">
        <v>5</v>
      </c>
      <c r="C1415">
        <v>7</v>
      </c>
      <c r="D1415" s="2">
        <v>2</v>
      </c>
      <c r="E1415" s="2">
        <v>2</v>
      </c>
      <c r="F1415" s="2" t="s">
        <v>5</v>
      </c>
      <c r="G1415" s="2">
        <v>242.59999999962599</v>
      </c>
      <c r="H1415" s="2" t="s">
        <v>16</v>
      </c>
      <c r="I1415" s="2">
        <v>100393.999999994</v>
      </c>
      <c r="J1415" s="2">
        <v>2000</v>
      </c>
      <c r="K1415" s="2">
        <v>300</v>
      </c>
      <c r="L1415" s="2">
        <v>0</v>
      </c>
      <c r="M1415" s="2">
        <v>772908.41</v>
      </c>
      <c r="N1415">
        <f t="shared" si="27"/>
        <v>873545.00999999372</v>
      </c>
      <c r="O1415" s="9" t="s">
        <v>4</v>
      </c>
    </row>
    <row r="1416" spans="1:15" x14ac:dyDescent="0.2">
      <c r="A1416">
        <v>41</v>
      </c>
      <c r="B1416">
        <v>5</v>
      </c>
      <c r="C1416">
        <v>7</v>
      </c>
      <c r="D1416" s="2">
        <v>2</v>
      </c>
      <c r="E1416" s="2">
        <v>3</v>
      </c>
      <c r="F1416" s="2" t="s">
        <v>5</v>
      </c>
      <c r="G1416" s="2">
        <v>354.20000000030399</v>
      </c>
      <c r="H1416" s="2" t="s">
        <v>16</v>
      </c>
      <c r="I1416" s="2">
        <v>409392.00000002497</v>
      </c>
      <c r="J1416" s="2">
        <v>2000</v>
      </c>
      <c r="K1416" s="2">
        <v>300</v>
      </c>
      <c r="L1416" s="2">
        <v>0</v>
      </c>
      <c r="M1416" s="2">
        <v>791549.21</v>
      </c>
      <c r="N1416">
        <f t="shared" si="27"/>
        <v>1201295.4100000253</v>
      </c>
      <c r="O1416" s="9" t="s">
        <v>4</v>
      </c>
    </row>
    <row r="1417" spans="1:15" x14ac:dyDescent="0.2">
      <c r="A1417">
        <v>42</v>
      </c>
      <c r="B1417">
        <v>5</v>
      </c>
      <c r="C1417">
        <v>4</v>
      </c>
      <c r="D1417" s="2">
        <v>2</v>
      </c>
      <c r="E1417" s="2">
        <v>1</v>
      </c>
      <c r="F1417" s="2" t="s">
        <v>5</v>
      </c>
      <c r="G1417" s="2">
        <v>129.800000000202</v>
      </c>
      <c r="H1417" s="2" t="s">
        <v>16</v>
      </c>
      <c r="I1417" s="2">
        <v>11878.999999993301</v>
      </c>
      <c r="J1417" s="2">
        <v>2000</v>
      </c>
      <c r="K1417" s="2">
        <v>300</v>
      </c>
      <c r="L1417" s="2">
        <v>0</v>
      </c>
      <c r="M1417" s="2">
        <v>736907.61</v>
      </c>
      <c r="N1417">
        <f t="shared" si="27"/>
        <v>748916.40999999351</v>
      </c>
      <c r="O1417" s="9" t="s">
        <v>5</v>
      </c>
    </row>
    <row r="1418" spans="1:15" x14ac:dyDescent="0.2">
      <c r="A1418">
        <v>43</v>
      </c>
      <c r="B1418">
        <v>5</v>
      </c>
      <c r="C1418">
        <v>5</v>
      </c>
      <c r="D1418" s="2">
        <v>2</v>
      </c>
      <c r="E1418" s="2">
        <v>1</v>
      </c>
      <c r="F1418" s="2" t="s">
        <v>5</v>
      </c>
      <c r="G1418" s="2">
        <v>157.00000000009601</v>
      </c>
      <c r="H1418" s="2" t="s">
        <v>16</v>
      </c>
      <c r="I1418" s="2">
        <v>17081.999999987798</v>
      </c>
      <c r="J1418" s="2">
        <v>2000</v>
      </c>
      <c r="K1418" s="2">
        <v>300</v>
      </c>
      <c r="L1418" s="2">
        <v>0</v>
      </c>
      <c r="M1418" s="2">
        <v>741627.61</v>
      </c>
      <c r="N1418">
        <f t="shared" si="27"/>
        <v>758866.60999998788</v>
      </c>
      <c r="O1418" s="9" t="s">
        <v>5</v>
      </c>
    </row>
    <row r="1419" spans="1:15" x14ac:dyDescent="0.2">
      <c r="A1419">
        <v>44</v>
      </c>
      <c r="B1419">
        <v>5</v>
      </c>
      <c r="C1419">
        <v>5</v>
      </c>
      <c r="D1419" s="2">
        <v>2</v>
      </c>
      <c r="E1419" s="2">
        <v>2</v>
      </c>
      <c r="F1419" s="2" t="s">
        <v>5</v>
      </c>
      <c r="G1419" s="2">
        <v>156.599999999685</v>
      </c>
      <c r="H1419" s="2" t="s">
        <v>16</v>
      </c>
      <c r="I1419" s="2">
        <v>24732.0000000002</v>
      </c>
      <c r="J1419" s="2">
        <v>2000</v>
      </c>
      <c r="K1419" s="2">
        <v>300</v>
      </c>
      <c r="L1419" s="2">
        <v>0</v>
      </c>
      <c r="M1419" s="2">
        <v>740508.01</v>
      </c>
      <c r="N1419">
        <f t="shared" si="27"/>
        <v>765396.60999999987</v>
      </c>
      <c r="O1419" s="9" t="s">
        <v>5</v>
      </c>
    </row>
    <row r="1420" spans="1:15" x14ac:dyDescent="0.2">
      <c r="A1420">
        <v>45</v>
      </c>
      <c r="B1420">
        <v>5</v>
      </c>
      <c r="C1420">
        <v>5</v>
      </c>
      <c r="D1420" s="2">
        <v>2</v>
      </c>
      <c r="E1420" s="2">
        <v>3</v>
      </c>
      <c r="F1420" s="2" t="s">
        <v>5</v>
      </c>
      <c r="G1420" s="2">
        <v>211.00000000018301</v>
      </c>
      <c r="H1420" s="2" t="s">
        <v>16</v>
      </c>
      <c r="I1420" s="2">
        <v>56737.9999999957</v>
      </c>
      <c r="J1420" s="2">
        <v>2000</v>
      </c>
      <c r="K1420" s="2">
        <v>300</v>
      </c>
      <c r="L1420" s="2">
        <v>0</v>
      </c>
      <c r="M1420" s="2">
        <v>735628.01</v>
      </c>
      <c r="N1420">
        <f t="shared" si="27"/>
        <v>792577.00999999593</v>
      </c>
      <c r="O1420" s="9" t="s">
        <v>5</v>
      </c>
    </row>
    <row r="1421" spans="1:15" x14ac:dyDescent="0.2">
      <c r="A1421">
        <v>46</v>
      </c>
      <c r="B1421">
        <v>5</v>
      </c>
      <c r="C1421">
        <v>6</v>
      </c>
      <c r="D1421" s="2">
        <v>2</v>
      </c>
      <c r="E1421" s="2">
        <v>1</v>
      </c>
      <c r="F1421" s="2" t="s">
        <v>5</v>
      </c>
      <c r="G1421" s="2">
        <v>189.400000000006</v>
      </c>
      <c r="H1421" s="2" t="s">
        <v>16</v>
      </c>
      <c r="I1421" s="2">
        <v>68061.000000000204</v>
      </c>
      <c r="J1421" s="2">
        <v>2000</v>
      </c>
      <c r="K1421" s="2">
        <v>300</v>
      </c>
      <c r="L1421" s="2">
        <v>0</v>
      </c>
      <c r="M1421" s="2">
        <v>739789.21</v>
      </c>
      <c r="N1421">
        <f t="shared" si="27"/>
        <v>808039.61000000022</v>
      </c>
      <c r="O1421" s="9" t="s">
        <v>5</v>
      </c>
    </row>
    <row r="1422" spans="1:15" x14ac:dyDescent="0.2">
      <c r="A1422">
        <v>47</v>
      </c>
      <c r="B1422">
        <v>5</v>
      </c>
      <c r="C1422">
        <v>6</v>
      </c>
      <c r="D1422" s="2">
        <v>2</v>
      </c>
      <c r="E1422" s="2">
        <v>2</v>
      </c>
      <c r="F1422" s="2" t="s">
        <v>5</v>
      </c>
      <c r="G1422" s="2">
        <v>193.80000000026601</v>
      </c>
      <c r="H1422" s="2" t="s">
        <v>16</v>
      </c>
      <c r="I1422" s="2">
        <v>55103.000000002598</v>
      </c>
      <c r="J1422" s="2">
        <v>2000</v>
      </c>
      <c r="K1422" s="2">
        <v>300</v>
      </c>
      <c r="L1422" s="2">
        <v>0</v>
      </c>
      <c r="M1422" s="2">
        <v>741307.61</v>
      </c>
      <c r="N1422">
        <f t="shared" si="27"/>
        <v>796604.41000000283</v>
      </c>
      <c r="O1422" s="9" t="s">
        <v>5</v>
      </c>
    </row>
    <row r="1423" spans="1:15" x14ac:dyDescent="0.2">
      <c r="A1423">
        <v>48</v>
      </c>
      <c r="B1423">
        <v>5</v>
      </c>
      <c r="C1423">
        <v>6</v>
      </c>
      <c r="D1423" s="2">
        <v>2</v>
      </c>
      <c r="E1423" s="2">
        <v>3</v>
      </c>
      <c r="F1423" s="2" t="s">
        <v>5</v>
      </c>
      <c r="G1423" s="2">
        <v>249.79999999992199</v>
      </c>
      <c r="H1423" s="2" t="s">
        <v>16</v>
      </c>
      <c r="I1423" s="2">
        <v>121555.000000001</v>
      </c>
      <c r="J1423" s="2">
        <v>2000</v>
      </c>
      <c r="K1423" s="2">
        <v>300</v>
      </c>
      <c r="L1423" s="2">
        <v>0</v>
      </c>
      <c r="M1423" s="2">
        <v>799787.61</v>
      </c>
      <c r="N1423">
        <f t="shared" si="27"/>
        <v>921592.41000000085</v>
      </c>
      <c r="O1423" s="9" t="s">
        <v>4</v>
      </c>
    </row>
    <row r="1424" spans="1:15" x14ac:dyDescent="0.2">
      <c r="A1424">
        <v>49</v>
      </c>
      <c r="B1424">
        <v>5</v>
      </c>
      <c r="C1424">
        <v>6</v>
      </c>
      <c r="D1424" s="2">
        <v>2</v>
      </c>
      <c r="E1424" s="2">
        <v>1</v>
      </c>
      <c r="F1424" s="2" t="s">
        <v>5</v>
      </c>
      <c r="G1424" s="2">
        <v>183.19999999931699</v>
      </c>
      <c r="H1424" s="2" t="s">
        <v>16</v>
      </c>
      <c r="I1424" s="2">
        <v>41121.000000004002</v>
      </c>
      <c r="J1424" s="2">
        <v>2000</v>
      </c>
      <c r="K1424" s="2">
        <v>300</v>
      </c>
      <c r="L1424" s="2">
        <v>0</v>
      </c>
      <c r="M1424" s="2">
        <v>732908.41</v>
      </c>
      <c r="N1424">
        <f t="shared" si="27"/>
        <v>774212.61000000336</v>
      </c>
      <c r="O1424" s="9" t="s">
        <v>5</v>
      </c>
    </row>
    <row r="1425" spans="1:15" x14ac:dyDescent="0.2">
      <c r="A1425">
        <v>50</v>
      </c>
      <c r="B1425">
        <v>5</v>
      </c>
      <c r="C1425">
        <v>6</v>
      </c>
      <c r="D1425" s="2">
        <v>2</v>
      </c>
      <c r="E1425" s="2">
        <v>2</v>
      </c>
      <c r="F1425" s="2" t="s">
        <v>5</v>
      </c>
      <c r="G1425" s="2">
        <v>190.800000000024</v>
      </c>
      <c r="H1425" s="2" t="s">
        <v>16</v>
      </c>
      <c r="I1425" s="2">
        <v>50727.999999992302</v>
      </c>
      <c r="J1425" s="2">
        <v>2000</v>
      </c>
      <c r="K1425" s="2">
        <v>300</v>
      </c>
      <c r="L1425" s="2">
        <v>0</v>
      </c>
      <c r="M1425" s="2">
        <v>764268.01</v>
      </c>
      <c r="N1425">
        <f t="shared" si="27"/>
        <v>815186.80999999237</v>
      </c>
      <c r="O1425" s="9" t="s">
        <v>5</v>
      </c>
    </row>
    <row r="1426" spans="1:15" x14ac:dyDescent="0.2">
      <c r="A1426">
        <v>51</v>
      </c>
      <c r="B1426">
        <v>5</v>
      </c>
      <c r="C1426">
        <v>6</v>
      </c>
      <c r="D1426" s="2">
        <v>2</v>
      </c>
      <c r="E1426" s="2">
        <v>3</v>
      </c>
      <c r="F1426" s="2" t="s">
        <v>5</v>
      </c>
      <c r="G1426" s="2">
        <v>252.19999999990301</v>
      </c>
      <c r="H1426" s="2" t="s">
        <v>16</v>
      </c>
      <c r="I1426" s="2">
        <v>139174.99999999499</v>
      </c>
      <c r="J1426" s="2">
        <v>2000</v>
      </c>
      <c r="K1426" s="2">
        <v>300</v>
      </c>
      <c r="L1426" s="2">
        <v>0</v>
      </c>
      <c r="M1426" s="2">
        <v>766908.01</v>
      </c>
      <c r="N1426">
        <f t="shared" si="27"/>
        <v>906335.20999999484</v>
      </c>
      <c r="O1426" s="9" t="s">
        <v>4</v>
      </c>
    </row>
    <row r="1427" spans="1:15" x14ac:dyDescent="0.2">
      <c r="A1427">
        <v>52</v>
      </c>
      <c r="B1427">
        <v>5</v>
      </c>
      <c r="C1427">
        <v>7</v>
      </c>
      <c r="D1427" s="2">
        <v>2</v>
      </c>
      <c r="E1427" s="2">
        <v>1</v>
      </c>
      <c r="F1427" s="2" t="s">
        <v>5</v>
      </c>
      <c r="G1427" s="2">
        <v>219.40000000029201</v>
      </c>
      <c r="H1427" s="2" t="s">
        <v>16</v>
      </c>
      <c r="I1427" s="2">
        <v>49910.000000011198</v>
      </c>
      <c r="J1427" s="2">
        <v>2000</v>
      </c>
      <c r="K1427" s="2">
        <v>300</v>
      </c>
      <c r="L1427" s="2">
        <v>0</v>
      </c>
      <c r="M1427" s="2">
        <v>735628.81</v>
      </c>
      <c r="N1427">
        <f t="shared" si="27"/>
        <v>785758.2100000116</v>
      </c>
      <c r="O1427" s="9" t="s">
        <v>5</v>
      </c>
    </row>
    <row r="1428" spans="1:15" x14ac:dyDescent="0.2">
      <c r="A1428">
        <v>53</v>
      </c>
      <c r="B1428">
        <v>5</v>
      </c>
      <c r="C1428">
        <v>7</v>
      </c>
      <c r="D1428" s="2">
        <v>2</v>
      </c>
      <c r="E1428" s="2">
        <v>2</v>
      </c>
      <c r="F1428" s="2" t="s">
        <v>5</v>
      </c>
      <c r="G1428" s="2">
        <v>218.80000000038501</v>
      </c>
      <c r="H1428" s="2" t="s">
        <v>16</v>
      </c>
      <c r="I1428" s="2">
        <v>113836.99999999</v>
      </c>
      <c r="J1428" s="2">
        <v>2000</v>
      </c>
      <c r="K1428" s="2">
        <v>300</v>
      </c>
      <c r="L1428" s="2">
        <v>0</v>
      </c>
      <c r="M1428" s="2">
        <v>770267.61</v>
      </c>
      <c r="N1428">
        <f t="shared" si="27"/>
        <v>884323.40999999037</v>
      </c>
      <c r="O1428" s="9" t="s">
        <v>4</v>
      </c>
    </row>
    <row r="1429" spans="1:15" x14ac:dyDescent="0.2">
      <c r="A1429">
        <v>54</v>
      </c>
      <c r="B1429">
        <v>5</v>
      </c>
      <c r="C1429">
        <v>7</v>
      </c>
      <c r="D1429" s="2">
        <v>2</v>
      </c>
      <c r="E1429" s="2">
        <v>3</v>
      </c>
      <c r="F1429" s="2" t="s">
        <v>5</v>
      </c>
      <c r="G1429" s="2">
        <v>306.40000000019501</v>
      </c>
      <c r="H1429" s="2" t="s">
        <v>16</v>
      </c>
      <c r="I1429" s="2">
        <v>434876.00000000303</v>
      </c>
      <c r="J1429" s="2">
        <v>2000</v>
      </c>
      <c r="K1429" s="2">
        <v>300</v>
      </c>
      <c r="L1429" s="2">
        <v>0</v>
      </c>
      <c r="M1429" s="2">
        <v>807070.01</v>
      </c>
      <c r="N1429">
        <f t="shared" si="27"/>
        <v>1242252.4100000032</v>
      </c>
      <c r="O1429" s="9" t="s">
        <v>4</v>
      </c>
    </row>
    <row r="1430" spans="1:15" x14ac:dyDescent="0.2">
      <c r="A1430">
        <v>55</v>
      </c>
      <c r="B1430">
        <v>5</v>
      </c>
      <c r="C1430">
        <v>5</v>
      </c>
      <c r="D1430" s="2">
        <v>2</v>
      </c>
      <c r="E1430" s="2">
        <v>1</v>
      </c>
      <c r="F1430" s="2" t="s">
        <v>5</v>
      </c>
      <c r="G1430" s="2">
        <v>140.60000000064599</v>
      </c>
      <c r="H1430" s="2" t="s">
        <v>16</v>
      </c>
      <c r="I1430" s="2">
        <v>27028.000000001401</v>
      </c>
      <c r="J1430" s="2">
        <v>2000</v>
      </c>
      <c r="K1430" s="2">
        <v>300</v>
      </c>
      <c r="L1430" s="2">
        <v>0</v>
      </c>
      <c r="M1430" s="2">
        <v>737708.01</v>
      </c>
      <c r="N1430">
        <f t="shared" si="27"/>
        <v>764876.61000000208</v>
      </c>
      <c r="O1430" s="9" t="s">
        <v>5</v>
      </c>
    </row>
    <row r="1431" spans="1:15" x14ac:dyDescent="0.2">
      <c r="A1431">
        <v>56</v>
      </c>
      <c r="B1431">
        <v>5</v>
      </c>
      <c r="C1431">
        <v>5</v>
      </c>
      <c r="D1431" s="2">
        <v>2</v>
      </c>
      <c r="E1431" s="2">
        <v>2</v>
      </c>
      <c r="F1431" s="2" t="s">
        <v>5</v>
      </c>
      <c r="G1431" s="2">
        <v>137.60000000004899</v>
      </c>
      <c r="H1431" s="2" t="s">
        <v>16</v>
      </c>
      <c r="I1431" s="2">
        <v>25397.999999995602</v>
      </c>
      <c r="J1431" s="2">
        <v>2000</v>
      </c>
      <c r="K1431" s="2">
        <v>300</v>
      </c>
      <c r="L1431" s="2">
        <v>0</v>
      </c>
      <c r="M1431" s="2">
        <v>740428.01</v>
      </c>
      <c r="N1431">
        <f t="shared" si="27"/>
        <v>765963.60999999568</v>
      </c>
      <c r="O1431" s="9" t="s">
        <v>5</v>
      </c>
    </row>
    <row r="1432" spans="1:15" x14ac:dyDescent="0.2">
      <c r="A1432">
        <v>57</v>
      </c>
      <c r="B1432">
        <v>5</v>
      </c>
      <c r="C1432">
        <v>5</v>
      </c>
      <c r="D1432" s="2">
        <v>2</v>
      </c>
      <c r="E1432" s="2">
        <v>3</v>
      </c>
      <c r="F1432" s="2" t="s">
        <v>5</v>
      </c>
      <c r="G1432" s="2">
        <v>183.39999999987799</v>
      </c>
      <c r="H1432" s="2" t="s">
        <v>16</v>
      </c>
      <c r="I1432" s="2">
        <v>44558.000000023399</v>
      </c>
      <c r="J1432" s="2">
        <v>2000</v>
      </c>
      <c r="K1432" s="2">
        <v>300</v>
      </c>
      <c r="L1432" s="2">
        <v>0</v>
      </c>
      <c r="M1432" s="2">
        <v>733708.81</v>
      </c>
      <c r="N1432">
        <f t="shared" si="27"/>
        <v>778450.21000002336</v>
      </c>
      <c r="O1432" s="9" t="s">
        <v>5</v>
      </c>
    </row>
    <row r="1433" spans="1:15" x14ac:dyDescent="0.2">
      <c r="A1433">
        <v>58</v>
      </c>
      <c r="B1433">
        <v>5</v>
      </c>
      <c r="C1433">
        <v>6</v>
      </c>
      <c r="D1433" s="2">
        <v>2</v>
      </c>
      <c r="E1433" s="2">
        <v>1</v>
      </c>
      <c r="F1433" s="2" t="s">
        <v>5</v>
      </c>
      <c r="G1433" s="2">
        <v>215.599999999228</v>
      </c>
      <c r="H1433" s="2" t="s">
        <v>16</v>
      </c>
      <c r="I1433" s="2">
        <v>56205.000000005602</v>
      </c>
      <c r="J1433" s="2">
        <v>2000</v>
      </c>
      <c r="K1433" s="2">
        <v>300</v>
      </c>
      <c r="L1433" s="2">
        <v>0</v>
      </c>
      <c r="M1433" s="2">
        <v>742831.21</v>
      </c>
      <c r="N1433">
        <f t="shared" si="27"/>
        <v>799251.81000000483</v>
      </c>
      <c r="O1433" s="9" t="s">
        <v>5</v>
      </c>
    </row>
    <row r="1434" spans="1:15" x14ac:dyDescent="0.2">
      <c r="A1434">
        <v>59</v>
      </c>
      <c r="B1434">
        <v>5</v>
      </c>
      <c r="C1434">
        <v>6</v>
      </c>
      <c r="D1434" s="2">
        <v>2</v>
      </c>
      <c r="E1434" s="2">
        <v>2</v>
      </c>
      <c r="F1434" s="2" t="s">
        <v>5</v>
      </c>
      <c r="G1434" s="2">
        <v>212.39999999984599</v>
      </c>
      <c r="H1434" s="2" t="s">
        <v>16</v>
      </c>
      <c r="I1434" s="2">
        <v>45035.000000012798</v>
      </c>
      <c r="J1434" s="2">
        <v>2000</v>
      </c>
      <c r="K1434" s="2">
        <v>300</v>
      </c>
      <c r="L1434" s="2">
        <v>0</v>
      </c>
      <c r="M1434" s="2">
        <v>739548.01</v>
      </c>
      <c r="N1434">
        <f t="shared" si="27"/>
        <v>784795.41000001261</v>
      </c>
      <c r="O1434" s="9" t="s">
        <v>5</v>
      </c>
    </row>
    <row r="1435" spans="1:15" x14ac:dyDescent="0.2">
      <c r="A1435">
        <v>60</v>
      </c>
      <c r="B1435">
        <v>5</v>
      </c>
      <c r="C1435">
        <v>6</v>
      </c>
      <c r="D1435" s="2">
        <v>2</v>
      </c>
      <c r="E1435" s="2">
        <v>3</v>
      </c>
      <c r="F1435" s="2" t="s">
        <v>5</v>
      </c>
      <c r="G1435" s="2">
        <v>288.40000000016602</v>
      </c>
      <c r="H1435" s="2" t="s">
        <v>16</v>
      </c>
      <c r="I1435" s="2">
        <v>150798.00000000899</v>
      </c>
      <c r="J1435" s="2">
        <v>2000</v>
      </c>
      <c r="K1435" s="2">
        <v>300</v>
      </c>
      <c r="L1435" s="2">
        <v>0</v>
      </c>
      <c r="M1435" s="2">
        <v>743149.61</v>
      </c>
      <c r="N1435">
        <f t="shared" si="27"/>
        <v>894236.01000000909</v>
      </c>
      <c r="O1435" s="9" t="s">
        <v>5</v>
      </c>
    </row>
    <row r="1436" spans="1:15" x14ac:dyDescent="0.2">
      <c r="A1436">
        <v>61</v>
      </c>
      <c r="B1436">
        <v>5</v>
      </c>
      <c r="C1436">
        <v>7</v>
      </c>
      <c r="D1436" s="2">
        <v>2</v>
      </c>
      <c r="E1436" s="2">
        <v>1</v>
      </c>
      <c r="F1436" s="2" t="s">
        <v>5</v>
      </c>
      <c r="G1436" s="2">
        <v>230.60000000043601</v>
      </c>
      <c r="H1436" s="2" t="s">
        <v>16</v>
      </c>
      <c r="I1436" s="2">
        <v>105615.99999999801</v>
      </c>
      <c r="J1436" s="2">
        <v>2000</v>
      </c>
      <c r="K1436" s="2">
        <v>300</v>
      </c>
      <c r="L1436" s="2">
        <v>0</v>
      </c>
      <c r="M1436" s="2">
        <v>782429.21</v>
      </c>
      <c r="N1436">
        <f t="shared" si="27"/>
        <v>888275.80999999843</v>
      </c>
      <c r="O1436" s="9" t="s">
        <v>5</v>
      </c>
    </row>
    <row r="1437" spans="1:15" x14ac:dyDescent="0.2">
      <c r="A1437">
        <v>62</v>
      </c>
      <c r="B1437">
        <v>5</v>
      </c>
      <c r="C1437">
        <v>7</v>
      </c>
      <c r="D1437" s="2">
        <v>2</v>
      </c>
      <c r="E1437" s="2">
        <v>2</v>
      </c>
      <c r="F1437" s="2" t="s">
        <v>5</v>
      </c>
      <c r="G1437" s="2">
        <v>233.80000000017299</v>
      </c>
      <c r="H1437" s="2" t="s">
        <v>16</v>
      </c>
      <c r="I1437" s="2">
        <v>102223.999999978</v>
      </c>
      <c r="J1437" s="2">
        <v>2000</v>
      </c>
      <c r="K1437" s="2">
        <v>300</v>
      </c>
      <c r="L1437" s="2">
        <v>0</v>
      </c>
      <c r="M1437" s="2">
        <v>736187.61</v>
      </c>
      <c r="N1437">
        <f t="shared" si="27"/>
        <v>838645.40999997815</v>
      </c>
      <c r="O1437" s="9" t="s">
        <v>5</v>
      </c>
    </row>
    <row r="1438" spans="1:15" x14ac:dyDescent="0.2">
      <c r="A1438">
        <v>63</v>
      </c>
      <c r="B1438">
        <v>5</v>
      </c>
      <c r="C1438">
        <v>7</v>
      </c>
      <c r="D1438" s="2">
        <v>2</v>
      </c>
      <c r="E1438" s="2">
        <v>3</v>
      </c>
      <c r="F1438" s="2" t="s">
        <v>5</v>
      </c>
      <c r="G1438" s="2">
        <v>359.799999999666</v>
      </c>
      <c r="H1438" s="2" t="s">
        <v>16</v>
      </c>
      <c r="I1438" s="2">
        <v>241534.99999999901</v>
      </c>
      <c r="J1438" s="2">
        <v>2000</v>
      </c>
      <c r="K1438" s="2">
        <v>300</v>
      </c>
      <c r="L1438" s="2">
        <v>0</v>
      </c>
      <c r="M1438" s="2">
        <v>747628.41</v>
      </c>
      <c r="N1438">
        <f t="shared" si="27"/>
        <v>989523.20999999868</v>
      </c>
      <c r="O1438" s="9" t="s">
        <v>4</v>
      </c>
    </row>
    <row r="1439" spans="1:15" x14ac:dyDescent="0.2">
      <c r="A1439">
        <v>64</v>
      </c>
      <c r="B1439">
        <v>5</v>
      </c>
      <c r="C1439">
        <v>8</v>
      </c>
      <c r="D1439" s="2">
        <v>2</v>
      </c>
      <c r="E1439" s="2">
        <v>1</v>
      </c>
      <c r="F1439" s="2" t="s">
        <v>5</v>
      </c>
      <c r="G1439" s="2">
        <v>274.00000000028501</v>
      </c>
      <c r="H1439" s="2" t="s">
        <v>16</v>
      </c>
      <c r="I1439" s="2">
        <v>128890.00000001299</v>
      </c>
      <c r="J1439" s="2">
        <v>2000</v>
      </c>
      <c r="K1439" s="2">
        <v>300</v>
      </c>
      <c r="L1439" s="2">
        <v>0</v>
      </c>
      <c r="M1439" s="2">
        <v>750350.41</v>
      </c>
      <c r="N1439">
        <f t="shared" si="27"/>
        <v>879514.4100000133</v>
      </c>
      <c r="O1439" s="9" t="s">
        <v>4</v>
      </c>
    </row>
    <row r="1440" spans="1:15" x14ac:dyDescent="0.2">
      <c r="A1440">
        <v>65</v>
      </c>
      <c r="B1440">
        <v>5</v>
      </c>
      <c r="C1440">
        <v>8</v>
      </c>
      <c r="D1440" s="2">
        <v>2</v>
      </c>
      <c r="E1440" s="2">
        <v>2</v>
      </c>
      <c r="F1440" s="2" t="s">
        <v>5</v>
      </c>
      <c r="G1440" s="2">
        <v>271.20000000024902</v>
      </c>
      <c r="H1440" s="2" t="s">
        <v>16</v>
      </c>
      <c r="I1440" s="2">
        <v>165955.999999994</v>
      </c>
      <c r="J1440" s="2">
        <v>2000</v>
      </c>
      <c r="K1440" s="2">
        <v>300</v>
      </c>
      <c r="L1440" s="2">
        <v>0</v>
      </c>
      <c r="M1440" s="2">
        <v>743068.01</v>
      </c>
      <c r="N1440">
        <f t="shared" si="27"/>
        <v>909295.20999999426</v>
      </c>
      <c r="O1440" s="9" t="s">
        <v>4</v>
      </c>
    </row>
    <row r="1441" spans="1:15" x14ac:dyDescent="0.2">
      <c r="A1441">
        <v>66</v>
      </c>
      <c r="B1441">
        <v>5</v>
      </c>
      <c r="C1441">
        <v>8</v>
      </c>
      <c r="D1441" s="2">
        <v>2</v>
      </c>
      <c r="E1441" s="2">
        <v>3</v>
      </c>
      <c r="F1441" s="2" t="s">
        <v>5</v>
      </c>
      <c r="G1441" s="2">
        <v>390.99999999976399</v>
      </c>
      <c r="H1441" s="2" t="s">
        <v>16</v>
      </c>
      <c r="I1441" s="2">
        <v>603557.99999999197</v>
      </c>
      <c r="J1441" s="2">
        <v>2000</v>
      </c>
      <c r="K1441" s="2">
        <v>300</v>
      </c>
      <c r="L1441" s="2">
        <v>0</v>
      </c>
      <c r="M1441" s="2">
        <v>752429.21</v>
      </c>
      <c r="N1441">
        <f t="shared" si="27"/>
        <v>1356378.2099999916</v>
      </c>
      <c r="O1441" s="9" t="s">
        <v>4</v>
      </c>
    </row>
    <row r="1442" spans="1:15" x14ac:dyDescent="0.2">
      <c r="A1442">
        <v>67</v>
      </c>
      <c r="B1442">
        <v>5</v>
      </c>
      <c r="C1442">
        <v>7</v>
      </c>
      <c r="D1442" s="2">
        <v>2</v>
      </c>
      <c r="E1442" s="2">
        <v>1</v>
      </c>
      <c r="F1442" s="2" t="s">
        <v>5</v>
      </c>
      <c r="G1442" s="2">
        <v>210.20000000007099</v>
      </c>
      <c r="H1442" s="2" t="s">
        <v>16</v>
      </c>
      <c r="I1442" s="2">
        <v>119817.999999981</v>
      </c>
      <c r="J1442" s="2">
        <v>2000</v>
      </c>
      <c r="K1442" s="2">
        <v>300</v>
      </c>
      <c r="L1442" s="2">
        <v>0</v>
      </c>
      <c r="M1442" s="2">
        <v>773308.01</v>
      </c>
      <c r="N1442">
        <f t="shared" si="27"/>
        <v>893336.2099999811</v>
      </c>
      <c r="O1442" s="9" t="s">
        <v>5</v>
      </c>
    </row>
    <row r="1443" spans="1:15" x14ac:dyDescent="0.2">
      <c r="A1443">
        <v>68</v>
      </c>
      <c r="B1443">
        <v>5</v>
      </c>
      <c r="C1443">
        <v>7</v>
      </c>
      <c r="D1443" s="2">
        <v>2</v>
      </c>
      <c r="E1443" s="2">
        <v>2</v>
      </c>
      <c r="F1443" s="2" t="s">
        <v>5</v>
      </c>
      <c r="G1443" s="2">
        <v>210.00000000022101</v>
      </c>
      <c r="H1443" s="2" t="s">
        <v>16</v>
      </c>
      <c r="I1443" s="2">
        <v>73575.000000005297</v>
      </c>
      <c r="J1443" s="2">
        <v>2000</v>
      </c>
      <c r="K1443" s="2">
        <v>300</v>
      </c>
      <c r="L1443" s="2">
        <v>0</v>
      </c>
      <c r="M1443" s="2">
        <v>745308.41</v>
      </c>
      <c r="N1443">
        <f t="shared" si="27"/>
        <v>819093.4100000055</v>
      </c>
      <c r="O1443" s="9" t="s">
        <v>5</v>
      </c>
    </row>
    <row r="1444" spans="1:15" x14ac:dyDescent="0.2">
      <c r="A1444">
        <v>69</v>
      </c>
      <c r="B1444">
        <v>5</v>
      </c>
      <c r="C1444">
        <v>7</v>
      </c>
      <c r="D1444" s="2">
        <v>2</v>
      </c>
      <c r="E1444" s="2">
        <v>3</v>
      </c>
      <c r="F1444" s="2" t="s">
        <v>5</v>
      </c>
      <c r="G1444" s="2">
        <v>292.59999999986502</v>
      </c>
      <c r="H1444" s="2" t="s">
        <v>16</v>
      </c>
      <c r="I1444" s="2">
        <v>260648.000000003</v>
      </c>
      <c r="J1444" s="2">
        <v>2000</v>
      </c>
      <c r="K1444" s="2">
        <v>300</v>
      </c>
      <c r="L1444" s="2">
        <v>0</v>
      </c>
      <c r="M1444" s="2">
        <v>737628.81</v>
      </c>
      <c r="N1444">
        <f t="shared" si="27"/>
        <v>998569.41000000294</v>
      </c>
      <c r="O1444" s="9" t="s">
        <v>4</v>
      </c>
    </row>
    <row r="1445" spans="1:15" x14ac:dyDescent="0.2">
      <c r="A1445">
        <v>28</v>
      </c>
      <c r="B1445">
        <v>5</v>
      </c>
      <c r="C1445">
        <v>4</v>
      </c>
      <c r="D1445" s="2">
        <v>2</v>
      </c>
      <c r="E1445" s="2">
        <v>1</v>
      </c>
      <c r="F1445" s="2" t="s">
        <v>5</v>
      </c>
      <c r="G1445" s="2">
        <v>541.19999999961999</v>
      </c>
      <c r="H1445" s="2" t="s">
        <v>16</v>
      </c>
      <c r="I1445" s="2">
        <v>40185.000000008098</v>
      </c>
      <c r="J1445" s="2">
        <v>1000</v>
      </c>
      <c r="K1445" s="2">
        <v>300</v>
      </c>
      <c r="L1445" s="2">
        <v>0</v>
      </c>
      <c r="M1445" s="2">
        <v>391668.41</v>
      </c>
      <c r="N1445">
        <f t="shared" si="27"/>
        <v>432394.61000000767</v>
      </c>
      <c r="O1445" s="2" t="s">
        <v>5</v>
      </c>
    </row>
    <row r="1446" spans="1:15" x14ac:dyDescent="0.2">
      <c r="A1446">
        <v>29</v>
      </c>
      <c r="B1446">
        <v>5</v>
      </c>
      <c r="C1446">
        <v>5</v>
      </c>
      <c r="D1446" s="2">
        <v>2</v>
      </c>
      <c r="E1446" s="2">
        <v>2</v>
      </c>
      <c r="F1446" s="2" t="s">
        <v>5</v>
      </c>
      <c r="G1446" s="2">
        <v>547.39999999959798</v>
      </c>
      <c r="H1446" s="2" t="s">
        <v>16</v>
      </c>
      <c r="I1446" s="2">
        <v>34695.999999996697</v>
      </c>
      <c r="J1446" s="2">
        <v>1000</v>
      </c>
      <c r="K1446" s="2">
        <v>300</v>
      </c>
      <c r="L1446" s="2">
        <v>0</v>
      </c>
      <c r="M1446" s="2">
        <v>377186.81</v>
      </c>
      <c r="N1446">
        <f t="shared" si="27"/>
        <v>412430.2099999963</v>
      </c>
      <c r="O1446" s="2" t="s">
        <v>5</v>
      </c>
    </row>
    <row r="1447" spans="1:15" x14ac:dyDescent="0.2">
      <c r="A1447">
        <v>30</v>
      </c>
      <c r="B1447">
        <v>5</v>
      </c>
      <c r="C1447">
        <v>5</v>
      </c>
      <c r="D1447" s="2">
        <v>2</v>
      </c>
      <c r="E1447" s="2">
        <v>3</v>
      </c>
      <c r="F1447" s="2" t="s">
        <v>5</v>
      </c>
      <c r="G1447" s="2">
        <v>598.60000000000502</v>
      </c>
      <c r="H1447" s="2" t="s">
        <v>16</v>
      </c>
      <c r="I1447" s="2">
        <v>78614.999999984997</v>
      </c>
      <c r="J1447" s="2">
        <v>1000</v>
      </c>
      <c r="K1447" s="2">
        <v>300</v>
      </c>
      <c r="L1447" s="2">
        <v>0</v>
      </c>
      <c r="M1447" s="2">
        <v>381227.61</v>
      </c>
      <c r="N1447">
        <f t="shared" si="27"/>
        <v>460441.209999985</v>
      </c>
      <c r="O1447" s="2" t="s">
        <v>5</v>
      </c>
    </row>
    <row r="1448" spans="1:15" x14ac:dyDescent="0.2">
      <c r="A1448">
        <v>31</v>
      </c>
      <c r="B1448">
        <v>5</v>
      </c>
      <c r="C1448">
        <v>5</v>
      </c>
      <c r="D1448" s="2">
        <v>2</v>
      </c>
      <c r="E1448" s="2">
        <v>1</v>
      </c>
      <c r="F1448" s="2" t="s">
        <v>5</v>
      </c>
      <c r="G1448" s="2">
        <v>351.19999999970702</v>
      </c>
      <c r="H1448" s="2" t="s">
        <v>16</v>
      </c>
      <c r="I1448" s="2">
        <v>51963.999999998101</v>
      </c>
      <c r="J1448" s="2">
        <v>1000</v>
      </c>
      <c r="K1448" s="2">
        <v>300</v>
      </c>
      <c r="L1448" s="2">
        <v>0</v>
      </c>
      <c r="M1448" s="2">
        <v>379107.21</v>
      </c>
      <c r="N1448">
        <f t="shared" si="27"/>
        <v>431422.40999999782</v>
      </c>
      <c r="O1448" s="2" t="s">
        <v>5</v>
      </c>
    </row>
    <row r="1449" spans="1:15" x14ac:dyDescent="0.2">
      <c r="A1449">
        <v>32</v>
      </c>
      <c r="B1449">
        <v>5</v>
      </c>
      <c r="C1449">
        <v>5</v>
      </c>
      <c r="D1449" s="2">
        <v>2</v>
      </c>
      <c r="E1449" s="2">
        <v>2</v>
      </c>
      <c r="F1449" s="2" t="s">
        <v>5</v>
      </c>
      <c r="G1449" s="2">
        <v>356.00000000002302</v>
      </c>
      <c r="H1449" s="2" t="s">
        <v>16</v>
      </c>
      <c r="I1449" s="2">
        <v>20672.999999987998</v>
      </c>
      <c r="J1449" s="2">
        <v>1000</v>
      </c>
      <c r="K1449" s="2">
        <v>300</v>
      </c>
      <c r="L1449" s="2">
        <v>0</v>
      </c>
      <c r="M1449" s="2">
        <v>376786.81</v>
      </c>
      <c r="N1449">
        <f t="shared" si="27"/>
        <v>397815.80999998801</v>
      </c>
      <c r="O1449" s="2" t="s">
        <v>5</v>
      </c>
    </row>
    <row r="1450" spans="1:15" x14ac:dyDescent="0.2">
      <c r="A1450">
        <v>33</v>
      </c>
      <c r="B1450">
        <v>5</v>
      </c>
      <c r="C1450">
        <v>5</v>
      </c>
      <c r="D1450" s="2">
        <v>2</v>
      </c>
      <c r="E1450" s="2">
        <v>3</v>
      </c>
      <c r="F1450" s="2" t="s">
        <v>5</v>
      </c>
      <c r="G1450" s="2">
        <v>485.39999999981399</v>
      </c>
      <c r="H1450" s="2" t="s">
        <v>16</v>
      </c>
      <c r="I1450" s="2">
        <v>60222.000000010201</v>
      </c>
      <c r="J1450" s="2">
        <v>1000</v>
      </c>
      <c r="K1450" s="2">
        <v>300</v>
      </c>
      <c r="L1450" s="2">
        <v>0</v>
      </c>
      <c r="M1450" s="2">
        <v>380427.21</v>
      </c>
      <c r="N1450">
        <f t="shared" si="27"/>
        <v>441134.61000001006</v>
      </c>
      <c r="O1450" s="2" t="s">
        <v>5</v>
      </c>
    </row>
    <row r="1451" spans="1:15" x14ac:dyDescent="0.2">
      <c r="A1451">
        <v>34</v>
      </c>
      <c r="B1451">
        <v>5</v>
      </c>
      <c r="C1451">
        <v>5</v>
      </c>
      <c r="D1451" s="2">
        <v>2</v>
      </c>
      <c r="E1451" s="2">
        <v>1</v>
      </c>
      <c r="F1451" s="2" t="s">
        <v>5</v>
      </c>
      <c r="G1451" s="2">
        <v>307.60000000000798</v>
      </c>
      <c r="H1451" s="2" t="s">
        <v>16</v>
      </c>
      <c r="I1451" s="2">
        <v>19947.000000001899</v>
      </c>
      <c r="J1451" s="2">
        <v>1000</v>
      </c>
      <c r="K1451" s="2">
        <v>300</v>
      </c>
      <c r="L1451" s="2">
        <v>0</v>
      </c>
      <c r="M1451" s="2">
        <v>378907.21</v>
      </c>
      <c r="N1451">
        <f t="shared" si="27"/>
        <v>399161.81000000192</v>
      </c>
      <c r="O1451" s="2" t="s">
        <v>5</v>
      </c>
    </row>
    <row r="1452" spans="1:15" x14ac:dyDescent="0.2">
      <c r="A1452">
        <v>35</v>
      </c>
      <c r="B1452">
        <v>5</v>
      </c>
      <c r="C1452">
        <v>6</v>
      </c>
      <c r="D1452" s="2">
        <v>2</v>
      </c>
      <c r="E1452" s="2">
        <v>1</v>
      </c>
      <c r="F1452" s="2" t="s">
        <v>5</v>
      </c>
      <c r="G1452" s="2">
        <v>378.80000000036802</v>
      </c>
      <c r="H1452" s="2" t="s">
        <v>16</v>
      </c>
      <c r="I1452" s="2">
        <v>67833.000000007407</v>
      </c>
      <c r="J1452" s="2">
        <v>1000</v>
      </c>
      <c r="K1452" s="2">
        <v>300</v>
      </c>
      <c r="L1452" s="2">
        <v>0</v>
      </c>
      <c r="M1452" s="2">
        <v>408347.21</v>
      </c>
      <c r="N1452">
        <f t="shared" si="27"/>
        <v>476559.01000000781</v>
      </c>
      <c r="O1452" s="2" t="s">
        <v>5</v>
      </c>
    </row>
    <row r="1453" spans="1:15" x14ac:dyDescent="0.2">
      <c r="A1453">
        <v>36</v>
      </c>
      <c r="B1453">
        <v>5</v>
      </c>
      <c r="C1453">
        <v>6</v>
      </c>
      <c r="D1453" s="2">
        <v>2</v>
      </c>
      <c r="E1453" s="2">
        <v>2</v>
      </c>
      <c r="F1453" s="2" t="s">
        <v>5</v>
      </c>
      <c r="G1453" s="2">
        <v>225.399999999709</v>
      </c>
      <c r="H1453" s="2" t="s">
        <v>16</v>
      </c>
      <c r="I1453" s="2">
        <v>85232.000000019107</v>
      </c>
      <c r="J1453" s="2">
        <v>1000</v>
      </c>
      <c r="K1453" s="2">
        <v>300</v>
      </c>
      <c r="L1453" s="2">
        <v>0</v>
      </c>
      <c r="M1453" s="2">
        <v>393387.61</v>
      </c>
      <c r="N1453">
        <f t="shared" si="27"/>
        <v>478845.01000001881</v>
      </c>
      <c r="O1453" s="2" t="s">
        <v>4</v>
      </c>
    </row>
    <row r="1454" spans="1:15" x14ac:dyDescent="0.2">
      <c r="A1454">
        <v>37</v>
      </c>
      <c r="B1454">
        <v>5</v>
      </c>
      <c r="C1454">
        <v>6</v>
      </c>
      <c r="D1454" s="2">
        <v>2</v>
      </c>
      <c r="E1454" s="2">
        <v>3</v>
      </c>
      <c r="F1454" s="2" t="s">
        <v>5</v>
      </c>
      <c r="G1454" s="2">
        <v>317.40000000049002</v>
      </c>
      <c r="H1454" s="2" t="s">
        <v>16</v>
      </c>
      <c r="I1454" s="2">
        <v>429632.99999999598</v>
      </c>
      <c r="J1454" s="2">
        <v>1000</v>
      </c>
      <c r="K1454" s="2">
        <v>300</v>
      </c>
      <c r="L1454" s="2">
        <v>0</v>
      </c>
      <c r="M1454" s="2">
        <v>405307.21</v>
      </c>
      <c r="N1454">
        <f t="shared" si="27"/>
        <v>835257.60999999649</v>
      </c>
      <c r="O1454" s="2" t="s">
        <v>4</v>
      </c>
    </row>
    <row r="1455" spans="1:15" x14ac:dyDescent="0.2">
      <c r="A1455">
        <v>38</v>
      </c>
      <c r="B1455">
        <v>5</v>
      </c>
      <c r="C1455">
        <v>6</v>
      </c>
      <c r="D1455" s="2">
        <v>2</v>
      </c>
      <c r="E1455" s="2">
        <v>1</v>
      </c>
      <c r="F1455" s="2" t="s">
        <v>5</v>
      </c>
      <c r="G1455" s="2">
        <v>206.39999999971801</v>
      </c>
      <c r="H1455" s="2" t="s">
        <v>16</v>
      </c>
      <c r="I1455" s="2">
        <v>58606.999999995001</v>
      </c>
      <c r="J1455" s="2">
        <v>1000</v>
      </c>
      <c r="K1455" s="2">
        <v>300</v>
      </c>
      <c r="L1455" s="2">
        <v>0</v>
      </c>
      <c r="M1455" s="2">
        <v>408466.81</v>
      </c>
      <c r="N1455">
        <f t="shared" si="27"/>
        <v>467280.20999999472</v>
      </c>
      <c r="O1455" s="2" t="s">
        <v>5</v>
      </c>
    </row>
    <row r="1456" spans="1:15" x14ac:dyDescent="0.2">
      <c r="A1456">
        <v>39</v>
      </c>
      <c r="B1456">
        <v>5</v>
      </c>
      <c r="C1456">
        <v>7</v>
      </c>
      <c r="D1456" s="2">
        <v>2</v>
      </c>
      <c r="E1456" s="2">
        <v>1</v>
      </c>
      <c r="F1456" s="2" t="s">
        <v>5</v>
      </c>
      <c r="G1456" s="2">
        <v>257.600000000124</v>
      </c>
      <c r="H1456" s="2" t="s">
        <v>16</v>
      </c>
      <c r="I1456" s="2">
        <v>172606.00000000201</v>
      </c>
      <c r="J1456" s="2">
        <v>1000</v>
      </c>
      <c r="K1456" s="2">
        <v>300</v>
      </c>
      <c r="L1456" s="2">
        <v>0</v>
      </c>
      <c r="M1456" s="2">
        <v>412827.61</v>
      </c>
      <c r="N1456">
        <f t="shared" si="27"/>
        <v>585691.21000000206</v>
      </c>
      <c r="O1456" s="2" t="s">
        <v>5</v>
      </c>
    </row>
    <row r="1457" spans="1:15" x14ac:dyDescent="0.2">
      <c r="A1457">
        <v>40</v>
      </c>
      <c r="B1457">
        <v>5</v>
      </c>
      <c r="C1457">
        <v>7</v>
      </c>
      <c r="D1457" s="2">
        <v>2</v>
      </c>
      <c r="E1457" s="2">
        <v>2</v>
      </c>
      <c r="F1457" s="2" t="s">
        <v>5</v>
      </c>
      <c r="G1457" s="2">
        <v>242.59999999962599</v>
      </c>
      <c r="H1457" s="2" t="s">
        <v>16</v>
      </c>
      <c r="I1457" s="2">
        <v>100393.999999994</v>
      </c>
      <c r="J1457" s="2">
        <v>1000</v>
      </c>
      <c r="K1457" s="2">
        <v>300</v>
      </c>
      <c r="L1457" s="2">
        <v>0</v>
      </c>
      <c r="M1457" s="2">
        <v>396068.01</v>
      </c>
      <c r="N1457">
        <f t="shared" si="27"/>
        <v>496704.60999999364</v>
      </c>
      <c r="O1457" s="2" t="s">
        <v>4</v>
      </c>
    </row>
    <row r="1458" spans="1:15" x14ac:dyDescent="0.2">
      <c r="A1458">
        <v>41</v>
      </c>
      <c r="B1458">
        <v>5</v>
      </c>
      <c r="C1458">
        <v>7</v>
      </c>
      <c r="D1458" s="2">
        <v>2</v>
      </c>
      <c r="E1458" s="2">
        <v>3</v>
      </c>
      <c r="F1458" s="2" t="s">
        <v>5</v>
      </c>
      <c r="G1458" s="2">
        <v>354.20000000030399</v>
      </c>
      <c r="H1458" s="2" t="s">
        <v>16</v>
      </c>
      <c r="I1458" s="2">
        <v>409392.00000002497</v>
      </c>
      <c r="J1458" s="2">
        <v>1000</v>
      </c>
      <c r="K1458" s="2">
        <v>300</v>
      </c>
      <c r="L1458" s="2">
        <v>0</v>
      </c>
      <c r="M1458" s="2">
        <v>405388.81</v>
      </c>
      <c r="N1458">
        <f t="shared" si="27"/>
        <v>815135.01000002527</v>
      </c>
      <c r="O1458" s="2" t="s">
        <v>4</v>
      </c>
    </row>
    <row r="1459" spans="1:15" x14ac:dyDescent="0.2">
      <c r="A1459">
        <v>42</v>
      </c>
      <c r="B1459">
        <v>5</v>
      </c>
      <c r="C1459">
        <v>4</v>
      </c>
      <c r="D1459" s="2">
        <v>2</v>
      </c>
      <c r="E1459" s="2">
        <v>1</v>
      </c>
      <c r="F1459" s="2" t="s">
        <v>5</v>
      </c>
      <c r="G1459" s="2">
        <v>129.800000000202</v>
      </c>
      <c r="H1459" s="2" t="s">
        <v>16</v>
      </c>
      <c r="I1459" s="2">
        <v>11878.999999993301</v>
      </c>
      <c r="J1459" s="2">
        <v>1000</v>
      </c>
      <c r="K1459" s="2">
        <v>300</v>
      </c>
      <c r="L1459" s="2">
        <v>0</v>
      </c>
      <c r="M1459" s="2">
        <v>378067.21</v>
      </c>
      <c r="N1459">
        <f t="shared" si="27"/>
        <v>390076.00999999355</v>
      </c>
      <c r="O1459" s="2" t="s">
        <v>5</v>
      </c>
    </row>
    <row r="1460" spans="1:15" x14ac:dyDescent="0.2">
      <c r="A1460">
        <v>43</v>
      </c>
      <c r="B1460">
        <v>5</v>
      </c>
      <c r="C1460">
        <v>5</v>
      </c>
      <c r="D1460" s="2">
        <v>2</v>
      </c>
      <c r="E1460" s="2">
        <v>1</v>
      </c>
      <c r="F1460" s="2" t="s">
        <v>5</v>
      </c>
      <c r="G1460" s="2">
        <v>157.00000000009601</v>
      </c>
      <c r="H1460" s="2" t="s">
        <v>16</v>
      </c>
      <c r="I1460" s="2">
        <v>17081.999999987798</v>
      </c>
      <c r="J1460" s="2">
        <v>1000</v>
      </c>
      <c r="K1460" s="2">
        <v>300</v>
      </c>
      <c r="L1460" s="2">
        <v>0</v>
      </c>
      <c r="M1460" s="2">
        <v>380427.21</v>
      </c>
      <c r="N1460">
        <f t="shared" si="27"/>
        <v>397666.20999998791</v>
      </c>
      <c r="O1460" s="2" t="s">
        <v>5</v>
      </c>
    </row>
    <row r="1461" spans="1:15" x14ac:dyDescent="0.2">
      <c r="A1461">
        <v>44</v>
      </c>
      <c r="B1461">
        <v>5</v>
      </c>
      <c r="C1461">
        <v>5</v>
      </c>
      <c r="D1461" s="2">
        <v>2</v>
      </c>
      <c r="E1461" s="2">
        <v>2</v>
      </c>
      <c r="F1461" s="2" t="s">
        <v>5</v>
      </c>
      <c r="G1461" s="2">
        <v>156.599999999685</v>
      </c>
      <c r="H1461" s="2" t="s">
        <v>16</v>
      </c>
      <c r="I1461" s="2">
        <v>24732.0000000002</v>
      </c>
      <c r="J1461" s="2">
        <v>1000</v>
      </c>
      <c r="K1461" s="2">
        <v>300</v>
      </c>
      <c r="L1461" s="2">
        <v>0</v>
      </c>
      <c r="M1461" s="2">
        <v>379867.61</v>
      </c>
      <c r="N1461">
        <f t="shared" si="27"/>
        <v>404756.20999999985</v>
      </c>
      <c r="O1461" s="2" t="s">
        <v>5</v>
      </c>
    </row>
    <row r="1462" spans="1:15" x14ac:dyDescent="0.2">
      <c r="A1462">
        <v>45</v>
      </c>
      <c r="B1462">
        <v>5</v>
      </c>
      <c r="C1462">
        <v>5</v>
      </c>
      <c r="D1462" s="2">
        <v>2</v>
      </c>
      <c r="E1462" s="2">
        <v>3</v>
      </c>
      <c r="F1462" s="2" t="s">
        <v>5</v>
      </c>
      <c r="G1462" s="2">
        <v>211.00000000018301</v>
      </c>
      <c r="H1462" s="2" t="s">
        <v>16</v>
      </c>
      <c r="I1462" s="2">
        <v>56737.9999999957</v>
      </c>
      <c r="J1462" s="2">
        <v>1000</v>
      </c>
      <c r="K1462" s="2">
        <v>300</v>
      </c>
      <c r="L1462" s="2">
        <v>0</v>
      </c>
      <c r="M1462" s="2">
        <v>377427.61</v>
      </c>
      <c r="N1462">
        <f t="shared" si="27"/>
        <v>434376.60999999585</v>
      </c>
      <c r="O1462" s="2" t="s">
        <v>5</v>
      </c>
    </row>
    <row r="1463" spans="1:15" x14ac:dyDescent="0.2">
      <c r="A1463">
        <v>46</v>
      </c>
      <c r="B1463">
        <v>5</v>
      </c>
      <c r="C1463">
        <v>6</v>
      </c>
      <c r="D1463" s="2">
        <v>2</v>
      </c>
      <c r="E1463" s="2">
        <v>1</v>
      </c>
      <c r="F1463" s="2" t="s">
        <v>5</v>
      </c>
      <c r="G1463" s="2">
        <v>189.400000000006</v>
      </c>
      <c r="H1463" s="2" t="s">
        <v>16</v>
      </c>
      <c r="I1463" s="2">
        <v>68061.000000000204</v>
      </c>
      <c r="J1463" s="2">
        <v>1000</v>
      </c>
      <c r="K1463" s="2">
        <v>300</v>
      </c>
      <c r="L1463" s="2">
        <v>0</v>
      </c>
      <c r="M1463" s="2">
        <v>379508.81</v>
      </c>
      <c r="N1463">
        <f t="shared" si="27"/>
        <v>447759.2100000002</v>
      </c>
      <c r="O1463" s="2" t="s">
        <v>5</v>
      </c>
    </row>
    <row r="1464" spans="1:15" x14ac:dyDescent="0.2">
      <c r="A1464">
        <v>47</v>
      </c>
      <c r="B1464">
        <v>5</v>
      </c>
      <c r="C1464">
        <v>6</v>
      </c>
      <c r="D1464" s="2">
        <v>2</v>
      </c>
      <c r="E1464" s="2">
        <v>2</v>
      </c>
      <c r="F1464" s="2" t="s">
        <v>5</v>
      </c>
      <c r="G1464" s="2">
        <v>193.80000000026601</v>
      </c>
      <c r="H1464" s="2" t="s">
        <v>16</v>
      </c>
      <c r="I1464" s="2">
        <v>55103.000000002598</v>
      </c>
      <c r="J1464" s="2">
        <v>1000</v>
      </c>
      <c r="K1464" s="2">
        <v>300</v>
      </c>
      <c r="L1464" s="2">
        <v>0</v>
      </c>
      <c r="M1464" s="2">
        <v>380267.21</v>
      </c>
      <c r="N1464">
        <f t="shared" si="27"/>
        <v>435564.01000000286</v>
      </c>
      <c r="O1464" s="2" t="s">
        <v>5</v>
      </c>
    </row>
    <row r="1465" spans="1:15" x14ac:dyDescent="0.2">
      <c r="A1465">
        <v>48</v>
      </c>
      <c r="B1465">
        <v>5</v>
      </c>
      <c r="C1465">
        <v>6</v>
      </c>
      <c r="D1465" s="2">
        <v>2</v>
      </c>
      <c r="E1465" s="2">
        <v>3</v>
      </c>
      <c r="F1465" s="2" t="s">
        <v>5</v>
      </c>
      <c r="G1465" s="2">
        <v>249.79999999992199</v>
      </c>
      <c r="H1465" s="2" t="s">
        <v>16</v>
      </c>
      <c r="I1465" s="2">
        <v>121555.000000001</v>
      </c>
      <c r="J1465" s="2">
        <v>1000</v>
      </c>
      <c r="K1465" s="2">
        <v>300</v>
      </c>
      <c r="L1465" s="2">
        <v>0</v>
      </c>
      <c r="M1465" s="2">
        <v>409507.21</v>
      </c>
      <c r="N1465">
        <f t="shared" si="27"/>
        <v>531312.01000000094</v>
      </c>
      <c r="O1465" s="2" t="s">
        <v>4</v>
      </c>
    </row>
    <row r="1466" spans="1:15" x14ac:dyDescent="0.2">
      <c r="A1466">
        <v>49</v>
      </c>
      <c r="B1466">
        <v>5</v>
      </c>
      <c r="C1466">
        <v>6</v>
      </c>
      <c r="D1466" s="2">
        <v>2</v>
      </c>
      <c r="E1466" s="2">
        <v>1</v>
      </c>
      <c r="F1466" s="2" t="s">
        <v>5</v>
      </c>
      <c r="G1466" s="2">
        <v>183.19999999931699</v>
      </c>
      <c r="H1466" s="2" t="s">
        <v>16</v>
      </c>
      <c r="I1466" s="2">
        <v>41121.000000004002</v>
      </c>
      <c r="J1466" s="2">
        <v>1000</v>
      </c>
      <c r="K1466" s="2">
        <v>300</v>
      </c>
      <c r="L1466" s="2">
        <v>0</v>
      </c>
      <c r="M1466" s="2">
        <v>376068.01</v>
      </c>
      <c r="N1466">
        <f t="shared" si="27"/>
        <v>417372.21000000334</v>
      </c>
      <c r="O1466" s="2" t="s">
        <v>5</v>
      </c>
    </row>
    <row r="1467" spans="1:15" x14ac:dyDescent="0.2">
      <c r="A1467">
        <v>50</v>
      </c>
      <c r="B1467">
        <v>5</v>
      </c>
      <c r="C1467">
        <v>6</v>
      </c>
      <c r="D1467" s="2">
        <v>2</v>
      </c>
      <c r="E1467" s="2">
        <v>2</v>
      </c>
      <c r="F1467" s="2" t="s">
        <v>5</v>
      </c>
      <c r="G1467" s="2">
        <v>190.800000000024</v>
      </c>
      <c r="H1467" s="2" t="s">
        <v>16</v>
      </c>
      <c r="I1467" s="2">
        <v>50727.999999992302</v>
      </c>
      <c r="J1467" s="2">
        <v>1000</v>
      </c>
      <c r="K1467" s="2">
        <v>300</v>
      </c>
      <c r="L1467" s="2">
        <v>0</v>
      </c>
      <c r="M1467" s="2">
        <v>391747.61</v>
      </c>
      <c r="N1467">
        <f t="shared" si="27"/>
        <v>442666.40999999229</v>
      </c>
      <c r="O1467" s="2" t="s">
        <v>5</v>
      </c>
    </row>
    <row r="1468" spans="1:15" x14ac:dyDescent="0.2">
      <c r="A1468">
        <v>51</v>
      </c>
      <c r="B1468">
        <v>5</v>
      </c>
      <c r="C1468">
        <v>6</v>
      </c>
      <c r="D1468" s="2">
        <v>2</v>
      </c>
      <c r="E1468" s="2">
        <v>3</v>
      </c>
      <c r="F1468" s="2" t="s">
        <v>5</v>
      </c>
      <c r="G1468" s="2">
        <v>252.19999999990301</v>
      </c>
      <c r="H1468" s="2" t="s">
        <v>16</v>
      </c>
      <c r="I1468" s="2">
        <v>139174.99999999499</v>
      </c>
      <c r="J1468" s="2">
        <v>1000</v>
      </c>
      <c r="K1468" s="2">
        <v>300</v>
      </c>
      <c r="L1468" s="2">
        <v>0</v>
      </c>
      <c r="M1468" s="2">
        <v>393067.61</v>
      </c>
      <c r="N1468">
        <f t="shared" si="27"/>
        <v>532494.80999999493</v>
      </c>
      <c r="O1468" s="2" t="s">
        <v>5</v>
      </c>
    </row>
    <row r="1469" spans="1:15" x14ac:dyDescent="0.2">
      <c r="A1469">
        <v>52</v>
      </c>
      <c r="B1469">
        <v>5</v>
      </c>
      <c r="C1469">
        <v>7</v>
      </c>
      <c r="D1469" s="2">
        <v>2</v>
      </c>
      <c r="E1469" s="2">
        <v>1</v>
      </c>
      <c r="F1469" s="2" t="s">
        <v>5</v>
      </c>
      <c r="G1469" s="2">
        <v>219.40000000029201</v>
      </c>
      <c r="H1469" s="2" t="s">
        <v>16</v>
      </c>
      <c r="I1469" s="2">
        <v>49910.000000011198</v>
      </c>
      <c r="J1469" s="2">
        <v>1000</v>
      </c>
      <c r="K1469" s="2">
        <v>300</v>
      </c>
      <c r="L1469" s="2">
        <v>0</v>
      </c>
      <c r="M1469" s="2">
        <v>377428.81</v>
      </c>
      <c r="N1469">
        <f t="shared" si="27"/>
        <v>427558.21000001149</v>
      </c>
      <c r="O1469" s="2" t="s">
        <v>5</v>
      </c>
    </row>
    <row r="1470" spans="1:15" x14ac:dyDescent="0.2">
      <c r="A1470">
        <v>53</v>
      </c>
      <c r="B1470">
        <v>5</v>
      </c>
      <c r="C1470">
        <v>7</v>
      </c>
      <c r="D1470" s="2">
        <v>2</v>
      </c>
      <c r="E1470" s="2">
        <v>2</v>
      </c>
      <c r="F1470" s="2" t="s">
        <v>5</v>
      </c>
      <c r="G1470" s="2">
        <v>218.80000000038501</v>
      </c>
      <c r="H1470" s="2" t="s">
        <v>16</v>
      </c>
      <c r="I1470" s="2">
        <v>113836.99999999</v>
      </c>
      <c r="J1470" s="2">
        <v>1000</v>
      </c>
      <c r="K1470" s="2">
        <v>300</v>
      </c>
      <c r="L1470" s="2">
        <v>0</v>
      </c>
      <c r="M1470" s="2">
        <v>394747.21</v>
      </c>
      <c r="N1470">
        <f t="shared" si="27"/>
        <v>508803.00999999041</v>
      </c>
      <c r="O1470" s="2" t="s">
        <v>5</v>
      </c>
    </row>
    <row r="1471" spans="1:15" x14ac:dyDescent="0.2">
      <c r="A1471">
        <v>54</v>
      </c>
      <c r="B1471">
        <v>5</v>
      </c>
      <c r="C1471">
        <v>7</v>
      </c>
      <c r="D1471" s="2">
        <v>2</v>
      </c>
      <c r="E1471" s="2">
        <v>3</v>
      </c>
      <c r="F1471" s="2" t="s">
        <v>5</v>
      </c>
      <c r="G1471" s="2">
        <v>306.40000000019501</v>
      </c>
      <c r="H1471" s="2" t="s">
        <v>16</v>
      </c>
      <c r="I1471" s="2">
        <v>434876.00000000303</v>
      </c>
      <c r="J1471" s="2">
        <v>1000</v>
      </c>
      <c r="K1471" s="2">
        <v>300</v>
      </c>
      <c r="L1471" s="2">
        <v>0</v>
      </c>
      <c r="M1471" s="2">
        <v>413149.61</v>
      </c>
      <c r="N1471">
        <f t="shared" si="27"/>
        <v>848332.01000000327</v>
      </c>
      <c r="O1471" s="2" t="s">
        <v>4</v>
      </c>
    </row>
    <row r="1472" spans="1:15" x14ac:dyDescent="0.2">
      <c r="A1472">
        <v>55</v>
      </c>
      <c r="B1472">
        <v>5</v>
      </c>
      <c r="C1472">
        <v>5</v>
      </c>
      <c r="D1472" s="2">
        <v>2</v>
      </c>
      <c r="E1472" s="2">
        <v>1</v>
      </c>
      <c r="F1472" s="2" t="s">
        <v>5</v>
      </c>
      <c r="G1472" s="2">
        <v>140.60000000064599</v>
      </c>
      <c r="H1472" s="2" t="s">
        <v>16</v>
      </c>
      <c r="I1472" s="2">
        <v>27028.000000001401</v>
      </c>
      <c r="J1472" s="2">
        <v>1000</v>
      </c>
      <c r="K1472" s="2">
        <v>300</v>
      </c>
      <c r="L1472" s="2">
        <v>0</v>
      </c>
      <c r="M1472" s="2">
        <v>378467.61</v>
      </c>
      <c r="N1472">
        <f t="shared" si="27"/>
        <v>405636.21000000206</v>
      </c>
      <c r="O1472" s="2" t="s">
        <v>5</v>
      </c>
    </row>
    <row r="1473" spans="1:15" x14ac:dyDescent="0.2">
      <c r="A1473">
        <v>56</v>
      </c>
      <c r="B1473">
        <v>5</v>
      </c>
      <c r="C1473">
        <v>5</v>
      </c>
      <c r="D1473" s="2">
        <v>2</v>
      </c>
      <c r="E1473" s="2">
        <v>2</v>
      </c>
      <c r="F1473" s="2" t="s">
        <v>5</v>
      </c>
      <c r="G1473" s="2">
        <v>137.60000000004899</v>
      </c>
      <c r="H1473" s="2" t="s">
        <v>16</v>
      </c>
      <c r="I1473" s="2">
        <v>25397.999999995602</v>
      </c>
      <c r="J1473" s="2">
        <v>1000</v>
      </c>
      <c r="K1473" s="2">
        <v>300</v>
      </c>
      <c r="L1473" s="2">
        <v>0</v>
      </c>
      <c r="M1473" s="2">
        <v>379827.61</v>
      </c>
      <c r="N1473">
        <f t="shared" si="27"/>
        <v>405363.20999999566</v>
      </c>
      <c r="O1473" s="2" t="s">
        <v>5</v>
      </c>
    </row>
    <row r="1474" spans="1:15" x14ac:dyDescent="0.2">
      <c r="A1474">
        <v>57</v>
      </c>
      <c r="B1474">
        <v>5</v>
      </c>
      <c r="C1474">
        <v>5</v>
      </c>
      <c r="D1474" s="2">
        <v>2</v>
      </c>
      <c r="E1474" s="2">
        <v>3</v>
      </c>
      <c r="F1474" s="2" t="s">
        <v>5</v>
      </c>
      <c r="G1474" s="2">
        <v>183.39999999987799</v>
      </c>
      <c r="H1474" s="2" t="s">
        <v>16</v>
      </c>
      <c r="I1474" s="2">
        <v>44558.000000023399</v>
      </c>
      <c r="J1474" s="2">
        <v>1000</v>
      </c>
      <c r="K1474" s="2">
        <v>300</v>
      </c>
      <c r="L1474" s="2">
        <v>0</v>
      </c>
      <c r="M1474" s="2">
        <v>376468.41</v>
      </c>
      <c r="N1474">
        <f t="shared" si="27"/>
        <v>421209.81000002322</v>
      </c>
      <c r="O1474" s="2" t="s">
        <v>5</v>
      </c>
    </row>
    <row r="1475" spans="1:15" x14ac:dyDescent="0.2">
      <c r="A1475">
        <v>58</v>
      </c>
      <c r="B1475">
        <v>5</v>
      </c>
      <c r="C1475">
        <v>6</v>
      </c>
      <c r="D1475" s="2">
        <v>2</v>
      </c>
      <c r="E1475" s="2">
        <v>1</v>
      </c>
      <c r="F1475" s="2" t="s">
        <v>5</v>
      </c>
      <c r="G1475" s="2">
        <v>215.599999999228</v>
      </c>
      <c r="H1475" s="2" t="s">
        <v>16</v>
      </c>
      <c r="I1475" s="2">
        <v>56205.000000005602</v>
      </c>
      <c r="J1475" s="2">
        <v>1000</v>
      </c>
      <c r="K1475" s="2">
        <v>300</v>
      </c>
      <c r="L1475" s="2">
        <v>0</v>
      </c>
      <c r="M1475" s="2">
        <v>381030.81</v>
      </c>
      <c r="N1475">
        <f t="shared" si="27"/>
        <v>437451.41000000481</v>
      </c>
      <c r="O1475" s="2" t="s">
        <v>5</v>
      </c>
    </row>
    <row r="1476" spans="1:15" x14ac:dyDescent="0.2">
      <c r="A1476">
        <v>59</v>
      </c>
      <c r="B1476">
        <v>5</v>
      </c>
      <c r="C1476">
        <v>6</v>
      </c>
      <c r="D1476" s="2">
        <v>2</v>
      </c>
      <c r="E1476" s="2">
        <v>2</v>
      </c>
      <c r="F1476" s="2" t="s">
        <v>5</v>
      </c>
      <c r="G1476" s="2">
        <v>212.39999999984599</v>
      </c>
      <c r="H1476" s="2" t="s">
        <v>16</v>
      </c>
      <c r="I1476" s="2">
        <v>45035.000000012798</v>
      </c>
      <c r="J1476" s="2">
        <v>1000</v>
      </c>
      <c r="K1476" s="2">
        <v>300</v>
      </c>
      <c r="L1476" s="2">
        <v>0</v>
      </c>
      <c r="M1476" s="2">
        <v>379387.61</v>
      </c>
      <c r="N1476">
        <f t="shared" si="27"/>
        <v>424635.01000001264</v>
      </c>
      <c r="O1476" s="2" t="s">
        <v>5</v>
      </c>
    </row>
    <row r="1477" spans="1:15" x14ac:dyDescent="0.2">
      <c r="A1477">
        <v>60</v>
      </c>
      <c r="B1477">
        <v>5</v>
      </c>
      <c r="C1477">
        <v>6</v>
      </c>
      <c r="D1477" s="2">
        <v>2</v>
      </c>
      <c r="E1477" s="2">
        <v>3</v>
      </c>
      <c r="F1477" s="2" t="s">
        <v>5</v>
      </c>
      <c r="G1477" s="2">
        <v>288.40000000016602</v>
      </c>
      <c r="H1477" s="2" t="s">
        <v>16</v>
      </c>
      <c r="I1477" s="2">
        <v>150798.00000000899</v>
      </c>
      <c r="J1477" s="2">
        <v>1000</v>
      </c>
      <c r="K1477" s="2">
        <v>300</v>
      </c>
      <c r="L1477" s="2">
        <v>0</v>
      </c>
      <c r="M1477" s="2">
        <v>381189.21</v>
      </c>
      <c r="N1477">
        <f t="shared" si="27"/>
        <v>532275.61000000918</v>
      </c>
      <c r="O1477" s="2" t="s">
        <v>4</v>
      </c>
    </row>
    <row r="1478" spans="1:15" x14ac:dyDescent="0.2">
      <c r="A1478">
        <v>61</v>
      </c>
      <c r="B1478">
        <v>5</v>
      </c>
      <c r="C1478">
        <v>7</v>
      </c>
      <c r="D1478" s="2">
        <v>2</v>
      </c>
      <c r="E1478" s="2">
        <v>1</v>
      </c>
      <c r="F1478" s="2" t="s">
        <v>5</v>
      </c>
      <c r="G1478" s="2">
        <v>230.60000000043601</v>
      </c>
      <c r="H1478" s="2" t="s">
        <v>16</v>
      </c>
      <c r="I1478" s="2">
        <v>105615.99999999801</v>
      </c>
      <c r="J1478" s="2">
        <v>1000</v>
      </c>
      <c r="K1478" s="2">
        <v>300</v>
      </c>
      <c r="L1478" s="2">
        <v>0</v>
      </c>
      <c r="M1478" s="2">
        <v>400828.81</v>
      </c>
      <c r="N1478">
        <f t="shared" si="27"/>
        <v>506675.40999999846</v>
      </c>
      <c r="O1478" s="2" t="s">
        <v>5</v>
      </c>
    </row>
    <row r="1479" spans="1:15" x14ac:dyDescent="0.2">
      <c r="A1479">
        <v>62</v>
      </c>
      <c r="B1479">
        <v>5</v>
      </c>
      <c r="C1479">
        <v>7</v>
      </c>
      <c r="D1479" s="2">
        <v>2</v>
      </c>
      <c r="E1479" s="2">
        <v>2</v>
      </c>
      <c r="F1479" s="2" t="s">
        <v>5</v>
      </c>
      <c r="G1479" s="2">
        <v>233.80000000017299</v>
      </c>
      <c r="H1479" s="2" t="s">
        <v>16</v>
      </c>
      <c r="I1479" s="2">
        <v>102223.999999978</v>
      </c>
      <c r="J1479" s="2">
        <v>1000</v>
      </c>
      <c r="K1479" s="2">
        <v>300</v>
      </c>
      <c r="L1479" s="2">
        <v>0</v>
      </c>
      <c r="M1479" s="2">
        <v>377707.21</v>
      </c>
      <c r="N1479">
        <f t="shared" si="27"/>
        <v>480165.00999997818</v>
      </c>
      <c r="O1479" s="2" t="s">
        <v>5</v>
      </c>
    </row>
    <row r="1480" spans="1:15" x14ac:dyDescent="0.2">
      <c r="A1480">
        <v>63</v>
      </c>
      <c r="B1480">
        <v>5</v>
      </c>
      <c r="C1480">
        <v>7</v>
      </c>
      <c r="D1480" s="2">
        <v>2</v>
      </c>
      <c r="E1480" s="2">
        <v>3</v>
      </c>
      <c r="F1480" s="2" t="s">
        <v>5</v>
      </c>
      <c r="G1480" s="2">
        <v>359.799999999666</v>
      </c>
      <c r="H1480" s="2" t="s">
        <v>16</v>
      </c>
      <c r="I1480" s="2">
        <v>241534.99999999901</v>
      </c>
      <c r="J1480" s="2">
        <v>1000</v>
      </c>
      <c r="K1480" s="2">
        <v>300</v>
      </c>
      <c r="L1480" s="2">
        <v>0</v>
      </c>
      <c r="M1480" s="2">
        <v>383428.01</v>
      </c>
      <c r="N1480">
        <f t="shared" si="27"/>
        <v>625322.80999999866</v>
      </c>
      <c r="O1480" s="2" t="s">
        <v>4</v>
      </c>
    </row>
    <row r="1481" spans="1:15" x14ac:dyDescent="0.2">
      <c r="A1481">
        <v>64</v>
      </c>
      <c r="B1481">
        <v>5</v>
      </c>
      <c r="C1481">
        <v>8</v>
      </c>
      <c r="D1481" s="2">
        <v>2</v>
      </c>
      <c r="E1481" s="2">
        <v>1</v>
      </c>
      <c r="F1481" s="2" t="s">
        <v>5</v>
      </c>
      <c r="G1481" s="2">
        <v>274.00000000028501</v>
      </c>
      <c r="H1481" s="2" t="s">
        <v>16</v>
      </c>
      <c r="I1481" s="2">
        <v>128890.00000001299</v>
      </c>
      <c r="J1481" s="2">
        <v>1000</v>
      </c>
      <c r="K1481" s="2">
        <v>300</v>
      </c>
      <c r="L1481" s="2">
        <v>0</v>
      </c>
      <c r="M1481" s="2">
        <v>384790.01</v>
      </c>
      <c r="N1481">
        <f t="shared" si="27"/>
        <v>513954.01000001328</v>
      </c>
      <c r="O1481" s="2" t="s">
        <v>4</v>
      </c>
    </row>
    <row r="1482" spans="1:15" x14ac:dyDescent="0.2">
      <c r="A1482">
        <v>65</v>
      </c>
      <c r="B1482">
        <v>5</v>
      </c>
      <c r="C1482">
        <v>8</v>
      </c>
      <c r="D1482" s="2">
        <v>2</v>
      </c>
      <c r="E1482" s="2">
        <v>2</v>
      </c>
      <c r="F1482" s="2" t="s">
        <v>5</v>
      </c>
      <c r="G1482" s="2">
        <v>271.20000000024902</v>
      </c>
      <c r="H1482" s="2" t="s">
        <v>16</v>
      </c>
      <c r="I1482" s="2">
        <v>165955.999999994</v>
      </c>
      <c r="J1482" s="2">
        <v>1000</v>
      </c>
      <c r="K1482" s="2">
        <v>300</v>
      </c>
      <c r="L1482" s="2">
        <v>0</v>
      </c>
      <c r="M1482" s="2">
        <v>381147.61</v>
      </c>
      <c r="N1482">
        <f t="shared" si="27"/>
        <v>547374.80999999424</v>
      </c>
      <c r="O1482" s="2" t="s">
        <v>4</v>
      </c>
    </row>
    <row r="1483" spans="1:15" x14ac:dyDescent="0.2">
      <c r="A1483">
        <v>66</v>
      </c>
      <c r="B1483">
        <v>5</v>
      </c>
      <c r="C1483">
        <v>8</v>
      </c>
      <c r="D1483" s="2">
        <v>2</v>
      </c>
      <c r="E1483" s="2">
        <v>3</v>
      </c>
      <c r="F1483" s="2" t="s">
        <v>5</v>
      </c>
      <c r="G1483" s="2">
        <v>390.99999999976399</v>
      </c>
      <c r="H1483" s="2" t="s">
        <v>16</v>
      </c>
      <c r="I1483" s="2">
        <v>603557.99999999197</v>
      </c>
      <c r="J1483" s="2">
        <v>1000</v>
      </c>
      <c r="K1483" s="2">
        <v>300</v>
      </c>
      <c r="L1483" s="2">
        <v>0</v>
      </c>
      <c r="M1483" s="2">
        <v>385828.81</v>
      </c>
      <c r="N1483">
        <f t="shared" si="27"/>
        <v>989777.80999999167</v>
      </c>
      <c r="O1483" s="2" t="s">
        <v>4</v>
      </c>
    </row>
    <row r="1484" spans="1:15" x14ac:dyDescent="0.2">
      <c r="A1484">
        <v>67</v>
      </c>
      <c r="B1484">
        <v>5</v>
      </c>
      <c r="C1484">
        <v>7</v>
      </c>
      <c r="D1484" s="2">
        <v>2</v>
      </c>
      <c r="E1484" s="2">
        <v>1</v>
      </c>
      <c r="F1484" s="2" t="s">
        <v>5</v>
      </c>
      <c r="G1484" s="2">
        <v>210.20000000007099</v>
      </c>
      <c r="H1484" s="2" t="s">
        <v>16</v>
      </c>
      <c r="I1484" s="2">
        <v>119817.999999981</v>
      </c>
      <c r="J1484" s="2">
        <v>1000</v>
      </c>
      <c r="K1484" s="2">
        <v>300</v>
      </c>
      <c r="L1484" s="2">
        <v>0</v>
      </c>
      <c r="M1484" s="2">
        <v>396267.61</v>
      </c>
      <c r="N1484">
        <f t="shared" si="27"/>
        <v>516295.80999998108</v>
      </c>
      <c r="O1484" s="2" t="s">
        <v>5</v>
      </c>
    </row>
    <row r="1485" spans="1:15" x14ac:dyDescent="0.2">
      <c r="A1485">
        <v>68</v>
      </c>
      <c r="B1485">
        <v>5</v>
      </c>
      <c r="C1485">
        <v>7</v>
      </c>
      <c r="D1485" s="2">
        <v>2</v>
      </c>
      <c r="E1485" s="2">
        <v>2</v>
      </c>
      <c r="F1485" s="2" t="s">
        <v>5</v>
      </c>
      <c r="G1485" s="2">
        <v>210.00000000022101</v>
      </c>
      <c r="H1485" s="2" t="s">
        <v>16</v>
      </c>
      <c r="I1485" s="2">
        <v>73575.000000005297</v>
      </c>
      <c r="J1485" s="2">
        <v>1000</v>
      </c>
      <c r="K1485" s="2">
        <v>300</v>
      </c>
      <c r="L1485" s="2">
        <v>0</v>
      </c>
      <c r="M1485" s="2">
        <v>382268.01</v>
      </c>
      <c r="N1485">
        <f t="shared" si="27"/>
        <v>456053.01000000554</v>
      </c>
      <c r="O1485" s="2" t="s">
        <v>5</v>
      </c>
    </row>
    <row r="1486" spans="1:15" x14ac:dyDescent="0.2">
      <c r="A1486">
        <v>69</v>
      </c>
      <c r="B1486">
        <v>5</v>
      </c>
      <c r="C1486">
        <v>7</v>
      </c>
      <c r="D1486" s="2">
        <v>2</v>
      </c>
      <c r="E1486" s="2">
        <v>3</v>
      </c>
      <c r="F1486" s="2" t="s">
        <v>5</v>
      </c>
      <c r="G1486" s="2">
        <v>292.59999999986502</v>
      </c>
      <c r="H1486" s="2" t="s">
        <v>16</v>
      </c>
      <c r="I1486" s="2">
        <v>260648.000000003</v>
      </c>
      <c r="J1486" s="2">
        <v>1000</v>
      </c>
      <c r="K1486" s="2">
        <v>300</v>
      </c>
      <c r="L1486" s="2">
        <v>0</v>
      </c>
      <c r="M1486" s="2">
        <v>378428.41</v>
      </c>
      <c r="N1486">
        <f t="shared" si="27"/>
        <v>639369.0100000028</v>
      </c>
      <c r="O1486" s="2" t="s">
        <v>4</v>
      </c>
    </row>
    <row r="1487" spans="1:15" x14ac:dyDescent="0.2">
      <c r="A1487">
        <v>28</v>
      </c>
      <c r="B1487">
        <v>5</v>
      </c>
      <c r="C1487">
        <v>4</v>
      </c>
      <c r="D1487" s="2">
        <v>2</v>
      </c>
      <c r="E1487" s="2">
        <v>1</v>
      </c>
      <c r="F1487" s="2" t="s">
        <v>5</v>
      </c>
      <c r="G1487" s="2">
        <v>541.19999999961999</v>
      </c>
      <c r="H1487" s="2" t="s">
        <v>16</v>
      </c>
      <c r="I1487" s="2">
        <v>40185.000000008098</v>
      </c>
      <c r="J1487" s="2">
        <v>1000</v>
      </c>
      <c r="K1487" s="2">
        <v>100</v>
      </c>
      <c r="L1487" s="2">
        <v>0</v>
      </c>
      <c r="M1487" s="2">
        <v>191668.41</v>
      </c>
      <c r="N1487">
        <f t="shared" ref="N1487:N1528" si="28">G1487+I1487+M1487</f>
        <v>232394.61000000773</v>
      </c>
      <c r="O1487" s="2" t="s">
        <v>5</v>
      </c>
    </row>
    <row r="1488" spans="1:15" x14ac:dyDescent="0.2">
      <c r="A1488">
        <v>29</v>
      </c>
      <c r="B1488">
        <v>5</v>
      </c>
      <c r="C1488">
        <v>5</v>
      </c>
      <c r="D1488" s="2">
        <v>2</v>
      </c>
      <c r="E1488" s="2">
        <v>2</v>
      </c>
      <c r="F1488" s="2" t="s">
        <v>5</v>
      </c>
      <c r="G1488" s="2">
        <v>547.39999999959798</v>
      </c>
      <c r="H1488" s="2" t="s">
        <v>16</v>
      </c>
      <c r="I1488" s="2">
        <v>34695.999999996697</v>
      </c>
      <c r="J1488" s="2">
        <v>1000</v>
      </c>
      <c r="K1488" s="2">
        <v>100</v>
      </c>
      <c r="L1488" s="2">
        <v>0</v>
      </c>
      <c r="M1488" s="2">
        <v>177186.81</v>
      </c>
      <c r="N1488">
        <f t="shared" si="28"/>
        <v>212430.2099999963</v>
      </c>
      <c r="O1488" s="2" t="s">
        <v>5</v>
      </c>
    </row>
    <row r="1489" spans="1:15" x14ac:dyDescent="0.2">
      <c r="A1489">
        <v>30</v>
      </c>
      <c r="B1489">
        <v>5</v>
      </c>
      <c r="C1489">
        <v>5</v>
      </c>
      <c r="D1489" s="2">
        <v>2</v>
      </c>
      <c r="E1489" s="2">
        <v>3</v>
      </c>
      <c r="F1489" s="2" t="s">
        <v>5</v>
      </c>
      <c r="G1489" s="2">
        <v>598.60000000000502</v>
      </c>
      <c r="H1489" s="2" t="s">
        <v>16</v>
      </c>
      <c r="I1489" s="2">
        <v>78614.999999984997</v>
      </c>
      <c r="J1489" s="2">
        <v>1000</v>
      </c>
      <c r="K1489" s="2">
        <v>100</v>
      </c>
      <c r="L1489" s="2">
        <v>0</v>
      </c>
      <c r="M1489" s="2">
        <v>181227.61</v>
      </c>
      <c r="N1489">
        <f t="shared" si="28"/>
        <v>260441.209999985</v>
      </c>
      <c r="O1489" s="2" t="s">
        <v>5</v>
      </c>
    </row>
    <row r="1490" spans="1:15" x14ac:dyDescent="0.2">
      <c r="A1490">
        <v>31</v>
      </c>
      <c r="B1490">
        <v>5</v>
      </c>
      <c r="C1490">
        <v>5</v>
      </c>
      <c r="D1490" s="2">
        <v>2</v>
      </c>
      <c r="E1490" s="2">
        <v>1</v>
      </c>
      <c r="F1490" s="2" t="s">
        <v>5</v>
      </c>
      <c r="G1490" s="2">
        <v>351.19999999970702</v>
      </c>
      <c r="H1490" s="2" t="s">
        <v>16</v>
      </c>
      <c r="I1490" s="2">
        <v>51963.999999998101</v>
      </c>
      <c r="J1490" s="2">
        <v>1000</v>
      </c>
      <c r="K1490" s="2">
        <v>100</v>
      </c>
      <c r="L1490" s="2">
        <v>0</v>
      </c>
      <c r="M1490" s="2">
        <v>179107.21</v>
      </c>
      <c r="N1490">
        <f t="shared" si="28"/>
        <v>231422.40999999779</v>
      </c>
      <c r="O1490" s="2" t="s">
        <v>5</v>
      </c>
    </row>
    <row r="1491" spans="1:15" x14ac:dyDescent="0.2">
      <c r="A1491">
        <v>32</v>
      </c>
      <c r="B1491">
        <v>5</v>
      </c>
      <c r="C1491">
        <v>5</v>
      </c>
      <c r="D1491" s="2">
        <v>2</v>
      </c>
      <c r="E1491" s="2">
        <v>2</v>
      </c>
      <c r="F1491" s="2" t="s">
        <v>5</v>
      </c>
      <c r="G1491" s="2">
        <v>356.00000000002302</v>
      </c>
      <c r="H1491" s="2" t="s">
        <v>16</v>
      </c>
      <c r="I1491" s="2">
        <v>20672.999999987998</v>
      </c>
      <c r="J1491" s="2">
        <v>1000</v>
      </c>
      <c r="K1491" s="2">
        <v>100</v>
      </c>
      <c r="L1491" s="2">
        <v>0</v>
      </c>
      <c r="M1491" s="2">
        <v>176786.81</v>
      </c>
      <c r="N1491">
        <f t="shared" si="28"/>
        <v>197815.80999998801</v>
      </c>
      <c r="O1491" s="2" t="s">
        <v>5</v>
      </c>
    </row>
    <row r="1492" spans="1:15" x14ac:dyDescent="0.2">
      <c r="A1492">
        <v>33</v>
      </c>
      <c r="B1492">
        <v>5</v>
      </c>
      <c r="C1492">
        <v>5</v>
      </c>
      <c r="D1492" s="2">
        <v>2</v>
      </c>
      <c r="E1492" s="2">
        <v>3</v>
      </c>
      <c r="F1492" s="2" t="s">
        <v>5</v>
      </c>
      <c r="G1492" s="2">
        <v>485.39999999981399</v>
      </c>
      <c r="H1492" s="2" t="s">
        <v>16</v>
      </c>
      <c r="I1492" s="2">
        <v>60222.000000010201</v>
      </c>
      <c r="J1492" s="2">
        <v>1000</v>
      </c>
      <c r="K1492" s="2">
        <v>100</v>
      </c>
      <c r="L1492" s="2">
        <v>0</v>
      </c>
      <c r="M1492" s="2">
        <v>180427.21</v>
      </c>
      <c r="N1492">
        <f t="shared" si="28"/>
        <v>241134.61000001</v>
      </c>
      <c r="O1492" s="2" t="s">
        <v>4</v>
      </c>
    </row>
    <row r="1493" spans="1:15" x14ac:dyDescent="0.2">
      <c r="A1493">
        <v>34</v>
      </c>
      <c r="B1493">
        <v>5</v>
      </c>
      <c r="C1493">
        <v>5</v>
      </c>
      <c r="D1493" s="2">
        <v>2</v>
      </c>
      <c r="E1493" s="2">
        <v>1</v>
      </c>
      <c r="F1493" s="2" t="s">
        <v>5</v>
      </c>
      <c r="G1493" s="2">
        <v>307.60000000000798</v>
      </c>
      <c r="H1493" s="2" t="s">
        <v>16</v>
      </c>
      <c r="I1493" s="2">
        <v>19947.000000001899</v>
      </c>
      <c r="J1493" s="2">
        <v>1000</v>
      </c>
      <c r="K1493" s="2">
        <v>100</v>
      </c>
      <c r="L1493" s="2">
        <v>0</v>
      </c>
      <c r="M1493" s="2">
        <v>178907.21</v>
      </c>
      <c r="N1493">
        <f t="shared" si="28"/>
        <v>199161.81000000189</v>
      </c>
      <c r="O1493" s="2" t="s">
        <v>5</v>
      </c>
    </row>
    <row r="1494" spans="1:15" x14ac:dyDescent="0.2">
      <c r="A1494">
        <v>35</v>
      </c>
      <c r="B1494">
        <v>5</v>
      </c>
      <c r="C1494">
        <v>6</v>
      </c>
      <c r="D1494" s="2">
        <v>2</v>
      </c>
      <c r="E1494" s="2">
        <v>1</v>
      </c>
      <c r="F1494" s="2" t="s">
        <v>5</v>
      </c>
      <c r="G1494" s="2">
        <v>378.80000000036802</v>
      </c>
      <c r="H1494" s="2" t="s">
        <v>16</v>
      </c>
      <c r="I1494" s="2">
        <v>67833.000000007407</v>
      </c>
      <c r="J1494" s="2">
        <v>1000</v>
      </c>
      <c r="K1494" s="2">
        <v>100</v>
      </c>
      <c r="L1494" s="2">
        <v>0</v>
      </c>
      <c r="M1494" s="2">
        <v>208347.21</v>
      </c>
      <c r="N1494">
        <f t="shared" si="28"/>
        <v>276559.01000000775</v>
      </c>
      <c r="O1494" s="2" t="s">
        <v>5</v>
      </c>
    </row>
    <row r="1495" spans="1:15" x14ac:dyDescent="0.2">
      <c r="A1495">
        <v>36</v>
      </c>
      <c r="B1495">
        <v>5</v>
      </c>
      <c r="C1495">
        <v>6</v>
      </c>
      <c r="D1495" s="2">
        <v>2</v>
      </c>
      <c r="E1495" s="2">
        <v>2</v>
      </c>
      <c r="F1495" s="2" t="s">
        <v>5</v>
      </c>
      <c r="G1495" s="2">
        <v>225.399999999709</v>
      </c>
      <c r="H1495" s="2" t="s">
        <v>16</v>
      </c>
      <c r="I1495" s="2">
        <v>85232.000000019107</v>
      </c>
      <c r="J1495" s="2">
        <v>1000</v>
      </c>
      <c r="K1495" s="2">
        <v>100</v>
      </c>
      <c r="L1495" s="2">
        <v>0</v>
      </c>
      <c r="M1495" s="2">
        <v>193387.61</v>
      </c>
      <c r="N1495">
        <f t="shared" si="28"/>
        <v>278845.01000001881</v>
      </c>
      <c r="O1495" s="2" t="s">
        <v>5</v>
      </c>
    </row>
    <row r="1496" spans="1:15" x14ac:dyDescent="0.2">
      <c r="A1496">
        <v>37</v>
      </c>
      <c r="B1496">
        <v>5</v>
      </c>
      <c r="C1496">
        <v>6</v>
      </c>
      <c r="D1496" s="2">
        <v>2</v>
      </c>
      <c r="E1496" s="2">
        <v>3</v>
      </c>
      <c r="F1496" s="2" t="s">
        <v>5</v>
      </c>
      <c r="G1496" s="2">
        <v>317.40000000049002</v>
      </c>
      <c r="H1496" s="2" t="s">
        <v>16</v>
      </c>
      <c r="I1496" s="2">
        <v>429632.99999999598</v>
      </c>
      <c r="J1496" s="2">
        <v>1000</v>
      </c>
      <c r="K1496" s="2">
        <v>100</v>
      </c>
      <c r="L1496" s="2">
        <v>0</v>
      </c>
      <c r="M1496" s="2">
        <v>205307.21</v>
      </c>
      <c r="N1496">
        <f t="shared" si="28"/>
        <v>635257.60999999649</v>
      </c>
      <c r="O1496" s="2" t="s">
        <v>4</v>
      </c>
    </row>
    <row r="1497" spans="1:15" x14ac:dyDescent="0.2">
      <c r="A1497">
        <v>38</v>
      </c>
      <c r="B1497">
        <v>5</v>
      </c>
      <c r="C1497">
        <v>6</v>
      </c>
      <c r="D1497" s="2">
        <v>2</v>
      </c>
      <c r="E1497" s="2">
        <v>1</v>
      </c>
      <c r="F1497" s="2" t="s">
        <v>5</v>
      </c>
      <c r="G1497" s="2">
        <v>206.39999999971801</v>
      </c>
      <c r="H1497" s="2" t="s">
        <v>16</v>
      </c>
      <c r="I1497" s="2">
        <v>58606.999999995001</v>
      </c>
      <c r="J1497" s="2">
        <v>1000</v>
      </c>
      <c r="K1497" s="2">
        <v>100</v>
      </c>
      <c r="L1497" s="2">
        <v>0</v>
      </c>
      <c r="M1497" s="2">
        <v>208466.81</v>
      </c>
      <c r="N1497">
        <f t="shared" si="28"/>
        <v>267280.20999999472</v>
      </c>
      <c r="O1497" s="2" t="s">
        <v>5</v>
      </c>
    </row>
    <row r="1498" spans="1:15" x14ac:dyDescent="0.2">
      <c r="A1498">
        <v>39</v>
      </c>
      <c r="B1498">
        <v>5</v>
      </c>
      <c r="C1498">
        <v>7</v>
      </c>
      <c r="D1498" s="2">
        <v>2</v>
      </c>
      <c r="E1498" s="2">
        <v>1</v>
      </c>
      <c r="F1498" s="2" t="s">
        <v>5</v>
      </c>
      <c r="G1498" s="2">
        <v>257.600000000124</v>
      </c>
      <c r="H1498" s="2" t="s">
        <v>16</v>
      </c>
      <c r="I1498" s="2">
        <v>172606.00000000201</v>
      </c>
      <c r="J1498" s="2">
        <v>1000</v>
      </c>
      <c r="K1498" s="2">
        <v>100</v>
      </c>
      <c r="L1498" s="2">
        <v>0</v>
      </c>
      <c r="M1498" s="2">
        <v>212827.61</v>
      </c>
      <c r="N1498">
        <f t="shared" si="28"/>
        <v>385691.21000000212</v>
      </c>
      <c r="O1498" s="2" t="s">
        <v>5</v>
      </c>
    </row>
    <row r="1499" spans="1:15" x14ac:dyDescent="0.2">
      <c r="A1499">
        <v>40</v>
      </c>
      <c r="B1499">
        <v>5</v>
      </c>
      <c r="C1499">
        <v>7</v>
      </c>
      <c r="D1499" s="2">
        <v>2</v>
      </c>
      <c r="E1499" s="2">
        <v>2</v>
      </c>
      <c r="F1499" s="2" t="s">
        <v>5</v>
      </c>
      <c r="G1499" s="2">
        <v>242.59999999962599</v>
      </c>
      <c r="H1499" s="2" t="s">
        <v>16</v>
      </c>
      <c r="I1499" s="2">
        <v>100393.999999994</v>
      </c>
      <c r="J1499" s="2">
        <v>1000</v>
      </c>
      <c r="K1499" s="2">
        <v>100</v>
      </c>
      <c r="L1499" s="2">
        <v>0</v>
      </c>
      <c r="M1499" s="2">
        <v>196068.01</v>
      </c>
      <c r="N1499">
        <f t="shared" si="28"/>
        <v>296704.60999999364</v>
      </c>
      <c r="O1499" s="2" t="s">
        <v>4</v>
      </c>
    </row>
    <row r="1500" spans="1:15" x14ac:dyDescent="0.2">
      <c r="A1500">
        <v>41</v>
      </c>
      <c r="B1500">
        <v>5</v>
      </c>
      <c r="C1500">
        <v>7</v>
      </c>
      <c r="D1500" s="2">
        <v>2</v>
      </c>
      <c r="E1500" s="2">
        <v>3</v>
      </c>
      <c r="F1500" s="2" t="s">
        <v>5</v>
      </c>
      <c r="G1500" s="2">
        <v>354.20000000030399</v>
      </c>
      <c r="H1500" s="2" t="s">
        <v>16</v>
      </c>
      <c r="I1500" s="2">
        <v>409392.00000002497</v>
      </c>
      <c r="J1500" s="2">
        <v>1000</v>
      </c>
      <c r="K1500" s="2">
        <v>100</v>
      </c>
      <c r="L1500" s="2">
        <v>0</v>
      </c>
      <c r="M1500" s="2">
        <v>205388.81</v>
      </c>
      <c r="N1500">
        <f t="shared" si="28"/>
        <v>615135.01000002527</v>
      </c>
      <c r="O1500" s="2" t="s">
        <v>4</v>
      </c>
    </row>
    <row r="1501" spans="1:15" x14ac:dyDescent="0.2">
      <c r="A1501">
        <v>42</v>
      </c>
      <c r="B1501">
        <v>5</v>
      </c>
      <c r="C1501">
        <v>4</v>
      </c>
      <c r="D1501" s="2">
        <v>2</v>
      </c>
      <c r="E1501" s="2">
        <v>1</v>
      </c>
      <c r="F1501" s="2" t="s">
        <v>5</v>
      </c>
      <c r="G1501" s="2">
        <v>129.800000000202</v>
      </c>
      <c r="H1501" s="2" t="s">
        <v>16</v>
      </c>
      <c r="I1501" s="2">
        <v>11878.999999993301</v>
      </c>
      <c r="J1501" s="2">
        <v>1000</v>
      </c>
      <c r="K1501" s="2">
        <v>100</v>
      </c>
      <c r="L1501" s="2">
        <v>0</v>
      </c>
      <c r="M1501" s="2">
        <v>178067.21</v>
      </c>
      <c r="N1501">
        <f t="shared" si="28"/>
        <v>190076.00999999349</v>
      </c>
      <c r="O1501" s="2" t="s">
        <v>5</v>
      </c>
    </row>
    <row r="1502" spans="1:15" x14ac:dyDescent="0.2">
      <c r="A1502">
        <v>43</v>
      </c>
      <c r="B1502">
        <v>5</v>
      </c>
      <c r="C1502">
        <v>5</v>
      </c>
      <c r="D1502" s="2">
        <v>2</v>
      </c>
      <c r="E1502" s="2">
        <v>1</v>
      </c>
      <c r="F1502" s="2" t="s">
        <v>5</v>
      </c>
      <c r="G1502" s="2">
        <v>157.00000000009601</v>
      </c>
      <c r="H1502" s="2" t="s">
        <v>16</v>
      </c>
      <c r="I1502" s="2">
        <v>17081.999999987798</v>
      </c>
      <c r="J1502" s="2">
        <v>1000</v>
      </c>
      <c r="K1502" s="2">
        <v>100</v>
      </c>
      <c r="L1502" s="2">
        <v>0</v>
      </c>
      <c r="M1502" s="2">
        <v>180427.21</v>
      </c>
      <c r="N1502">
        <f t="shared" si="28"/>
        <v>197666.20999998788</v>
      </c>
      <c r="O1502" s="2" t="s">
        <v>5</v>
      </c>
    </row>
    <row r="1503" spans="1:15" x14ac:dyDescent="0.2">
      <c r="A1503">
        <v>44</v>
      </c>
      <c r="B1503">
        <v>5</v>
      </c>
      <c r="C1503">
        <v>5</v>
      </c>
      <c r="D1503" s="2">
        <v>2</v>
      </c>
      <c r="E1503" s="2">
        <v>2</v>
      </c>
      <c r="F1503" s="2" t="s">
        <v>5</v>
      </c>
      <c r="G1503" s="2">
        <v>156.599999999685</v>
      </c>
      <c r="H1503" s="2" t="s">
        <v>16</v>
      </c>
      <c r="I1503" s="2">
        <v>24732.0000000002</v>
      </c>
      <c r="J1503" s="2">
        <v>1000</v>
      </c>
      <c r="K1503" s="2">
        <v>100</v>
      </c>
      <c r="L1503" s="2">
        <v>0</v>
      </c>
      <c r="M1503" s="2">
        <v>179867.61</v>
      </c>
      <c r="N1503">
        <f t="shared" si="28"/>
        <v>204756.20999999988</v>
      </c>
      <c r="O1503" s="2" t="s">
        <v>5</v>
      </c>
    </row>
    <row r="1504" spans="1:15" x14ac:dyDescent="0.2">
      <c r="A1504">
        <v>45</v>
      </c>
      <c r="B1504">
        <v>5</v>
      </c>
      <c r="C1504">
        <v>5</v>
      </c>
      <c r="D1504" s="2">
        <v>2</v>
      </c>
      <c r="E1504" s="2">
        <v>3</v>
      </c>
      <c r="F1504" s="2" t="s">
        <v>5</v>
      </c>
      <c r="G1504" s="2">
        <v>211.00000000018301</v>
      </c>
      <c r="H1504" s="2" t="s">
        <v>16</v>
      </c>
      <c r="I1504" s="2">
        <v>56737.9999999957</v>
      </c>
      <c r="J1504" s="2">
        <v>1000</v>
      </c>
      <c r="K1504" s="2">
        <v>100</v>
      </c>
      <c r="L1504" s="2">
        <v>0</v>
      </c>
      <c r="M1504" s="2">
        <v>177427.61</v>
      </c>
      <c r="N1504">
        <f t="shared" si="28"/>
        <v>234376.60999999585</v>
      </c>
      <c r="O1504" s="2" t="s">
        <v>4</v>
      </c>
    </row>
    <row r="1505" spans="1:15" x14ac:dyDescent="0.2">
      <c r="A1505">
        <v>46</v>
      </c>
      <c r="B1505">
        <v>5</v>
      </c>
      <c r="C1505">
        <v>6</v>
      </c>
      <c r="D1505" s="2">
        <v>2</v>
      </c>
      <c r="E1505" s="2">
        <v>1</v>
      </c>
      <c r="F1505" s="2" t="s">
        <v>5</v>
      </c>
      <c r="G1505" s="2">
        <v>189.400000000006</v>
      </c>
      <c r="H1505" s="2" t="s">
        <v>16</v>
      </c>
      <c r="I1505" s="2">
        <v>68061.000000000204</v>
      </c>
      <c r="J1505" s="2">
        <v>1000</v>
      </c>
      <c r="K1505" s="2">
        <v>100</v>
      </c>
      <c r="L1505" s="2">
        <v>0</v>
      </c>
      <c r="M1505" s="2">
        <v>179508.81</v>
      </c>
      <c r="N1505">
        <f t="shared" si="28"/>
        <v>247759.2100000002</v>
      </c>
      <c r="O1505" s="2" t="s">
        <v>5</v>
      </c>
    </row>
    <row r="1506" spans="1:15" x14ac:dyDescent="0.2">
      <c r="A1506">
        <v>47</v>
      </c>
      <c r="B1506">
        <v>5</v>
      </c>
      <c r="C1506">
        <v>6</v>
      </c>
      <c r="D1506" s="2">
        <v>2</v>
      </c>
      <c r="E1506" s="2">
        <v>2</v>
      </c>
      <c r="F1506" s="2" t="s">
        <v>5</v>
      </c>
      <c r="G1506" s="2">
        <v>193.80000000026601</v>
      </c>
      <c r="H1506" s="2" t="s">
        <v>16</v>
      </c>
      <c r="I1506" s="2">
        <v>55103.000000002598</v>
      </c>
      <c r="J1506" s="2">
        <v>1000</v>
      </c>
      <c r="K1506" s="2">
        <v>100</v>
      </c>
      <c r="L1506" s="2">
        <v>0</v>
      </c>
      <c r="M1506" s="2">
        <v>180267.21</v>
      </c>
      <c r="N1506">
        <f t="shared" si="28"/>
        <v>235564.01000000286</v>
      </c>
      <c r="O1506" s="2" t="s">
        <v>5</v>
      </c>
    </row>
    <row r="1507" spans="1:15" x14ac:dyDescent="0.2">
      <c r="A1507">
        <v>48</v>
      </c>
      <c r="B1507">
        <v>5</v>
      </c>
      <c r="C1507">
        <v>6</v>
      </c>
      <c r="D1507" s="2">
        <v>2</v>
      </c>
      <c r="E1507" s="2">
        <v>3</v>
      </c>
      <c r="F1507" s="2" t="s">
        <v>5</v>
      </c>
      <c r="G1507" s="2">
        <v>249.79999999992199</v>
      </c>
      <c r="H1507" s="2" t="s">
        <v>16</v>
      </c>
      <c r="I1507" s="2">
        <v>121555.000000001</v>
      </c>
      <c r="J1507" s="2">
        <v>1000</v>
      </c>
      <c r="K1507" s="2">
        <v>100</v>
      </c>
      <c r="L1507" s="2">
        <v>0</v>
      </c>
      <c r="M1507" s="2">
        <v>209507.21</v>
      </c>
      <c r="N1507">
        <f t="shared" si="28"/>
        <v>331312.01000000094</v>
      </c>
      <c r="O1507" s="2" t="s">
        <v>4</v>
      </c>
    </row>
    <row r="1508" spans="1:15" x14ac:dyDescent="0.2">
      <c r="A1508">
        <v>49</v>
      </c>
      <c r="B1508">
        <v>5</v>
      </c>
      <c r="C1508">
        <v>6</v>
      </c>
      <c r="D1508" s="2">
        <v>2</v>
      </c>
      <c r="E1508" s="2">
        <v>1</v>
      </c>
      <c r="F1508" s="2" t="s">
        <v>5</v>
      </c>
      <c r="G1508" s="2">
        <v>183.19999999931699</v>
      </c>
      <c r="H1508" s="2" t="s">
        <v>16</v>
      </c>
      <c r="I1508" s="2">
        <v>41121.000000004002</v>
      </c>
      <c r="J1508" s="2">
        <v>1000</v>
      </c>
      <c r="K1508" s="2">
        <v>100</v>
      </c>
      <c r="L1508" s="2">
        <v>0</v>
      </c>
      <c r="M1508" s="2">
        <v>176068.41</v>
      </c>
      <c r="N1508">
        <f t="shared" si="28"/>
        <v>217372.61000000333</v>
      </c>
      <c r="O1508" s="2" t="s">
        <v>5</v>
      </c>
    </row>
    <row r="1509" spans="1:15" x14ac:dyDescent="0.2">
      <c r="A1509">
        <v>50</v>
      </c>
      <c r="B1509">
        <v>5</v>
      </c>
      <c r="C1509">
        <v>6</v>
      </c>
      <c r="D1509" s="2">
        <v>2</v>
      </c>
      <c r="E1509" s="2">
        <v>2</v>
      </c>
      <c r="F1509" s="2" t="s">
        <v>5</v>
      </c>
      <c r="G1509" s="2">
        <v>190.800000000024</v>
      </c>
      <c r="H1509" s="2" t="s">
        <v>16</v>
      </c>
      <c r="I1509" s="2">
        <v>50727.999999992302</v>
      </c>
      <c r="J1509" s="2">
        <v>1000</v>
      </c>
      <c r="K1509" s="2">
        <v>100</v>
      </c>
      <c r="L1509" s="2">
        <v>0</v>
      </c>
      <c r="M1509" s="2">
        <v>191747.61</v>
      </c>
      <c r="N1509">
        <f t="shared" si="28"/>
        <v>242666.40999999232</v>
      </c>
      <c r="O1509" s="2" t="s">
        <v>5</v>
      </c>
    </row>
    <row r="1510" spans="1:15" x14ac:dyDescent="0.2">
      <c r="A1510">
        <v>51</v>
      </c>
      <c r="B1510">
        <v>5</v>
      </c>
      <c r="C1510">
        <v>6</v>
      </c>
      <c r="D1510" s="2">
        <v>2</v>
      </c>
      <c r="E1510" s="2">
        <v>3</v>
      </c>
      <c r="F1510" s="2" t="s">
        <v>5</v>
      </c>
      <c r="G1510" s="2">
        <v>252.19999999990301</v>
      </c>
      <c r="H1510" s="2" t="s">
        <v>16</v>
      </c>
      <c r="I1510" s="2">
        <v>139174.99999999499</v>
      </c>
      <c r="J1510" s="2">
        <v>1000</v>
      </c>
      <c r="K1510" s="2">
        <v>100</v>
      </c>
      <c r="L1510" s="2">
        <v>0</v>
      </c>
      <c r="M1510" s="2">
        <v>193067.61</v>
      </c>
      <c r="N1510">
        <f t="shared" si="28"/>
        <v>332494.80999999488</v>
      </c>
      <c r="O1510" s="2" t="s">
        <v>4</v>
      </c>
    </row>
    <row r="1511" spans="1:15" x14ac:dyDescent="0.2">
      <c r="A1511">
        <v>52</v>
      </c>
      <c r="B1511">
        <v>5</v>
      </c>
      <c r="C1511">
        <v>7</v>
      </c>
      <c r="D1511" s="2">
        <v>2</v>
      </c>
      <c r="E1511" s="2">
        <v>1</v>
      </c>
      <c r="F1511" s="2" t="s">
        <v>5</v>
      </c>
      <c r="G1511" s="2">
        <v>219.40000000029201</v>
      </c>
      <c r="H1511" s="2" t="s">
        <v>16</v>
      </c>
      <c r="I1511" s="2">
        <v>49910.000000011198</v>
      </c>
      <c r="J1511" s="2">
        <v>1000</v>
      </c>
      <c r="K1511" s="2">
        <v>100</v>
      </c>
      <c r="L1511" s="2">
        <v>0</v>
      </c>
      <c r="M1511" s="2">
        <v>177428.81</v>
      </c>
      <c r="N1511">
        <f t="shared" si="28"/>
        <v>227558.21000001149</v>
      </c>
      <c r="O1511" s="2" t="s">
        <v>5</v>
      </c>
    </row>
    <row r="1512" spans="1:15" x14ac:dyDescent="0.2">
      <c r="A1512">
        <v>53</v>
      </c>
      <c r="B1512">
        <v>5</v>
      </c>
      <c r="C1512">
        <v>7</v>
      </c>
      <c r="D1512" s="2">
        <v>2</v>
      </c>
      <c r="E1512" s="2">
        <v>2</v>
      </c>
      <c r="F1512" s="2" t="s">
        <v>5</v>
      </c>
      <c r="G1512" s="2">
        <v>218.80000000038501</v>
      </c>
      <c r="H1512" s="2" t="s">
        <v>16</v>
      </c>
      <c r="I1512" s="2">
        <v>113836.99999999</v>
      </c>
      <c r="J1512" s="2">
        <v>1000</v>
      </c>
      <c r="K1512" s="2">
        <v>100</v>
      </c>
      <c r="L1512" s="2">
        <v>0</v>
      </c>
      <c r="M1512" s="2">
        <v>194747.21</v>
      </c>
      <c r="N1512">
        <f t="shared" si="28"/>
        <v>308803.00999999035</v>
      </c>
      <c r="O1512" s="2" t="s">
        <v>4</v>
      </c>
    </row>
    <row r="1513" spans="1:15" x14ac:dyDescent="0.2">
      <c r="A1513">
        <v>54</v>
      </c>
      <c r="B1513">
        <v>5</v>
      </c>
      <c r="C1513">
        <v>7</v>
      </c>
      <c r="D1513" s="2">
        <v>2</v>
      </c>
      <c r="E1513" s="2">
        <v>3</v>
      </c>
      <c r="F1513" s="2" t="s">
        <v>5</v>
      </c>
      <c r="G1513" s="2">
        <v>306.40000000019501</v>
      </c>
      <c r="H1513" s="2" t="s">
        <v>16</v>
      </c>
      <c r="I1513" s="2">
        <v>434876.00000000303</v>
      </c>
      <c r="J1513" s="2">
        <v>1000</v>
      </c>
      <c r="K1513" s="2">
        <v>100</v>
      </c>
      <c r="L1513" s="2">
        <v>0</v>
      </c>
      <c r="M1513" s="2">
        <v>213149.61</v>
      </c>
      <c r="N1513">
        <f t="shared" si="28"/>
        <v>648332.01000000327</v>
      </c>
      <c r="O1513" s="2" t="s">
        <v>5</v>
      </c>
    </row>
    <row r="1514" spans="1:15" x14ac:dyDescent="0.2">
      <c r="A1514">
        <v>55</v>
      </c>
      <c r="B1514">
        <v>5</v>
      </c>
      <c r="C1514">
        <v>5</v>
      </c>
      <c r="D1514" s="2">
        <v>2</v>
      </c>
      <c r="E1514" s="2">
        <v>1</v>
      </c>
      <c r="F1514" s="2" t="s">
        <v>5</v>
      </c>
      <c r="G1514" s="2">
        <v>140.60000000064599</v>
      </c>
      <c r="H1514" s="2" t="s">
        <v>16</v>
      </c>
      <c r="I1514" s="2">
        <v>27028.000000001401</v>
      </c>
      <c r="J1514" s="2">
        <v>1000</v>
      </c>
      <c r="K1514" s="2">
        <v>100</v>
      </c>
      <c r="L1514" s="2">
        <v>0</v>
      </c>
      <c r="M1514" s="2">
        <v>178467.61</v>
      </c>
      <c r="N1514">
        <f t="shared" si="28"/>
        <v>205636.21000000203</v>
      </c>
      <c r="O1514" s="2" t="s">
        <v>5</v>
      </c>
    </row>
    <row r="1515" spans="1:15" x14ac:dyDescent="0.2">
      <c r="A1515">
        <v>56</v>
      </c>
      <c r="B1515">
        <v>5</v>
      </c>
      <c r="C1515">
        <v>5</v>
      </c>
      <c r="D1515" s="2">
        <v>2</v>
      </c>
      <c r="E1515" s="2">
        <v>2</v>
      </c>
      <c r="F1515" s="2" t="s">
        <v>5</v>
      </c>
      <c r="G1515" s="2">
        <v>137.60000000004899</v>
      </c>
      <c r="H1515" s="2" t="s">
        <v>16</v>
      </c>
      <c r="I1515" s="2">
        <v>25397.999999995602</v>
      </c>
      <c r="J1515" s="2">
        <v>1000</v>
      </c>
      <c r="K1515" s="2">
        <v>100</v>
      </c>
      <c r="L1515" s="2">
        <v>0</v>
      </c>
      <c r="M1515" s="2">
        <v>179827.61</v>
      </c>
      <c r="N1515">
        <f t="shared" si="28"/>
        <v>205363.20999999563</v>
      </c>
      <c r="O1515" s="2" t="s">
        <v>5</v>
      </c>
    </row>
    <row r="1516" spans="1:15" x14ac:dyDescent="0.2">
      <c r="A1516">
        <v>57</v>
      </c>
      <c r="B1516">
        <v>5</v>
      </c>
      <c r="C1516">
        <v>5</v>
      </c>
      <c r="D1516" s="2">
        <v>2</v>
      </c>
      <c r="E1516" s="2">
        <v>3</v>
      </c>
      <c r="F1516" s="2" t="s">
        <v>5</v>
      </c>
      <c r="G1516" s="2">
        <v>183.39999999987799</v>
      </c>
      <c r="H1516" s="2" t="s">
        <v>16</v>
      </c>
      <c r="I1516" s="2">
        <v>44558.000000023399</v>
      </c>
      <c r="J1516" s="2">
        <v>1000</v>
      </c>
      <c r="K1516" s="2">
        <v>100</v>
      </c>
      <c r="L1516" s="2">
        <v>0</v>
      </c>
      <c r="M1516" s="2">
        <v>176468.41</v>
      </c>
      <c r="N1516">
        <f t="shared" si="28"/>
        <v>221209.81000002328</v>
      </c>
      <c r="O1516" s="2" t="s">
        <v>5</v>
      </c>
    </row>
    <row r="1517" spans="1:15" x14ac:dyDescent="0.2">
      <c r="A1517">
        <v>58</v>
      </c>
      <c r="B1517">
        <v>5</v>
      </c>
      <c r="C1517">
        <v>6</v>
      </c>
      <c r="D1517" s="2">
        <v>2</v>
      </c>
      <c r="E1517" s="2">
        <v>1</v>
      </c>
      <c r="F1517" s="2" t="s">
        <v>5</v>
      </c>
      <c r="G1517" s="2">
        <v>215.599999999228</v>
      </c>
      <c r="H1517" s="2" t="s">
        <v>16</v>
      </c>
      <c r="I1517" s="2">
        <v>56205.000000005602</v>
      </c>
      <c r="J1517" s="2">
        <v>1000</v>
      </c>
      <c r="K1517" s="2">
        <v>100</v>
      </c>
      <c r="L1517" s="2">
        <v>0</v>
      </c>
      <c r="M1517" s="2">
        <v>181030.81</v>
      </c>
      <c r="N1517">
        <f t="shared" si="28"/>
        <v>237451.41000000483</v>
      </c>
      <c r="O1517" s="2" t="s">
        <v>5</v>
      </c>
    </row>
    <row r="1518" spans="1:15" x14ac:dyDescent="0.2">
      <c r="A1518">
        <v>59</v>
      </c>
      <c r="B1518">
        <v>5</v>
      </c>
      <c r="C1518">
        <v>6</v>
      </c>
      <c r="D1518" s="2">
        <v>2</v>
      </c>
      <c r="E1518" s="2">
        <v>2</v>
      </c>
      <c r="F1518" s="2" t="s">
        <v>5</v>
      </c>
      <c r="G1518" s="2">
        <v>212.39999999984599</v>
      </c>
      <c r="H1518" s="2" t="s">
        <v>16</v>
      </c>
      <c r="I1518" s="2">
        <v>45035.000000012798</v>
      </c>
      <c r="J1518" s="2">
        <v>1000</v>
      </c>
      <c r="K1518" s="2">
        <v>100</v>
      </c>
      <c r="L1518" s="2">
        <v>0</v>
      </c>
      <c r="M1518" s="2">
        <v>179387.61</v>
      </c>
      <c r="N1518">
        <f t="shared" si="28"/>
        <v>224635.01000001264</v>
      </c>
      <c r="O1518" s="2" t="s">
        <v>5</v>
      </c>
    </row>
    <row r="1519" spans="1:15" x14ac:dyDescent="0.2">
      <c r="A1519">
        <v>60</v>
      </c>
      <c r="B1519">
        <v>5</v>
      </c>
      <c r="C1519">
        <v>6</v>
      </c>
      <c r="D1519" s="2">
        <v>2</v>
      </c>
      <c r="E1519" s="2">
        <v>3</v>
      </c>
      <c r="F1519" s="2" t="s">
        <v>5</v>
      </c>
      <c r="G1519" s="2">
        <v>288.40000000016602</v>
      </c>
      <c r="H1519" s="2" t="s">
        <v>16</v>
      </c>
      <c r="I1519" s="2">
        <v>150798.00000000899</v>
      </c>
      <c r="J1519" s="2">
        <v>1000</v>
      </c>
      <c r="K1519" s="2">
        <v>100</v>
      </c>
      <c r="L1519" s="2">
        <v>0</v>
      </c>
      <c r="M1519" s="2">
        <v>181189.21</v>
      </c>
      <c r="N1519">
        <f t="shared" si="28"/>
        <v>332275.61000000918</v>
      </c>
      <c r="O1519" s="2" t="s">
        <v>4</v>
      </c>
    </row>
    <row r="1520" spans="1:15" x14ac:dyDescent="0.2">
      <c r="A1520">
        <v>61</v>
      </c>
      <c r="B1520">
        <v>5</v>
      </c>
      <c r="C1520">
        <v>7</v>
      </c>
      <c r="D1520" s="2">
        <v>2</v>
      </c>
      <c r="E1520" s="2">
        <v>1</v>
      </c>
      <c r="F1520" s="2" t="s">
        <v>5</v>
      </c>
      <c r="G1520" s="2">
        <v>230.60000000043601</v>
      </c>
      <c r="H1520" s="2" t="s">
        <v>16</v>
      </c>
      <c r="I1520" s="2">
        <v>105615.99999999801</v>
      </c>
      <c r="J1520" s="2">
        <v>1000</v>
      </c>
      <c r="K1520" s="2">
        <v>100</v>
      </c>
      <c r="L1520" s="2">
        <v>0</v>
      </c>
      <c r="M1520" s="2">
        <v>200828.81</v>
      </c>
      <c r="N1520">
        <f t="shared" si="28"/>
        <v>306675.40999999846</v>
      </c>
      <c r="O1520" s="2" t="s">
        <v>5</v>
      </c>
    </row>
    <row r="1521" spans="1:15" x14ac:dyDescent="0.2">
      <c r="A1521">
        <v>62</v>
      </c>
      <c r="B1521">
        <v>5</v>
      </c>
      <c r="C1521">
        <v>7</v>
      </c>
      <c r="D1521" s="2">
        <v>2</v>
      </c>
      <c r="E1521" s="2">
        <v>2</v>
      </c>
      <c r="F1521" s="2" t="s">
        <v>5</v>
      </c>
      <c r="G1521" s="2">
        <v>233.80000000017299</v>
      </c>
      <c r="H1521" s="2" t="s">
        <v>16</v>
      </c>
      <c r="I1521" s="2">
        <v>102223.999999978</v>
      </c>
      <c r="J1521" s="2">
        <v>1000</v>
      </c>
      <c r="K1521" s="2">
        <v>100</v>
      </c>
      <c r="L1521" s="2">
        <v>0</v>
      </c>
      <c r="M1521" s="2">
        <v>177707.21</v>
      </c>
      <c r="N1521">
        <f t="shared" si="28"/>
        <v>280165.00999997818</v>
      </c>
      <c r="O1521" s="2" t="s">
        <v>5</v>
      </c>
    </row>
    <row r="1522" spans="1:15" x14ac:dyDescent="0.2">
      <c r="A1522">
        <v>63</v>
      </c>
      <c r="B1522">
        <v>5</v>
      </c>
      <c r="C1522">
        <v>7</v>
      </c>
      <c r="D1522" s="2">
        <v>2</v>
      </c>
      <c r="E1522" s="2">
        <v>3</v>
      </c>
      <c r="F1522" s="2" t="s">
        <v>5</v>
      </c>
      <c r="G1522" s="2">
        <v>359.799999999666</v>
      </c>
      <c r="H1522" s="2" t="s">
        <v>16</v>
      </c>
      <c r="I1522" s="2">
        <v>241534.99999999901</v>
      </c>
      <c r="J1522" s="2">
        <v>1000</v>
      </c>
      <c r="K1522" s="2">
        <v>100</v>
      </c>
      <c r="L1522" s="2">
        <v>0</v>
      </c>
      <c r="M1522" s="2">
        <v>183428.01</v>
      </c>
      <c r="N1522">
        <f t="shared" si="28"/>
        <v>425322.80999999866</v>
      </c>
      <c r="O1522" s="2" t="s">
        <v>4</v>
      </c>
    </row>
    <row r="1523" spans="1:15" x14ac:dyDescent="0.2">
      <c r="A1523">
        <v>64</v>
      </c>
      <c r="B1523">
        <v>5</v>
      </c>
      <c r="C1523">
        <v>8</v>
      </c>
      <c r="D1523" s="2">
        <v>2</v>
      </c>
      <c r="E1523" s="2">
        <v>1</v>
      </c>
      <c r="F1523" s="2" t="s">
        <v>5</v>
      </c>
      <c r="G1523" s="2">
        <v>274.00000000028501</v>
      </c>
      <c r="H1523" s="2" t="s">
        <v>16</v>
      </c>
      <c r="I1523" s="2">
        <v>128890.00000001299</v>
      </c>
      <c r="J1523" s="2">
        <v>1000</v>
      </c>
      <c r="K1523" s="2">
        <v>100</v>
      </c>
      <c r="L1523" s="2">
        <v>0</v>
      </c>
      <c r="M1523" s="2">
        <v>184790.01</v>
      </c>
      <c r="N1523">
        <f t="shared" si="28"/>
        <v>313954.01000001328</v>
      </c>
      <c r="O1523" s="2" t="s">
        <v>4</v>
      </c>
    </row>
    <row r="1524" spans="1:15" x14ac:dyDescent="0.2">
      <c r="A1524">
        <v>65</v>
      </c>
      <c r="B1524">
        <v>5</v>
      </c>
      <c r="C1524">
        <v>8</v>
      </c>
      <c r="D1524" s="2">
        <v>2</v>
      </c>
      <c r="E1524" s="2">
        <v>2</v>
      </c>
      <c r="F1524" s="2" t="s">
        <v>5</v>
      </c>
      <c r="G1524" s="2">
        <v>271.20000000024902</v>
      </c>
      <c r="H1524" s="2" t="s">
        <v>16</v>
      </c>
      <c r="I1524" s="2">
        <v>165955.999999994</v>
      </c>
      <c r="J1524" s="2">
        <v>1000</v>
      </c>
      <c r="K1524" s="2">
        <v>100</v>
      </c>
      <c r="L1524" s="2">
        <v>0</v>
      </c>
      <c r="M1524" s="2">
        <v>181147.61</v>
      </c>
      <c r="N1524">
        <f t="shared" si="28"/>
        <v>347374.80999999424</v>
      </c>
      <c r="O1524" s="2" t="s">
        <v>4</v>
      </c>
    </row>
    <row r="1525" spans="1:15" x14ac:dyDescent="0.2">
      <c r="A1525">
        <v>66</v>
      </c>
      <c r="B1525">
        <v>5</v>
      </c>
      <c r="C1525">
        <v>8</v>
      </c>
      <c r="D1525" s="2">
        <v>2</v>
      </c>
      <c r="E1525" s="2">
        <v>3</v>
      </c>
      <c r="F1525" s="2" t="s">
        <v>5</v>
      </c>
      <c r="G1525" s="2">
        <v>390.99999999976399</v>
      </c>
      <c r="H1525" s="2" t="s">
        <v>16</v>
      </c>
      <c r="I1525" s="2">
        <v>603557.99999999197</v>
      </c>
      <c r="J1525" s="2">
        <v>1000</v>
      </c>
      <c r="K1525" s="2">
        <v>100</v>
      </c>
      <c r="L1525" s="2">
        <v>0</v>
      </c>
      <c r="M1525" s="2">
        <v>185828.81</v>
      </c>
      <c r="N1525">
        <f t="shared" si="28"/>
        <v>789777.80999999167</v>
      </c>
      <c r="O1525" s="2" t="s">
        <v>4</v>
      </c>
    </row>
    <row r="1526" spans="1:15" x14ac:dyDescent="0.2">
      <c r="A1526">
        <v>67</v>
      </c>
      <c r="B1526">
        <v>5</v>
      </c>
      <c r="C1526">
        <v>7</v>
      </c>
      <c r="D1526" s="2">
        <v>2</v>
      </c>
      <c r="E1526" s="2">
        <v>1</v>
      </c>
      <c r="F1526" s="2" t="s">
        <v>5</v>
      </c>
      <c r="G1526" s="2">
        <v>210.20000000007099</v>
      </c>
      <c r="H1526" s="2" t="s">
        <v>16</v>
      </c>
      <c r="I1526" s="2">
        <v>119817.999999981</v>
      </c>
      <c r="J1526" s="2">
        <v>1000</v>
      </c>
      <c r="K1526" s="2">
        <v>100</v>
      </c>
      <c r="L1526" s="2">
        <v>0</v>
      </c>
      <c r="M1526" s="2">
        <v>196267.61</v>
      </c>
      <c r="N1526">
        <f t="shared" si="28"/>
        <v>316295.80999998108</v>
      </c>
      <c r="O1526" s="2" t="s">
        <v>5</v>
      </c>
    </row>
    <row r="1527" spans="1:15" x14ac:dyDescent="0.2">
      <c r="A1527">
        <v>68</v>
      </c>
      <c r="B1527">
        <v>5</v>
      </c>
      <c r="C1527">
        <v>7</v>
      </c>
      <c r="D1527" s="2">
        <v>2</v>
      </c>
      <c r="E1527" s="2">
        <v>2</v>
      </c>
      <c r="F1527" s="2" t="s">
        <v>5</v>
      </c>
      <c r="G1527" s="2">
        <v>210.00000000022101</v>
      </c>
      <c r="H1527" s="2" t="s">
        <v>16</v>
      </c>
      <c r="I1527" s="2">
        <v>73575.000000005297</v>
      </c>
      <c r="J1527" s="2">
        <v>1000</v>
      </c>
      <c r="K1527" s="2">
        <v>100</v>
      </c>
      <c r="L1527" s="2">
        <v>0</v>
      </c>
      <c r="M1527" s="2">
        <v>182268.01</v>
      </c>
      <c r="N1527">
        <f t="shared" si="28"/>
        <v>256053.01000000554</v>
      </c>
      <c r="O1527" s="2" t="s">
        <v>5</v>
      </c>
    </row>
    <row r="1528" spans="1:15" x14ac:dyDescent="0.2">
      <c r="A1528">
        <v>69</v>
      </c>
      <c r="B1528">
        <v>5</v>
      </c>
      <c r="C1528">
        <v>7</v>
      </c>
      <c r="D1528" s="2">
        <v>2</v>
      </c>
      <c r="E1528" s="2">
        <v>3</v>
      </c>
      <c r="F1528" s="2" t="s">
        <v>5</v>
      </c>
      <c r="G1528" s="2">
        <v>292.59999999986502</v>
      </c>
      <c r="H1528" s="2" t="s">
        <v>16</v>
      </c>
      <c r="I1528" s="2">
        <v>260648.000000003</v>
      </c>
      <c r="J1528" s="2">
        <v>1000</v>
      </c>
      <c r="K1528" s="2">
        <v>100</v>
      </c>
      <c r="L1528" s="2">
        <v>0</v>
      </c>
      <c r="M1528" s="2">
        <v>178428.41</v>
      </c>
      <c r="N1528">
        <f t="shared" si="28"/>
        <v>439369.01000000286</v>
      </c>
      <c r="O1528" s="2" t="s">
        <v>4</v>
      </c>
    </row>
    <row r="1529" spans="1:15" x14ac:dyDescent="0.2">
      <c r="A1529">
        <v>28</v>
      </c>
      <c r="B1529">
        <v>5</v>
      </c>
      <c r="C1529">
        <v>4</v>
      </c>
      <c r="D1529" s="2">
        <v>2</v>
      </c>
      <c r="E1529" s="2">
        <v>1</v>
      </c>
      <c r="F1529" s="2" t="s">
        <v>5</v>
      </c>
      <c r="G1529" s="2">
        <v>541.19999999961999</v>
      </c>
      <c r="H1529" s="2" t="s">
        <v>16</v>
      </c>
      <c r="I1529" s="2">
        <v>40185.000000008098</v>
      </c>
      <c r="J1529" s="2">
        <v>1000</v>
      </c>
      <c r="K1529" s="2">
        <v>500</v>
      </c>
      <c r="L1529" s="2">
        <v>0</v>
      </c>
      <c r="M1529" s="2">
        <v>591668.81000000006</v>
      </c>
      <c r="N1529">
        <f t="shared" si="27"/>
        <v>632395.01000000781</v>
      </c>
      <c r="O1529" s="9" t="s">
        <v>5</v>
      </c>
    </row>
    <row r="1530" spans="1:15" x14ac:dyDescent="0.2">
      <c r="A1530">
        <v>29</v>
      </c>
      <c r="B1530">
        <v>5</v>
      </c>
      <c r="C1530">
        <v>5</v>
      </c>
      <c r="D1530" s="2">
        <v>2</v>
      </c>
      <c r="E1530" s="2">
        <v>2</v>
      </c>
      <c r="F1530" s="2" t="s">
        <v>5</v>
      </c>
      <c r="G1530" s="2">
        <v>547.39999999959798</v>
      </c>
      <c r="H1530" s="2" t="s">
        <v>16</v>
      </c>
      <c r="I1530" s="2">
        <v>34695.999999996697</v>
      </c>
      <c r="J1530" s="2">
        <v>1000</v>
      </c>
      <c r="K1530" s="2">
        <v>500</v>
      </c>
      <c r="L1530" s="2">
        <v>0</v>
      </c>
      <c r="M1530" s="2">
        <v>577187.21</v>
      </c>
      <c r="N1530">
        <f t="shared" si="27"/>
        <v>612430.60999999626</v>
      </c>
      <c r="O1530" s="9" t="s">
        <v>5</v>
      </c>
    </row>
    <row r="1531" spans="1:15" x14ac:dyDescent="0.2">
      <c r="A1531">
        <v>30</v>
      </c>
      <c r="B1531">
        <v>5</v>
      </c>
      <c r="C1531">
        <v>5</v>
      </c>
      <c r="D1531" s="2">
        <v>2</v>
      </c>
      <c r="E1531" s="2">
        <v>3</v>
      </c>
      <c r="F1531" s="2" t="s">
        <v>5</v>
      </c>
      <c r="G1531" s="2">
        <v>598.60000000000502</v>
      </c>
      <c r="H1531" s="2" t="s">
        <v>16</v>
      </c>
      <c r="I1531" s="2">
        <v>78614.999999984997</v>
      </c>
      <c r="J1531" s="2">
        <v>1000</v>
      </c>
      <c r="K1531" s="2">
        <v>500</v>
      </c>
      <c r="L1531" s="2">
        <v>0</v>
      </c>
      <c r="M1531" s="2">
        <v>581228.01</v>
      </c>
      <c r="N1531">
        <f t="shared" si="27"/>
        <v>660441.60999998497</v>
      </c>
      <c r="O1531" s="9" t="s">
        <v>5</v>
      </c>
    </row>
    <row r="1532" spans="1:15" x14ac:dyDescent="0.2">
      <c r="A1532">
        <v>31</v>
      </c>
      <c r="B1532">
        <v>5</v>
      </c>
      <c r="C1532">
        <v>5</v>
      </c>
      <c r="D1532" s="2">
        <v>2</v>
      </c>
      <c r="E1532" s="2">
        <v>1</v>
      </c>
      <c r="F1532" s="2" t="s">
        <v>5</v>
      </c>
      <c r="G1532" s="2">
        <v>351.19999999970702</v>
      </c>
      <c r="H1532" s="2" t="s">
        <v>16</v>
      </c>
      <c r="I1532" s="2">
        <v>51963.999999998101</v>
      </c>
      <c r="J1532" s="2">
        <v>1000</v>
      </c>
      <c r="K1532" s="2">
        <v>500</v>
      </c>
      <c r="L1532" s="2">
        <v>0</v>
      </c>
      <c r="M1532" s="2">
        <v>579107.61</v>
      </c>
      <c r="N1532">
        <f t="shared" si="27"/>
        <v>631422.80999999784</v>
      </c>
      <c r="O1532" s="9" t="s">
        <v>5</v>
      </c>
    </row>
    <row r="1533" spans="1:15" x14ac:dyDescent="0.2">
      <c r="A1533">
        <v>32</v>
      </c>
      <c r="B1533">
        <v>5</v>
      </c>
      <c r="C1533">
        <v>5</v>
      </c>
      <c r="D1533" s="2">
        <v>2</v>
      </c>
      <c r="E1533" s="2">
        <v>2</v>
      </c>
      <c r="F1533" s="2" t="s">
        <v>5</v>
      </c>
      <c r="G1533" s="2">
        <v>356.00000000002302</v>
      </c>
      <c r="H1533" s="2" t="s">
        <v>16</v>
      </c>
      <c r="I1533" s="2">
        <v>20672.999999987998</v>
      </c>
      <c r="J1533" s="2">
        <v>1000</v>
      </c>
      <c r="K1533" s="2">
        <v>500</v>
      </c>
      <c r="L1533" s="2">
        <v>0</v>
      </c>
      <c r="M1533" s="2">
        <v>576787.21</v>
      </c>
      <c r="N1533">
        <f t="shared" si="27"/>
        <v>597816.20999998797</v>
      </c>
      <c r="O1533" s="9" t="s">
        <v>5</v>
      </c>
    </row>
    <row r="1534" spans="1:15" x14ac:dyDescent="0.2">
      <c r="A1534">
        <v>33</v>
      </c>
      <c r="B1534">
        <v>5</v>
      </c>
      <c r="C1534">
        <v>5</v>
      </c>
      <c r="D1534" s="2">
        <v>2</v>
      </c>
      <c r="E1534" s="2">
        <v>3</v>
      </c>
      <c r="F1534" s="2" t="s">
        <v>5</v>
      </c>
      <c r="G1534" s="2">
        <v>485.39999999981399</v>
      </c>
      <c r="H1534" s="2" t="s">
        <v>16</v>
      </c>
      <c r="I1534" s="2">
        <v>60222.000000010201</v>
      </c>
      <c r="J1534" s="2">
        <v>1000</v>
      </c>
      <c r="K1534" s="2">
        <v>500</v>
      </c>
      <c r="L1534" s="2">
        <v>0</v>
      </c>
      <c r="M1534" s="2">
        <v>580428.01</v>
      </c>
      <c r="N1534">
        <f t="shared" si="27"/>
        <v>641135.41000001004</v>
      </c>
      <c r="O1534" s="9" t="s">
        <v>5</v>
      </c>
    </row>
    <row r="1535" spans="1:15" x14ac:dyDescent="0.2">
      <c r="A1535">
        <v>34</v>
      </c>
      <c r="B1535">
        <v>5</v>
      </c>
      <c r="C1535">
        <v>5</v>
      </c>
      <c r="D1535" s="2">
        <v>2</v>
      </c>
      <c r="E1535" s="2">
        <v>1</v>
      </c>
      <c r="F1535" s="2" t="s">
        <v>5</v>
      </c>
      <c r="G1535" s="2">
        <v>307.60000000000798</v>
      </c>
      <c r="H1535" s="2" t="s">
        <v>16</v>
      </c>
      <c r="I1535" s="2">
        <v>19947.000000001899</v>
      </c>
      <c r="J1535" s="2">
        <v>1000</v>
      </c>
      <c r="K1535" s="2">
        <v>500</v>
      </c>
      <c r="L1535" s="2">
        <v>0</v>
      </c>
      <c r="M1535" s="2">
        <v>578907.61</v>
      </c>
      <c r="N1535">
        <f t="shared" si="27"/>
        <v>599162.21000000194</v>
      </c>
      <c r="O1535" s="9" t="s">
        <v>5</v>
      </c>
    </row>
    <row r="1536" spans="1:15" x14ac:dyDescent="0.2">
      <c r="A1536">
        <v>35</v>
      </c>
      <c r="B1536">
        <v>5</v>
      </c>
      <c r="C1536">
        <v>6</v>
      </c>
      <c r="D1536" s="2">
        <v>2</v>
      </c>
      <c r="E1536" s="2">
        <v>1</v>
      </c>
      <c r="F1536" s="2" t="s">
        <v>5</v>
      </c>
      <c r="G1536" s="2">
        <v>378.80000000036802</v>
      </c>
      <c r="H1536" s="2" t="s">
        <v>16</v>
      </c>
      <c r="I1536" s="2">
        <v>67833.000000007407</v>
      </c>
      <c r="J1536" s="2">
        <v>1000</v>
      </c>
      <c r="K1536" s="2">
        <v>500</v>
      </c>
      <c r="L1536" s="2">
        <v>0</v>
      </c>
      <c r="M1536" s="2">
        <v>608347.61</v>
      </c>
      <c r="N1536">
        <f t="shared" si="27"/>
        <v>676559.41000000772</v>
      </c>
      <c r="O1536" s="9" t="s">
        <v>5</v>
      </c>
    </row>
    <row r="1537" spans="1:15" x14ac:dyDescent="0.2">
      <c r="A1537">
        <v>36</v>
      </c>
      <c r="B1537">
        <v>5</v>
      </c>
      <c r="C1537">
        <v>6</v>
      </c>
      <c r="D1537" s="2">
        <v>2</v>
      </c>
      <c r="E1537" s="2">
        <v>2</v>
      </c>
      <c r="F1537" s="2" t="s">
        <v>5</v>
      </c>
      <c r="G1537" s="2">
        <v>225.399999999709</v>
      </c>
      <c r="H1537" s="2" t="s">
        <v>16</v>
      </c>
      <c r="I1537" s="2">
        <v>85232.000000019107</v>
      </c>
      <c r="J1537" s="2">
        <v>1000</v>
      </c>
      <c r="K1537" s="2">
        <v>500</v>
      </c>
      <c r="L1537" s="2">
        <v>0</v>
      </c>
      <c r="M1537" s="2">
        <v>593388.01</v>
      </c>
      <c r="N1537">
        <f t="shared" si="27"/>
        <v>678845.41000001878</v>
      </c>
      <c r="O1537" s="9" t="s">
        <v>4</v>
      </c>
    </row>
    <row r="1538" spans="1:15" x14ac:dyDescent="0.2">
      <c r="A1538">
        <v>37</v>
      </c>
      <c r="B1538">
        <v>5</v>
      </c>
      <c r="C1538">
        <v>6</v>
      </c>
      <c r="D1538" s="2">
        <v>2</v>
      </c>
      <c r="E1538" s="2">
        <v>3</v>
      </c>
      <c r="F1538" s="2" t="s">
        <v>5</v>
      </c>
      <c r="G1538" s="2">
        <v>317.40000000049002</v>
      </c>
      <c r="H1538" s="2" t="s">
        <v>16</v>
      </c>
      <c r="I1538" s="2">
        <v>429632.99999999598</v>
      </c>
      <c r="J1538" s="2">
        <v>1000</v>
      </c>
      <c r="K1538" s="2">
        <v>500</v>
      </c>
      <c r="L1538" s="2">
        <v>0</v>
      </c>
      <c r="M1538" s="2">
        <v>605307.61</v>
      </c>
      <c r="N1538">
        <f t="shared" si="27"/>
        <v>1035258.0099999965</v>
      </c>
      <c r="O1538" s="9" t="s">
        <v>4</v>
      </c>
    </row>
    <row r="1539" spans="1:15" x14ac:dyDescent="0.2">
      <c r="A1539">
        <v>38</v>
      </c>
      <c r="B1539">
        <v>5</v>
      </c>
      <c r="C1539">
        <v>6</v>
      </c>
      <c r="D1539" s="2">
        <v>2</v>
      </c>
      <c r="E1539" s="2">
        <v>1</v>
      </c>
      <c r="F1539" s="2" t="s">
        <v>5</v>
      </c>
      <c r="G1539" s="2">
        <v>206.39999999971801</v>
      </c>
      <c r="H1539" s="2" t="s">
        <v>16</v>
      </c>
      <c r="I1539" s="2">
        <v>58606.999999995001</v>
      </c>
      <c r="J1539" s="2">
        <v>1000</v>
      </c>
      <c r="K1539" s="2">
        <v>500</v>
      </c>
      <c r="L1539" s="2">
        <v>0</v>
      </c>
      <c r="M1539" s="2">
        <v>608467.21</v>
      </c>
      <c r="N1539">
        <f t="shared" ref="N1539:N1602" si="29">G1539+I1539+M1539</f>
        <v>667280.60999999463</v>
      </c>
      <c r="O1539" s="9" t="s">
        <v>5</v>
      </c>
    </row>
    <row r="1540" spans="1:15" x14ac:dyDescent="0.2">
      <c r="A1540">
        <v>39</v>
      </c>
      <c r="B1540">
        <v>5</v>
      </c>
      <c r="C1540">
        <v>7</v>
      </c>
      <c r="D1540" s="2">
        <v>2</v>
      </c>
      <c r="E1540" s="2">
        <v>1</v>
      </c>
      <c r="F1540" s="2" t="s">
        <v>5</v>
      </c>
      <c r="G1540" s="2">
        <v>257.600000000124</v>
      </c>
      <c r="H1540" s="2" t="s">
        <v>16</v>
      </c>
      <c r="I1540" s="2">
        <v>172606.00000000201</v>
      </c>
      <c r="J1540" s="2">
        <v>1000</v>
      </c>
      <c r="K1540" s="2">
        <v>500</v>
      </c>
      <c r="L1540" s="2">
        <v>0</v>
      </c>
      <c r="M1540" s="2">
        <v>612828.01</v>
      </c>
      <c r="N1540">
        <f t="shared" si="29"/>
        <v>785691.6100000022</v>
      </c>
      <c r="O1540" s="9" t="s">
        <v>5</v>
      </c>
    </row>
    <row r="1541" spans="1:15" x14ac:dyDescent="0.2">
      <c r="A1541">
        <v>40</v>
      </c>
      <c r="B1541">
        <v>5</v>
      </c>
      <c r="C1541">
        <v>7</v>
      </c>
      <c r="D1541" s="2">
        <v>2</v>
      </c>
      <c r="E1541" s="2">
        <v>2</v>
      </c>
      <c r="F1541" s="2" t="s">
        <v>5</v>
      </c>
      <c r="G1541" s="2">
        <v>242.59999999962599</v>
      </c>
      <c r="H1541" s="2" t="s">
        <v>16</v>
      </c>
      <c r="I1541" s="2">
        <v>100393.999999994</v>
      </c>
      <c r="J1541" s="2">
        <v>1000</v>
      </c>
      <c r="K1541" s="2">
        <v>500</v>
      </c>
      <c r="L1541" s="2">
        <v>0</v>
      </c>
      <c r="M1541" s="2">
        <v>596068.41</v>
      </c>
      <c r="N1541">
        <f t="shared" si="29"/>
        <v>696705.00999999372</v>
      </c>
      <c r="O1541" s="9" t="s">
        <v>5</v>
      </c>
    </row>
    <row r="1542" spans="1:15" x14ac:dyDescent="0.2">
      <c r="A1542">
        <v>41</v>
      </c>
      <c r="B1542">
        <v>5</v>
      </c>
      <c r="C1542">
        <v>7</v>
      </c>
      <c r="D1542" s="2">
        <v>2</v>
      </c>
      <c r="E1542" s="2">
        <v>3</v>
      </c>
      <c r="F1542" s="2" t="s">
        <v>5</v>
      </c>
      <c r="G1542" s="2">
        <v>354.20000000030399</v>
      </c>
      <c r="H1542" s="2" t="s">
        <v>16</v>
      </c>
      <c r="I1542" s="2">
        <v>409392.00000002497</v>
      </c>
      <c r="J1542" s="2">
        <v>1000</v>
      </c>
      <c r="K1542" s="2">
        <v>500</v>
      </c>
      <c r="L1542" s="2">
        <v>0</v>
      </c>
      <c r="M1542" s="2">
        <v>605389.21</v>
      </c>
      <c r="N1542">
        <f t="shared" si="29"/>
        <v>1015135.4100000253</v>
      </c>
      <c r="O1542" s="9" t="s">
        <v>4</v>
      </c>
    </row>
    <row r="1543" spans="1:15" x14ac:dyDescent="0.2">
      <c r="A1543">
        <v>42</v>
      </c>
      <c r="B1543">
        <v>5</v>
      </c>
      <c r="C1543">
        <v>4</v>
      </c>
      <c r="D1543" s="2">
        <v>2</v>
      </c>
      <c r="E1543" s="2">
        <v>1</v>
      </c>
      <c r="F1543" s="2" t="s">
        <v>5</v>
      </c>
      <c r="G1543" s="2">
        <v>129.800000000202</v>
      </c>
      <c r="H1543" s="2" t="s">
        <v>16</v>
      </c>
      <c r="I1543" s="2">
        <v>11878.999999993301</v>
      </c>
      <c r="J1543" s="2">
        <v>1000</v>
      </c>
      <c r="K1543" s="2">
        <v>500</v>
      </c>
      <c r="L1543" s="2">
        <v>0</v>
      </c>
      <c r="M1543" s="2">
        <v>578067.61</v>
      </c>
      <c r="N1543">
        <f t="shared" si="29"/>
        <v>590076.40999999351</v>
      </c>
      <c r="O1543" s="9" t="s">
        <v>5</v>
      </c>
    </row>
    <row r="1544" spans="1:15" x14ac:dyDescent="0.2">
      <c r="A1544">
        <v>43</v>
      </c>
      <c r="B1544">
        <v>5</v>
      </c>
      <c r="C1544">
        <v>5</v>
      </c>
      <c r="D1544" s="2">
        <v>2</v>
      </c>
      <c r="E1544" s="2">
        <v>1</v>
      </c>
      <c r="F1544" s="2" t="s">
        <v>5</v>
      </c>
      <c r="G1544" s="2">
        <v>157.00000000009601</v>
      </c>
      <c r="H1544" s="2" t="s">
        <v>16</v>
      </c>
      <c r="I1544" s="2">
        <v>17081.999999987798</v>
      </c>
      <c r="J1544" s="2">
        <v>1000</v>
      </c>
      <c r="K1544" s="2">
        <v>500</v>
      </c>
      <c r="L1544" s="2">
        <v>0</v>
      </c>
      <c r="M1544" s="2">
        <v>580427.61</v>
      </c>
      <c r="N1544">
        <f t="shared" si="29"/>
        <v>597666.60999998788</v>
      </c>
      <c r="O1544" s="9" t="s">
        <v>5</v>
      </c>
    </row>
    <row r="1545" spans="1:15" x14ac:dyDescent="0.2">
      <c r="A1545">
        <v>44</v>
      </c>
      <c r="B1545">
        <v>5</v>
      </c>
      <c r="C1545">
        <v>5</v>
      </c>
      <c r="D1545" s="2">
        <v>2</v>
      </c>
      <c r="E1545" s="2">
        <v>2</v>
      </c>
      <c r="F1545" s="2" t="s">
        <v>5</v>
      </c>
      <c r="G1545" s="2">
        <v>156.599999999685</v>
      </c>
      <c r="H1545" s="2" t="s">
        <v>16</v>
      </c>
      <c r="I1545" s="2">
        <v>24732.0000000002</v>
      </c>
      <c r="J1545" s="2">
        <v>1000</v>
      </c>
      <c r="K1545" s="2">
        <v>500</v>
      </c>
      <c r="L1545" s="2">
        <v>0</v>
      </c>
      <c r="M1545" s="2">
        <v>579868.01</v>
      </c>
      <c r="N1545">
        <f t="shared" si="29"/>
        <v>604756.60999999987</v>
      </c>
      <c r="O1545" s="9" t="s">
        <v>5</v>
      </c>
    </row>
    <row r="1546" spans="1:15" x14ac:dyDescent="0.2">
      <c r="A1546">
        <v>45</v>
      </c>
      <c r="B1546">
        <v>5</v>
      </c>
      <c r="C1546">
        <v>5</v>
      </c>
      <c r="D1546" s="2">
        <v>2</v>
      </c>
      <c r="E1546" s="2">
        <v>3</v>
      </c>
      <c r="F1546" s="2" t="s">
        <v>5</v>
      </c>
      <c r="G1546" s="2">
        <v>211.00000000018301</v>
      </c>
      <c r="H1546" s="2" t="s">
        <v>16</v>
      </c>
      <c r="I1546" s="2">
        <v>56737.9999999957</v>
      </c>
      <c r="J1546" s="2">
        <v>1000</v>
      </c>
      <c r="K1546" s="2">
        <v>500</v>
      </c>
      <c r="L1546" s="2">
        <v>0</v>
      </c>
      <c r="M1546" s="2">
        <v>577428.01</v>
      </c>
      <c r="N1546">
        <f t="shared" si="29"/>
        <v>634377.00999999593</v>
      </c>
      <c r="O1546" s="9" t="s">
        <v>5</v>
      </c>
    </row>
    <row r="1547" spans="1:15" x14ac:dyDescent="0.2">
      <c r="A1547">
        <v>46</v>
      </c>
      <c r="B1547">
        <v>5</v>
      </c>
      <c r="C1547">
        <v>6</v>
      </c>
      <c r="D1547" s="2">
        <v>2</v>
      </c>
      <c r="E1547" s="2">
        <v>1</v>
      </c>
      <c r="F1547" s="2" t="s">
        <v>5</v>
      </c>
      <c r="G1547" s="2">
        <v>189.400000000006</v>
      </c>
      <c r="H1547" s="2" t="s">
        <v>16</v>
      </c>
      <c r="I1547" s="2">
        <v>68061.000000000204</v>
      </c>
      <c r="J1547" s="2">
        <v>1000</v>
      </c>
      <c r="K1547" s="2">
        <v>500</v>
      </c>
      <c r="L1547" s="2">
        <v>0</v>
      </c>
      <c r="M1547" s="2">
        <v>579509.21</v>
      </c>
      <c r="N1547">
        <f t="shared" si="29"/>
        <v>647759.61000000022</v>
      </c>
      <c r="O1547" s="9" t="s">
        <v>5</v>
      </c>
    </row>
    <row r="1548" spans="1:15" x14ac:dyDescent="0.2">
      <c r="A1548">
        <v>47</v>
      </c>
      <c r="B1548">
        <v>5</v>
      </c>
      <c r="C1548">
        <v>6</v>
      </c>
      <c r="D1548" s="2">
        <v>2</v>
      </c>
      <c r="E1548" s="2">
        <v>2</v>
      </c>
      <c r="F1548" s="2" t="s">
        <v>5</v>
      </c>
      <c r="G1548" s="2">
        <v>193.80000000026601</v>
      </c>
      <c r="H1548" s="2" t="s">
        <v>16</v>
      </c>
      <c r="I1548" s="2">
        <v>55103.000000002598</v>
      </c>
      <c r="J1548" s="2">
        <v>1000</v>
      </c>
      <c r="K1548" s="2">
        <v>500</v>
      </c>
      <c r="L1548" s="2">
        <v>0</v>
      </c>
      <c r="M1548" s="2">
        <v>580267.61</v>
      </c>
      <c r="N1548">
        <f t="shared" si="29"/>
        <v>635564.41000000283</v>
      </c>
      <c r="O1548" s="9" t="s">
        <v>5</v>
      </c>
    </row>
    <row r="1549" spans="1:15" x14ac:dyDescent="0.2">
      <c r="A1549">
        <v>48</v>
      </c>
      <c r="B1549">
        <v>5</v>
      </c>
      <c r="C1549">
        <v>6</v>
      </c>
      <c r="D1549" s="2">
        <v>2</v>
      </c>
      <c r="E1549" s="2">
        <v>3</v>
      </c>
      <c r="F1549" s="2" t="s">
        <v>5</v>
      </c>
      <c r="G1549" s="2">
        <v>249.79999999992199</v>
      </c>
      <c r="H1549" s="2" t="s">
        <v>16</v>
      </c>
      <c r="I1549" s="2">
        <v>121555.000000001</v>
      </c>
      <c r="J1549" s="2">
        <v>1000</v>
      </c>
      <c r="K1549" s="2">
        <v>500</v>
      </c>
      <c r="L1549" s="2">
        <v>0</v>
      </c>
      <c r="M1549" s="2">
        <v>609507.61</v>
      </c>
      <c r="N1549">
        <f t="shared" si="29"/>
        <v>731312.41000000085</v>
      </c>
      <c r="O1549" s="9" t="s">
        <v>4</v>
      </c>
    </row>
    <row r="1550" spans="1:15" x14ac:dyDescent="0.2">
      <c r="A1550">
        <v>49</v>
      </c>
      <c r="B1550">
        <v>5</v>
      </c>
      <c r="C1550">
        <v>6</v>
      </c>
      <c r="D1550" s="2">
        <v>2</v>
      </c>
      <c r="E1550" s="2">
        <v>1</v>
      </c>
      <c r="F1550" s="2" t="s">
        <v>5</v>
      </c>
      <c r="G1550" s="2">
        <v>183.19999999931699</v>
      </c>
      <c r="H1550" s="2" t="s">
        <v>16</v>
      </c>
      <c r="I1550" s="2">
        <v>41121.000000004002</v>
      </c>
      <c r="J1550" s="2">
        <v>1000</v>
      </c>
      <c r="K1550" s="2">
        <v>500</v>
      </c>
      <c r="L1550" s="2">
        <v>0</v>
      </c>
      <c r="M1550" s="2">
        <v>576068.41</v>
      </c>
      <c r="N1550">
        <f t="shared" si="29"/>
        <v>617372.61000000336</v>
      </c>
      <c r="O1550" s="9" t="s">
        <v>5</v>
      </c>
    </row>
    <row r="1551" spans="1:15" x14ac:dyDescent="0.2">
      <c r="A1551">
        <v>50</v>
      </c>
      <c r="B1551">
        <v>5</v>
      </c>
      <c r="C1551">
        <v>6</v>
      </c>
      <c r="D1551" s="2">
        <v>2</v>
      </c>
      <c r="E1551" s="2">
        <v>2</v>
      </c>
      <c r="F1551" s="2" t="s">
        <v>5</v>
      </c>
      <c r="G1551" s="2">
        <v>190.800000000024</v>
      </c>
      <c r="H1551" s="2" t="s">
        <v>16</v>
      </c>
      <c r="I1551" s="2">
        <v>50727.999999992302</v>
      </c>
      <c r="J1551" s="2">
        <v>1000</v>
      </c>
      <c r="K1551" s="2">
        <v>500</v>
      </c>
      <c r="L1551" s="2">
        <v>0</v>
      </c>
      <c r="M1551" s="2">
        <v>591748.01</v>
      </c>
      <c r="N1551">
        <f t="shared" si="29"/>
        <v>642666.80999999237</v>
      </c>
      <c r="O1551" s="9" t="s">
        <v>5</v>
      </c>
    </row>
    <row r="1552" spans="1:15" x14ac:dyDescent="0.2">
      <c r="A1552">
        <v>51</v>
      </c>
      <c r="B1552">
        <v>5</v>
      </c>
      <c r="C1552">
        <v>6</v>
      </c>
      <c r="D1552" s="2">
        <v>2</v>
      </c>
      <c r="E1552" s="2">
        <v>3</v>
      </c>
      <c r="F1552" s="2" t="s">
        <v>5</v>
      </c>
      <c r="G1552" s="2">
        <v>252.19999999990301</v>
      </c>
      <c r="H1552" s="2" t="s">
        <v>16</v>
      </c>
      <c r="I1552" s="2">
        <v>139174.99999999499</v>
      </c>
      <c r="J1552" s="2">
        <v>1000</v>
      </c>
      <c r="K1552" s="2">
        <v>500</v>
      </c>
      <c r="L1552" s="2">
        <v>0</v>
      </c>
      <c r="M1552" s="2">
        <v>593068.01</v>
      </c>
      <c r="N1552">
        <f t="shared" si="29"/>
        <v>732495.20999999484</v>
      </c>
      <c r="O1552" s="9" t="s">
        <v>4</v>
      </c>
    </row>
    <row r="1553" spans="1:15" x14ac:dyDescent="0.2">
      <c r="A1553">
        <v>52</v>
      </c>
      <c r="B1553">
        <v>5</v>
      </c>
      <c r="C1553">
        <v>7</v>
      </c>
      <c r="D1553" s="2">
        <v>2</v>
      </c>
      <c r="E1553" s="2">
        <v>1</v>
      </c>
      <c r="F1553" s="2" t="s">
        <v>5</v>
      </c>
      <c r="G1553" s="2">
        <v>219.40000000029201</v>
      </c>
      <c r="H1553" s="2" t="s">
        <v>16</v>
      </c>
      <c r="I1553" s="2">
        <v>49910.000000011198</v>
      </c>
      <c r="J1553" s="2">
        <v>1000</v>
      </c>
      <c r="K1553" s="2">
        <v>500</v>
      </c>
      <c r="L1553" s="2">
        <v>0</v>
      </c>
      <c r="M1553" s="2">
        <v>577428.81000000006</v>
      </c>
      <c r="N1553">
        <f t="shared" si="29"/>
        <v>627558.2100000116</v>
      </c>
      <c r="O1553" s="9" t="s">
        <v>5</v>
      </c>
    </row>
    <row r="1554" spans="1:15" x14ac:dyDescent="0.2">
      <c r="A1554">
        <v>53</v>
      </c>
      <c r="B1554">
        <v>5</v>
      </c>
      <c r="C1554">
        <v>7</v>
      </c>
      <c r="D1554" s="2">
        <v>2</v>
      </c>
      <c r="E1554" s="2">
        <v>2</v>
      </c>
      <c r="F1554" s="2" t="s">
        <v>5</v>
      </c>
      <c r="G1554" s="2">
        <v>218.80000000038501</v>
      </c>
      <c r="H1554" s="2" t="s">
        <v>16</v>
      </c>
      <c r="I1554" s="2">
        <v>113836.99999999</v>
      </c>
      <c r="J1554" s="2">
        <v>1000</v>
      </c>
      <c r="K1554" s="2">
        <v>500</v>
      </c>
      <c r="L1554" s="2">
        <v>0</v>
      </c>
      <c r="M1554" s="2">
        <v>594747.61</v>
      </c>
      <c r="N1554">
        <f t="shared" si="29"/>
        <v>708803.40999999037</v>
      </c>
      <c r="O1554" s="9" t="s">
        <v>5</v>
      </c>
    </row>
    <row r="1555" spans="1:15" x14ac:dyDescent="0.2">
      <c r="A1555">
        <v>54</v>
      </c>
      <c r="B1555">
        <v>5</v>
      </c>
      <c r="C1555">
        <v>7</v>
      </c>
      <c r="D1555" s="2">
        <v>2</v>
      </c>
      <c r="E1555" s="2">
        <v>3</v>
      </c>
      <c r="F1555" s="2" t="s">
        <v>5</v>
      </c>
      <c r="G1555" s="2">
        <v>306.40000000019501</v>
      </c>
      <c r="H1555" s="2" t="s">
        <v>16</v>
      </c>
      <c r="I1555" s="2">
        <v>434876.00000000303</v>
      </c>
      <c r="J1555" s="2">
        <v>1000</v>
      </c>
      <c r="K1555" s="2">
        <v>500</v>
      </c>
      <c r="L1555" s="2">
        <v>0</v>
      </c>
      <c r="M1555" s="2">
        <v>613150.01</v>
      </c>
      <c r="N1555">
        <f t="shared" si="29"/>
        <v>1048332.4100000032</v>
      </c>
      <c r="O1555" s="9" t="s">
        <v>4</v>
      </c>
    </row>
    <row r="1556" spans="1:15" x14ac:dyDescent="0.2">
      <c r="A1556">
        <v>55</v>
      </c>
      <c r="B1556">
        <v>5</v>
      </c>
      <c r="C1556">
        <v>5</v>
      </c>
      <c r="D1556" s="2">
        <v>2</v>
      </c>
      <c r="E1556" s="2">
        <v>1</v>
      </c>
      <c r="F1556" s="2" t="s">
        <v>5</v>
      </c>
      <c r="G1556" s="2">
        <v>140.60000000064599</v>
      </c>
      <c r="H1556" s="2" t="s">
        <v>16</v>
      </c>
      <c r="I1556" s="2">
        <v>27028.000000001401</v>
      </c>
      <c r="J1556" s="2">
        <v>1000</v>
      </c>
      <c r="K1556" s="2">
        <v>500</v>
      </c>
      <c r="L1556" s="2">
        <v>0</v>
      </c>
      <c r="M1556" s="2">
        <v>578468.01</v>
      </c>
      <c r="N1556">
        <f t="shared" si="29"/>
        <v>605636.61000000208</v>
      </c>
      <c r="O1556" s="9" t="s">
        <v>5</v>
      </c>
    </row>
    <row r="1557" spans="1:15" x14ac:dyDescent="0.2">
      <c r="A1557">
        <v>56</v>
      </c>
      <c r="B1557">
        <v>5</v>
      </c>
      <c r="C1557">
        <v>5</v>
      </c>
      <c r="D1557" s="2">
        <v>2</v>
      </c>
      <c r="E1557" s="2">
        <v>2</v>
      </c>
      <c r="F1557" s="2" t="s">
        <v>5</v>
      </c>
      <c r="G1557" s="2">
        <v>137.60000000004899</v>
      </c>
      <c r="H1557" s="2" t="s">
        <v>16</v>
      </c>
      <c r="I1557" s="2">
        <v>25397.999999995602</v>
      </c>
      <c r="J1557" s="2">
        <v>1000</v>
      </c>
      <c r="K1557" s="2">
        <v>500</v>
      </c>
      <c r="L1557" s="2">
        <v>0</v>
      </c>
      <c r="M1557" s="2">
        <v>579828.01</v>
      </c>
      <c r="N1557">
        <f t="shared" si="29"/>
        <v>605363.60999999568</v>
      </c>
      <c r="O1557" s="9" t="s">
        <v>5</v>
      </c>
    </row>
    <row r="1558" spans="1:15" x14ac:dyDescent="0.2">
      <c r="A1558">
        <v>57</v>
      </c>
      <c r="B1558">
        <v>5</v>
      </c>
      <c r="C1558">
        <v>5</v>
      </c>
      <c r="D1558" s="2">
        <v>2</v>
      </c>
      <c r="E1558" s="2">
        <v>3</v>
      </c>
      <c r="F1558" s="2" t="s">
        <v>5</v>
      </c>
      <c r="G1558" s="2">
        <v>183.39999999987799</v>
      </c>
      <c r="H1558" s="2" t="s">
        <v>16</v>
      </c>
      <c r="I1558" s="2">
        <v>44558.000000023399</v>
      </c>
      <c r="J1558" s="2">
        <v>1000</v>
      </c>
      <c r="K1558" s="2">
        <v>500</v>
      </c>
      <c r="L1558" s="2">
        <v>0</v>
      </c>
      <c r="M1558" s="2">
        <v>576468.81000000006</v>
      </c>
      <c r="N1558">
        <f t="shared" si="29"/>
        <v>621210.21000002336</v>
      </c>
      <c r="O1558" s="9" t="s">
        <v>5</v>
      </c>
    </row>
    <row r="1559" spans="1:15" x14ac:dyDescent="0.2">
      <c r="A1559">
        <v>58</v>
      </c>
      <c r="B1559">
        <v>5</v>
      </c>
      <c r="C1559">
        <v>6</v>
      </c>
      <c r="D1559" s="2">
        <v>2</v>
      </c>
      <c r="E1559" s="2">
        <v>1</v>
      </c>
      <c r="F1559" s="2" t="s">
        <v>5</v>
      </c>
      <c r="G1559" s="2">
        <v>215.599999999228</v>
      </c>
      <c r="H1559" s="2" t="s">
        <v>16</v>
      </c>
      <c r="I1559" s="2">
        <v>56205.000000005602</v>
      </c>
      <c r="J1559" s="2">
        <v>1000</v>
      </c>
      <c r="K1559" s="2">
        <v>500</v>
      </c>
      <c r="L1559" s="2">
        <v>0</v>
      </c>
      <c r="M1559" s="2">
        <v>581031.21</v>
      </c>
      <c r="N1559">
        <f t="shared" si="29"/>
        <v>637451.81000000483</v>
      </c>
      <c r="O1559" s="9" t="s">
        <v>5</v>
      </c>
    </row>
    <row r="1560" spans="1:15" x14ac:dyDescent="0.2">
      <c r="A1560">
        <v>59</v>
      </c>
      <c r="B1560">
        <v>5</v>
      </c>
      <c r="C1560">
        <v>6</v>
      </c>
      <c r="D1560" s="2">
        <v>2</v>
      </c>
      <c r="E1560" s="2">
        <v>2</v>
      </c>
      <c r="F1560" s="2" t="s">
        <v>5</v>
      </c>
      <c r="G1560" s="2">
        <v>212.39999999984599</v>
      </c>
      <c r="H1560" s="2" t="s">
        <v>16</v>
      </c>
      <c r="I1560" s="2">
        <v>45035.000000012798</v>
      </c>
      <c r="J1560" s="2">
        <v>1000</v>
      </c>
      <c r="K1560" s="2">
        <v>500</v>
      </c>
      <c r="L1560" s="2">
        <v>0</v>
      </c>
      <c r="M1560" s="2">
        <v>579388.01</v>
      </c>
      <c r="N1560">
        <f t="shared" si="29"/>
        <v>624635.41000001261</v>
      </c>
      <c r="O1560" s="9" t="s">
        <v>5</v>
      </c>
    </row>
    <row r="1561" spans="1:15" x14ac:dyDescent="0.2">
      <c r="A1561">
        <v>60</v>
      </c>
      <c r="B1561">
        <v>5</v>
      </c>
      <c r="C1561">
        <v>6</v>
      </c>
      <c r="D1561" s="2">
        <v>2</v>
      </c>
      <c r="E1561" s="2">
        <v>3</v>
      </c>
      <c r="F1561" s="2" t="s">
        <v>5</v>
      </c>
      <c r="G1561" s="2">
        <v>288.40000000016602</v>
      </c>
      <c r="H1561" s="2" t="s">
        <v>16</v>
      </c>
      <c r="I1561" s="2">
        <v>150798.00000000899</v>
      </c>
      <c r="J1561" s="2">
        <v>1000</v>
      </c>
      <c r="K1561" s="2">
        <v>500</v>
      </c>
      <c r="L1561" s="2">
        <v>0</v>
      </c>
      <c r="M1561" s="2">
        <v>581189.61</v>
      </c>
      <c r="N1561">
        <f t="shared" si="29"/>
        <v>732276.01000000909</v>
      </c>
      <c r="O1561" s="9" t="s">
        <v>5</v>
      </c>
    </row>
    <row r="1562" spans="1:15" x14ac:dyDescent="0.2">
      <c r="A1562">
        <v>61</v>
      </c>
      <c r="B1562">
        <v>5</v>
      </c>
      <c r="C1562">
        <v>7</v>
      </c>
      <c r="D1562" s="2">
        <v>2</v>
      </c>
      <c r="E1562" s="2">
        <v>1</v>
      </c>
      <c r="F1562" s="2" t="s">
        <v>5</v>
      </c>
      <c r="G1562" s="2">
        <v>230.60000000043601</v>
      </c>
      <c r="H1562" s="2" t="s">
        <v>16</v>
      </c>
      <c r="I1562" s="2">
        <v>105615.99999999801</v>
      </c>
      <c r="J1562" s="2">
        <v>1000</v>
      </c>
      <c r="K1562" s="2">
        <v>500</v>
      </c>
      <c r="L1562" s="2">
        <v>0</v>
      </c>
      <c r="M1562" s="2">
        <v>600829.21</v>
      </c>
      <c r="N1562">
        <f t="shared" si="29"/>
        <v>706675.80999999843</v>
      </c>
      <c r="O1562" s="9" t="s">
        <v>5</v>
      </c>
    </row>
    <row r="1563" spans="1:15" x14ac:dyDescent="0.2">
      <c r="A1563">
        <v>62</v>
      </c>
      <c r="B1563">
        <v>5</v>
      </c>
      <c r="C1563">
        <v>7</v>
      </c>
      <c r="D1563" s="2">
        <v>2</v>
      </c>
      <c r="E1563" s="2">
        <v>2</v>
      </c>
      <c r="F1563" s="2" t="s">
        <v>5</v>
      </c>
      <c r="G1563" s="2">
        <v>233.80000000017299</v>
      </c>
      <c r="H1563" s="2" t="s">
        <v>16</v>
      </c>
      <c r="I1563" s="2">
        <v>102223.999999978</v>
      </c>
      <c r="J1563" s="2">
        <v>1000</v>
      </c>
      <c r="K1563" s="2">
        <v>500</v>
      </c>
      <c r="L1563" s="2">
        <v>0</v>
      </c>
      <c r="M1563" s="2">
        <v>577707.61</v>
      </c>
      <c r="N1563">
        <f t="shared" si="29"/>
        <v>680165.40999997815</v>
      </c>
      <c r="O1563" s="9" t="s">
        <v>5</v>
      </c>
    </row>
    <row r="1564" spans="1:15" x14ac:dyDescent="0.2">
      <c r="A1564">
        <v>63</v>
      </c>
      <c r="B1564">
        <v>5</v>
      </c>
      <c r="C1564">
        <v>7</v>
      </c>
      <c r="D1564" s="2">
        <v>2</v>
      </c>
      <c r="E1564" s="2">
        <v>3</v>
      </c>
      <c r="F1564" s="2" t="s">
        <v>5</v>
      </c>
      <c r="G1564" s="2">
        <v>359.799999999666</v>
      </c>
      <c r="H1564" s="2" t="s">
        <v>16</v>
      </c>
      <c r="I1564" s="2">
        <v>241534.99999999901</v>
      </c>
      <c r="J1564" s="2">
        <v>1000</v>
      </c>
      <c r="K1564" s="2">
        <v>500</v>
      </c>
      <c r="L1564" s="2">
        <v>0</v>
      </c>
      <c r="M1564" s="2">
        <v>583428.41</v>
      </c>
      <c r="N1564">
        <f t="shared" si="29"/>
        <v>825323.20999999868</v>
      </c>
      <c r="O1564" s="9" t="s">
        <v>4</v>
      </c>
    </row>
    <row r="1565" spans="1:15" x14ac:dyDescent="0.2">
      <c r="A1565">
        <v>64</v>
      </c>
      <c r="B1565">
        <v>5</v>
      </c>
      <c r="C1565">
        <v>8</v>
      </c>
      <c r="D1565" s="2">
        <v>2</v>
      </c>
      <c r="E1565" s="2">
        <v>1</v>
      </c>
      <c r="F1565" s="2" t="s">
        <v>5</v>
      </c>
      <c r="G1565" s="2">
        <v>274.00000000028501</v>
      </c>
      <c r="H1565" s="2" t="s">
        <v>16</v>
      </c>
      <c r="I1565" s="2">
        <v>128890.00000001299</v>
      </c>
      <c r="J1565" s="2">
        <v>1000</v>
      </c>
      <c r="K1565" s="2">
        <v>500</v>
      </c>
      <c r="L1565" s="2">
        <v>0</v>
      </c>
      <c r="M1565" s="2">
        <v>584790.41</v>
      </c>
      <c r="N1565">
        <f t="shared" si="29"/>
        <v>713954.4100000133</v>
      </c>
      <c r="O1565" s="9" t="s">
        <v>5</v>
      </c>
    </row>
    <row r="1566" spans="1:15" x14ac:dyDescent="0.2">
      <c r="A1566">
        <v>65</v>
      </c>
      <c r="B1566">
        <v>5</v>
      </c>
      <c r="C1566">
        <v>8</v>
      </c>
      <c r="D1566" s="2">
        <v>2</v>
      </c>
      <c r="E1566" s="2">
        <v>2</v>
      </c>
      <c r="F1566" s="2" t="s">
        <v>5</v>
      </c>
      <c r="G1566" s="2">
        <v>271.20000000024902</v>
      </c>
      <c r="H1566" s="2" t="s">
        <v>16</v>
      </c>
      <c r="I1566" s="2">
        <v>165955.999999994</v>
      </c>
      <c r="J1566" s="2">
        <v>1000</v>
      </c>
      <c r="K1566" s="2">
        <v>500</v>
      </c>
      <c r="L1566" s="2">
        <v>0</v>
      </c>
      <c r="M1566" s="2">
        <v>581148.01</v>
      </c>
      <c r="N1566">
        <f t="shared" si="29"/>
        <v>747375.20999999426</v>
      </c>
      <c r="O1566" s="9" t="s">
        <v>4</v>
      </c>
    </row>
    <row r="1567" spans="1:15" x14ac:dyDescent="0.2">
      <c r="A1567">
        <v>66</v>
      </c>
      <c r="B1567">
        <v>5</v>
      </c>
      <c r="C1567">
        <v>8</v>
      </c>
      <c r="D1567" s="2">
        <v>2</v>
      </c>
      <c r="E1567" s="2">
        <v>3</v>
      </c>
      <c r="F1567" s="2" t="s">
        <v>5</v>
      </c>
      <c r="G1567" s="2">
        <v>390.99999999976399</v>
      </c>
      <c r="H1567" s="2" t="s">
        <v>16</v>
      </c>
      <c r="I1567" s="2">
        <v>603557.99999999197</v>
      </c>
      <c r="J1567" s="2">
        <v>1000</v>
      </c>
      <c r="K1567" s="2">
        <v>500</v>
      </c>
      <c r="L1567" s="2">
        <v>0</v>
      </c>
      <c r="M1567" s="2">
        <v>585829.21</v>
      </c>
      <c r="N1567">
        <f t="shared" si="29"/>
        <v>1189778.2099999916</v>
      </c>
      <c r="O1567" s="9" t="s">
        <v>4</v>
      </c>
    </row>
    <row r="1568" spans="1:15" x14ac:dyDescent="0.2">
      <c r="A1568">
        <v>67</v>
      </c>
      <c r="B1568">
        <v>5</v>
      </c>
      <c r="C1568">
        <v>7</v>
      </c>
      <c r="D1568" s="2">
        <v>2</v>
      </c>
      <c r="E1568" s="2">
        <v>1</v>
      </c>
      <c r="F1568" s="2" t="s">
        <v>5</v>
      </c>
      <c r="G1568" s="2">
        <v>210.20000000007099</v>
      </c>
      <c r="H1568" s="2" t="s">
        <v>16</v>
      </c>
      <c r="I1568" s="2">
        <v>119817.999999981</v>
      </c>
      <c r="J1568" s="2">
        <v>1000</v>
      </c>
      <c r="K1568" s="2">
        <v>500</v>
      </c>
      <c r="L1568" s="2">
        <v>0</v>
      </c>
      <c r="M1568" s="2">
        <v>596268.01</v>
      </c>
      <c r="N1568">
        <f t="shared" si="29"/>
        <v>716296.2099999811</v>
      </c>
      <c r="O1568" s="9" t="s">
        <v>5</v>
      </c>
    </row>
    <row r="1569" spans="1:15" x14ac:dyDescent="0.2">
      <c r="A1569">
        <v>68</v>
      </c>
      <c r="B1569">
        <v>5</v>
      </c>
      <c r="C1569">
        <v>7</v>
      </c>
      <c r="D1569" s="2">
        <v>2</v>
      </c>
      <c r="E1569" s="2">
        <v>2</v>
      </c>
      <c r="F1569" s="2" t="s">
        <v>5</v>
      </c>
      <c r="G1569" s="2">
        <v>210.00000000022101</v>
      </c>
      <c r="H1569" s="2" t="s">
        <v>16</v>
      </c>
      <c r="I1569" s="2">
        <v>73575.000000005297</v>
      </c>
      <c r="J1569" s="2">
        <v>1000</v>
      </c>
      <c r="K1569" s="2">
        <v>500</v>
      </c>
      <c r="L1569" s="2">
        <v>0</v>
      </c>
      <c r="M1569" s="2">
        <v>582268.41</v>
      </c>
      <c r="N1569">
        <f t="shared" si="29"/>
        <v>656053.4100000055</v>
      </c>
      <c r="O1569" s="9" t="s">
        <v>5</v>
      </c>
    </row>
    <row r="1570" spans="1:15" x14ac:dyDescent="0.2">
      <c r="A1570">
        <v>69</v>
      </c>
      <c r="B1570">
        <v>5</v>
      </c>
      <c r="C1570">
        <v>7</v>
      </c>
      <c r="D1570" s="2">
        <v>2</v>
      </c>
      <c r="E1570" s="2">
        <v>3</v>
      </c>
      <c r="F1570" s="2" t="s">
        <v>5</v>
      </c>
      <c r="G1570" s="2">
        <v>292.59999999986502</v>
      </c>
      <c r="H1570" s="2" t="s">
        <v>16</v>
      </c>
      <c r="I1570" s="2">
        <v>260648.000000003</v>
      </c>
      <c r="J1570" s="2">
        <v>1000</v>
      </c>
      <c r="K1570" s="2">
        <v>500</v>
      </c>
      <c r="L1570" s="2">
        <v>0</v>
      </c>
      <c r="M1570" s="2">
        <v>578428.81000000006</v>
      </c>
      <c r="N1570">
        <f t="shared" si="29"/>
        <v>839369.41000000294</v>
      </c>
      <c r="O1570" s="9" t="s">
        <v>4</v>
      </c>
    </row>
    <row r="1571" spans="1:15" x14ac:dyDescent="0.2">
      <c r="A1571">
        <v>28</v>
      </c>
      <c r="B1571">
        <v>5</v>
      </c>
      <c r="C1571">
        <v>4</v>
      </c>
      <c r="D1571" s="2">
        <v>2</v>
      </c>
      <c r="E1571" s="2">
        <v>1</v>
      </c>
      <c r="F1571" s="2" t="s">
        <v>5</v>
      </c>
      <c r="G1571" s="2">
        <v>541.19999999961999</v>
      </c>
      <c r="H1571" s="2" t="s">
        <v>16</v>
      </c>
      <c r="I1571" s="2">
        <v>40185.000000008098</v>
      </c>
      <c r="J1571" s="2">
        <v>1000</v>
      </c>
      <c r="K1571" s="2">
        <v>700</v>
      </c>
      <c r="L1571" s="2">
        <v>0</v>
      </c>
      <c r="M1571" s="2">
        <v>791668.81</v>
      </c>
      <c r="N1571">
        <f t="shared" si="29"/>
        <v>832395.01000000781</v>
      </c>
      <c r="O1571" s="9" t="s">
        <v>5</v>
      </c>
    </row>
    <row r="1572" spans="1:15" x14ac:dyDescent="0.2">
      <c r="A1572">
        <v>29</v>
      </c>
      <c r="B1572">
        <v>5</v>
      </c>
      <c r="C1572">
        <v>5</v>
      </c>
      <c r="D1572" s="2">
        <v>2</v>
      </c>
      <c r="E1572" s="2">
        <v>2</v>
      </c>
      <c r="F1572" s="2" t="s">
        <v>5</v>
      </c>
      <c r="G1572" s="2">
        <v>547.39999999959798</v>
      </c>
      <c r="H1572" s="2" t="s">
        <v>16</v>
      </c>
      <c r="I1572" s="2">
        <v>34695.999999996697</v>
      </c>
      <c r="J1572" s="2">
        <v>1000</v>
      </c>
      <c r="K1572" s="2">
        <v>700</v>
      </c>
      <c r="L1572" s="2">
        <v>0</v>
      </c>
      <c r="M1572" s="2">
        <v>777187.21</v>
      </c>
      <c r="N1572">
        <f t="shared" si="29"/>
        <v>812430.60999999626</v>
      </c>
      <c r="O1572" s="9" t="s">
        <v>5</v>
      </c>
    </row>
    <row r="1573" spans="1:15" x14ac:dyDescent="0.2">
      <c r="A1573">
        <v>30</v>
      </c>
      <c r="B1573">
        <v>5</v>
      </c>
      <c r="C1573">
        <v>5</v>
      </c>
      <c r="D1573" s="2">
        <v>2</v>
      </c>
      <c r="E1573" s="2">
        <v>3</v>
      </c>
      <c r="F1573" s="2" t="s">
        <v>5</v>
      </c>
      <c r="G1573" s="2">
        <v>598.60000000000502</v>
      </c>
      <c r="H1573" s="2" t="s">
        <v>16</v>
      </c>
      <c r="I1573" s="2">
        <v>78614.999999984997</v>
      </c>
      <c r="J1573" s="2">
        <v>1000</v>
      </c>
      <c r="K1573" s="2">
        <v>700</v>
      </c>
      <c r="L1573" s="2">
        <v>0</v>
      </c>
      <c r="M1573" s="2">
        <v>781228.01</v>
      </c>
      <c r="N1573">
        <f t="shared" si="29"/>
        <v>860441.60999998497</v>
      </c>
      <c r="O1573" s="9" t="s">
        <v>5</v>
      </c>
    </row>
    <row r="1574" spans="1:15" x14ac:dyDescent="0.2">
      <c r="A1574">
        <v>31</v>
      </c>
      <c r="B1574">
        <v>5</v>
      </c>
      <c r="C1574">
        <v>5</v>
      </c>
      <c r="D1574" s="2">
        <v>2</v>
      </c>
      <c r="E1574" s="2">
        <v>1</v>
      </c>
      <c r="F1574" s="2" t="s">
        <v>5</v>
      </c>
      <c r="G1574" s="2">
        <v>351.19999999970702</v>
      </c>
      <c r="H1574" s="2" t="s">
        <v>16</v>
      </c>
      <c r="I1574" s="2">
        <v>51963.999999998101</v>
      </c>
      <c r="J1574" s="2">
        <v>1000</v>
      </c>
      <c r="K1574" s="2">
        <v>700</v>
      </c>
      <c r="L1574" s="2">
        <v>0</v>
      </c>
      <c r="M1574" s="2">
        <v>779107.61</v>
      </c>
      <c r="N1574">
        <f t="shared" si="29"/>
        <v>831422.80999999784</v>
      </c>
      <c r="O1574" s="9" t="s">
        <v>5</v>
      </c>
    </row>
    <row r="1575" spans="1:15" x14ac:dyDescent="0.2">
      <c r="A1575">
        <v>32</v>
      </c>
      <c r="B1575">
        <v>5</v>
      </c>
      <c r="C1575">
        <v>5</v>
      </c>
      <c r="D1575" s="2">
        <v>2</v>
      </c>
      <c r="E1575" s="2">
        <v>2</v>
      </c>
      <c r="F1575" s="2" t="s">
        <v>5</v>
      </c>
      <c r="G1575" s="2">
        <v>356.00000000002302</v>
      </c>
      <c r="H1575" s="2" t="s">
        <v>16</v>
      </c>
      <c r="I1575" s="2">
        <v>20672.999999987998</v>
      </c>
      <c r="J1575" s="2">
        <v>1000</v>
      </c>
      <c r="K1575" s="2">
        <v>700</v>
      </c>
      <c r="L1575" s="2">
        <v>0</v>
      </c>
      <c r="M1575" s="2">
        <v>776787.21</v>
      </c>
      <c r="N1575">
        <f t="shared" si="29"/>
        <v>797816.20999998797</v>
      </c>
      <c r="O1575" s="9" t="s">
        <v>5</v>
      </c>
    </row>
    <row r="1576" spans="1:15" x14ac:dyDescent="0.2">
      <c r="A1576">
        <v>33</v>
      </c>
      <c r="B1576">
        <v>5</v>
      </c>
      <c r="C1576">
        <v>5</v>
      </c>
      <c r="D1576" s="2">
        <v>2</v>
      </c>
      <c r="E1576" s="2">
        <v>3</v>
      </c>
      <c r="F1576" s="2" t="s">
        <v>5</v>
      </c>
      <c r="G1576" s="2">
        <v>485.39999999981399</v>
      </c>
      <c r="H1576" s="2" t="s">
        <v>16</v>
      </c>
      <c r="I1576" s="2">
        <v>60222.000000010201</v>
      </c>
      <c r="J1576" s="2">
        <v>1000</v>
      </c>
      <c r="K1576" s="2">
        <v>700</v>
      </c>
      <c r="L1576" s="2">
        <v>0</v>
      </c>
      <c r="M1576" s="2">
        <v>780428.01</v>
      </c>
      <c r="N1576">
        <f t="shared" si="29"/>
        <v>841135.41000001004</v>
      </c>
      <c r="O1576" s="9" t="s">
        <v>5</v>
      </c>
    </row>
    <row r="1577" spans="1:15" x14ac:dyDescent="0.2">
      <c r="A1577">
        <v>34</v>
      </c>
      <c r="B1577">
        <v>5</v>
      </c>
      <c r="C1577">
        <v>5</v>
      </c>
      <c r="D1577" s="2">
        <v>2</v>
      </c>
      <c r="E1577" s="2">
        <v>1</v>
      </c>
      <c r="F1577" s="2" t="s">
        <v>5</v>
      </c>
      <c r="G1577" s="2">
        <v>307.60000000000798</v>
      </c>
      <c r="H1577" s="2" t="s">
        <v>16</v>
      </c>
      <c r="I1577" s="2">
        <v>19947.000000001899</v>
      </c>
      <c r="J1577" s="2">
        <v>1000</v>
      </c>
      <c r="K1577" s="2">
        <v>700</v>
      </c>
      <c r="L1577" s="2">
        <v>0</v>
      </c>
      <c r="M1577" s="2">
        <v>778907.61</v>
      </c>
      <c r="N1577">
        <f t="shared" si="29"/>
        <v>799162.21000000194</v>
      </c>
      <c r="O1577" s="9" t="s">
        <v>5</v>
      </c>
    </row>
    <row r="1578" spans="1:15" x14ac:dyDescent="0.2">
      <c r="A1578">
        <v>35</v>
      </c>
      <c r="B1578">
        <v>5</v>
      </c>
      <c r="C1578">
        <v>6</v>
      </c>
      <c r="D1578" s="2">
        <v>2</v>
      </c>
      <c r="E1578" s="2">
        <v>1</v>
      </c>
      <c r="F1578" s="2" t="s">
        <v>5</v>
      </c>
      <c r="G1578" s="2">
        <v>378.80000000036802</v>
      </c>
      <c r="H1578" s="2" t="s">
        <v>16</v>
      </c>
      <c r="I1578" s="2">
        <v>67833.000000007407</v>
      </c>
      <c r="J1578" s="2">
        <v>1000</v>
      </c>
      <c r="K1578" s="2">
        <v>700</v>
      </c>
      <c r="L1578" s="2">
        <v>0</v>
      </c>
      <c r="M1578" s="2">
        <v>808347.61</v>
      </c>
      <c r="N1578">
        <f t="shared" si="29"/>
        <v>876559.41000000772</v>
      </c>
      <c r="O1578" s="9" t="s">
        <v>5</v>
      </c>
    </row>
    <row r="1579" spans="1:15" x14ac:dyDescent="0.2">
      <c r="A1579">
        <v>36</v>
      </c>
      <c r="B1579">
        <v>5</v>
      </c>
      <c r="C1579">
        <v>6</v>
      </c>
      <c r="D1579" s="2">
        <v>2</v>
      </c>
      <c r="E1579" s="2">
        <v>2</v>
      </c>
      <c r="F1579" s="2" t="s">
        <v>5</v>
      </c>
      <c r="G1579" s="2">
        <v>225.399999999709</v>
      </c>
      <c r="H1579" s="2" t="s">
        <v>16</v>
      </c>
      <c r="I1579" s="2">
        <v>85232.000000019107</v>
      </c>
      <c r="J1579" s="2">
        <v>1000</v>
      </c>
      <c r="K1579" s="2">
        <v>700</v>
      </c>
      <c r="L1579" s="2">
        <v>0</v>
      </c>
      <c r="M1579" s="2">
        <v>793388.01</v>
      </c>
      <c r="N1579">
        <f t="shared" si="29"/>
        <v>878845.41000001878</v>
      </c>
      <c r="O1579" s="9" t="s">
        <v>4</v>
      </c>
    </row>
    <row r="1580" spans="1:15" x14ac:dyDescent="0.2">
      <c r="A1580">
        <v>37</v>
      </c>
      <c r="B1580">
        <v>5</v>
      </c>
      <c r="C1580">
        <v>6</v>
      </c>
      <c r="D1580" s="2">
        <v>2</v>
      </c>
      <c r="E1580" s="2">
        <v>3</v>
      </c>
      <c r="F1580" s="2" t="s">
        <v>5</v>
      </c>
      <c r="G1580" s="2">
        <v>317.40000000049002</v>
      </c>
      <c r="H1580" s="2" t="s">
        <v>16</v>
      </c>
      <c r="I1580" s="2">
        <v>429632.99999999598</v>
      </c>
      <c r="J1580" s="2">
        <v>1000</v>
      </c>
      <c r="K1580" s="2">
        <v>700</v>
      </c>
      <c r="L1580" s="2">
        <v>0</v>
      </c>
      <c r="M1580" s="2">
        <v>805307.61</v>
      </c>
      <c r="N1580">
        <f t="shared" si="29"/>
        <v>1235258.0099999965</v>
      </c>
      <c r="O1580" s="9" t="s">
        <v>4</v>
      </c>
    </row>
    <row r="1581" spans="1:15" x14ac:dyDescent="0.2">
      <c r="A1581">
        <v>38</v>
      </c>
      <c r="B1581">
        <v>5</v>
      </c>
      <c r="C1581">
        <v>6</v>
      </c>
      <c r="D1581" s="2">
        <v>2</v>
      </c>
      <c r="E1581" s="2">
        <v>1</v>
      </c>
      <c r="F1581" s="2" t="s">
        <v>5</v>
      </c>
      <c r="G1581" s="2">
        <v>206.39999999971801</v>
      </c>
      <c r="H1581" s="2" t="s">
        <v>16</v>
      </c>
      <c r="I1581" s="2">
        <v>58606.999999995001</v>
      </c>
      <c r="J1581" s="2">
        <v>1000</v>
      </c>
      <c r="K1581" s="2">
        <v>700</v>
      </c>
      <c r="L1581" s="2">
        <v>0</v>
      </c>
      <c r="M1581" s="2">
        <v>808467.21</v>
      </c>
      <c r="N1581">
        <f t="shared" si="29"/>
        <v>867280.60999999463</v>
      </c>
      <c r="O1581" s="9" t="s">
        <v>5</v>
      </c>
    </row>
    <row r="1582" spans="1:15" x14ac:dyDescent="0.2">
      <c r="A1582">
        <v>39</v>
      </c>
      <c r="B1582">
        <v>5</v>
      </c>
      <c r="C1582">
        <v>7</v>
      </c>
      <c r="D1582" s="2">
        <v>2</v>
      </c>
      <c r="E1582" s="2">
        <v>1</v>
      </c>
      <c r="F1582" s="2" t="s">
        <v>5</v>
      </c>
      <c r="G1582" s="2">
        <v>257.600000000124</v>
      </c>
      <c r="H1582" s="2" t="s">
        <v>16</v>
      </c>
      <c r="I1582" s="2">
        <v>172606.00000000201</v>
      </c>
      <c r="J1582" s="2">
        <v>1000</v>
      </c>
      <c r="K1582" s="2">
        <v>700</v>
      </c>
      <c r="L1582" s="2">
        <v>0</v>
      </c>
      <c r="M1582" s="2">
        <v>812828.01</v>
      </c>
      <c r="N1582">
        <f t="shared" si="29"/>
        <v>985691.6100000022</v>
      </c>
      <c r="O1582" s="9" t="s">
        <v>5</v>
      </c>
    </row>
    <row r="1583" spans="1:15" x14ac:dyDescent="0.2">
      <c r="A1583">
        <v>40</v>
      </c>
      <c r="B1583">
        <v>5</v>
      </c>
      <c r="C1583">
        <v>7</v>
      </c>
      <c r="D1583" s="2">
        <v>2</v>
      </c>
      <c r="E1583" s="2">
        <v>2</v>
      </c>
      <c r="F1583" s="2" t="s">
        <v>5</v>
      </c>
      <c r="G1583" s="2">
        <v>242.59999999962599</v>
      </c>
      <c r="H1583" s="2" t="s">
        <v>16</v>
      </c>
      <c r="I1583" s="2">
        <v>100393.999999994</v>
      </c>
      <c r="J1583" s="2">
        <v>1000</v>
      </c>
      <c r="K1583" s="2">
        <v>700</v>
      </c>
      <c r="L1583" s="2">
        <v>0</v>
      </c>
      <c r="M1583" s="2">
        <v>796068.41</v>
      </c>
      <c r="N1583">
        <f t="shared" si="29"/>
        <v>896705.00999999372</v>
      </c>
      <c r="O1583" s="9" t="s">
        <v>4</v>
      </c>
    </row>
    <row r="1584" spans="1:15" x14ac:dyDescent="0.2">
      <c r="A1584">
        <v>41</v>
      </c>
      <c r="B1584">
        <v>5</v>
      </c>
      <c r="C1584">
        <v>7</v>
      </c>
      <c r="D1584" s="2">
        <v>2</v>
      </c>
      <c r="E1584" s="2">
        <v>3</v>
      </c>
      <c r="F1584" s="2" t="s">
        <v>5</v>
      </c>
      <c r="G1584" s="2">
        <v>354.20000000030399</v>
      </c>
      <c r="H1584" s="2" t="s">
        <v>16</v>
      </c>
      <c r="I1584" s="2">
        <v>409392.00000002497</v>
      </c>
      <c r="J1584" s="2">
        <v>1000</v>
      </c>
      <c r="K1584" s="2">
        <v>700</v>
      </c>
      <c r="L1584" s="2">
        <v>0</v>
      </c>
      <c r="M1584" s="2">
        <v>805389.21</v>
      </c>
      <c r="N1584">
        <f t="shared" si="29"/>
        <v>1215135.4100000253</v>
      </c>
      <c r="O1584" s="9" t="s">
        <v>4</v>
      </c>
    </row>
    <row r="1585" spans="1:15" x14ac:dyDescent="0.2">
      <c r="A1585">
        <v>42</v>
      </c>
      <c r="B1585">
        <v>5</v>
      </c>
      <c r="C1585">
        <v>4</v>
      </c>
      <c r="D1585" s="2">
        <v>2</v>
      </c>
      <c r="E1585" s="2">
        <v>1</v>
      </c>
      <c r="F1585" s="2" t="s">
        <v>5</v>
      </c>
      <c r="G1585" s="2">
        <v>129.800000000202</v>
      </c>
      <c r="H1585" s="2" t="s">
        <v>16</v>
      </c>
      <c r="I1585" s="2">
        <v>11878.999999993301</v>
      </c>
      <c r="J1585" s="2">
        <v>1000</v>
      </c>
      <c r="K1585" s="2">
        <v>700</v>
      </c>
      <c r="L1585" s="2">
        <v>0</v>
      </c>
      <c r="M1585" s="2">
        <v>778067.61</v>
      </c>
      <c r="N1585">
        <f t="shared" si="29"/>
        <v>790076.40999999351</v>
      </c>
      <c r="O1585" s="9" t="s">
        <v>5</v>
      </c>
    </row>
    <row r="1586" spans="1:15" x14ac:dyDescent="0.2">
      <c r="A1586">
        <v>43</v>
      </c>
      <c r="B1586">
        <v>5</v>
      </c>
      <c r="C1586">
        <v>5</v>
      </c>
      <c r="D1586" s="2">
        <v>2</v>
      </c>
      <c r="E1586" s="2">
        <v>1</v>
      </c>
      <c r="F1586" s="2" t="s">
        <v>5</v>
      </c>
      <c r="G1586" s="2">
        <v>157.00000000009601</v>
      </c>
      <c r="H1586" s="2" t="s">
        <v>16</v>
      </c>
      <c r="I1586" s="2">
        <v>17081.999999987798</v>
      </c>
      <c r="J1586" s="2">
        <v>1000</v>
      </c>
      <c r="K1586" s="2">
        <v>700</v>
      </c>
      <c r="L1586" s="2">
        <v>0</v>
      </c>
      <c r="M1586" s="2">
        <v>780427.61</v>
      </c>
      <c r="N1586">
        <f t="shared" si="29"/>
        <v>797666.60999998788</v>
      </c>
      <c r="O1586" s="9" t="s">
        <v>5</v>
      </c>
    </row>
    <row r="1587" spans="1:15" x14ac:dyDescent="0.2">
      <c r="A1587">
        <v>44</v>
      </c>
      <c r="B1587">
        <v>5</v>
      </c>
      <c r="C1587">
        <v>5</v>
      </c>
      <c r="D1587" s="2">
        <v>2</v>
      </c>
      <c r="E1587" s="2">
        <v>2</v>
      </c>
      <c r="F1587" s="2" t="s">
        <v>5</v>
      </c>
      <c r="G1587" s="2">
        <v>156.599999999685</v>
      </c>
      <c r="H1587" s="2" t="s">
        <v>16</v>
      </c>
      <c r="I1587" s="2">
        <v>24732.0000000002</v>
      </c>
      <c r="J1587" s="2">
        <v>1000</v>
      </c>
      <c r="K1587" s="2">
        <v>700</v>
      </c>
      <c r="L1587" s="2">
        <v>0</v>
      </c>
      <c r="M1587" s="2">
        <v>779868.01</v>
      </c>
      <c r="N1587">
        <f t="shared" si="29"/>
        <v>804756.60999999987</v>
      </c>
      <c r="O1587" s="9" t="s">
        <v>5</v>
      </c>
    </row>
    <row r="1588" spans="1:15" x14ac:dyDescent="0.2">
      <c r="A1588">
        <v>45</v>
      </c>
      <c r="B1588">
        <v>5</v>
      </c>
      <c r="C1588">
        <v>5</v>
      </c>
      <c r="D1588" s="2">
        <v>2</v>
      </c>
      <c r="E1588" s="2">
        <v>3</v>
      </c>
      <c r="F1588" s="2" t="s">
        <v>5</v>
      </c>
      <c r="G1588" s="2">
        <v>211.00000000018301</v>
      </c>
      <c r="H1588" s="2" t="s">
        <v>16</v>
      </c>
      <c r="I1588" s="2">
        <v>56737.9999999957</v>
      </c>
      <c r="J1588" s="2">
        <v>1000</v>
      </c>
      <c r="K1588" s="2">
        <v>700</v>
      </c>
      <c r="L1588" s="2">
        <v>0</v>
      </c>
      <c r="M1588" s="2">
        <v>777428.01</v>
      </c>
      <c r="N1588">
        <f t="shared" si="29"/>
        <v>834377.00999999593</v>
      </c>
      <c r="O1588" s="9" t="s">
        <v>5</v>
      </c>
    </row>
    <row r="1589" spans="1:15" x14ac:dyDescent="0.2">
      <c r="A1589">
        <v>46</v>
      </c>
      <c r="B1589">
        <v>5</v>
      </c>
      <c r="C1589">
        <v>6</v>
      </c>
      <c r="D1589" s="2">
        <v>2</v>
      </c>
      <c r="E1589" s="2">
        <v>1</v>
      </c>
      <c r="F1589" s="2" t="s">
        <v>5</v>
      </c>
      <c r="G1589" s="2">
        <v>189.400000000006</v>
      </c>
      <c r="H1589" s="2" t="s">
        <v>16</v>
      </c>
      <c r="I1589" s="2">
        <v>68061.000000000204</v>
      </c>
      <c r="J1589" s="2">
        <v>1000</v>
      </c>
      <c r="K1589" s="2">
        <v>700</v>
      </c>
      <c r="L1589" s="2">
        <v>0</v>
      </c>
      <c r="M1589" s="2">
        <v>779509.21</v>
      </c>
      <c r="N1589">
        <f t="shared" si="29"/>
        <v>847759.61000000022</v>
      </c>
      <c r="O1589" s="9" t="s">
        <v>5</v>
      </c>
    </row>
    <row r="1590" spans="1:15" x14ac:dyDescent="0.2">
      <c r="A1590">
        <v>47</v>
      </c>
      <c r="B1590">
        <v>5</v>
      </c>
      <c r="C1590">
        <v>6</v>
      </c>
      <c r="D1590" s="2">
        <v>2</v>
      </c>
      <c r="E1590" s="2">
        <v>2</v>
      </c>
      <c r="F1590" s="2" t="s">
        <v>5</v>
      </c>
      <c r="G1590" s="2">
        <v>193.80000000026601</v>
      </c>
      <c r="H1590" s="2" t="s">
        <v>16</v>
      </c>
      <c r="I1590" s="2">
        <v>55103.000000002598</v>
      </c>
      <c r="J1590" s="2">
        <v>1000</v>
      </c>
      <c r="K1590" s="2">
        <v>700</v>
      </c>
      <c r="L1590" s="2">
        <v>0</v>
      </c>
      <c r="M1590" s="2">
        <v>780267.61</v>
      </c>
      <c r="N1590">
        <f t="shared" si="29"/>
        <v>835564.41000000283</v>
      </c>
      <c r="O1590" s="9" t="s">
        <v>5</v>
      </c>
    </row>
    <row r="1591" spans="1:15" x14ac:dyDescent="0.2">
      <c r="A1591">
        <v>48</v>
      </c>
      <c r="B1591">
        <v>5</v>
      </c>
      <c r="C1591">
        <v>6</v>
      </c>
      <c r="D1591" s="2">
        <v>2</v>
      </c>
      <c r="E1591" s="2">
        <v>3</v>
      </c>
      <c r="F1591" s="2" t="s">
        <v>5</v>
      </c>
      <c r="G1591" s="2">
        <v>249.79999999992199</v>
      </c>
      <c r="H1591" s="2" t="s">
        <v>16</v>
      </c>
      <c r="I1591" s="2">
        <v>121555.000000001</v>
      </c>
      <c r="J1591" s="2">
        <v>1000</v>
      </c>
      <c r="K1591" s="2">
        <v>700</v>
      </c>
      <c r="L1591" s="2">
        <v>0</v>
      </c>
      <c r="M1591" s="2">
        <v>809507.61</v>
      </c>
      <c r="N1591">
        <f t="shared" si="29"/>
        <v>931312.41000000085</v>
      </c>
      <c r="O1591" s="9" t="s">
        <v>4</v>
      </c>
    </row>
    <row r="1592" spans="1:15" x14ac:dyDescent="0.2">
      <c r="A1592">
        <v>49</v>
      </c>
      <c r="B1592">
        <v>5</v>
      </c>
      <c r="C1592">
        <v>6</v>
      </c>
      <c r="D1592" s="2">
        <v>2</v>
      </c>
      <c r="E1592" s="2">
        <v>1</v>
      </c>
      <c r="F1592" s="2" t="s">
        <v>5</v>
      </c>
      <c r="G1592" s="2">
        <v>183.19999999931699</v>
      </c>
      <c r="H1592" s="2" t="s">
        <v>16</v>
      </c>
      <c r="I1592" s="2">
        <v>41121.000000004002</v>
      </c>
      <c r="J1592" s="2">
        <v>1000</v>
      </c>
      <c r="K1592" s="2">
        <v>700</v>
      </c>
      <c r="L1592" s="2">
        <v>0</v>
      </c>
      <c r="M1592" s="2">
        <v>776068.41</v>
      </c>
      <c r="N1592">
        <f t="shared" si="29"/>
        <v>817372.61000000336</v>
      </c>
      <c r="O1592" s="9" t="s">
        <v>5</v>
      </c>
    </row>
    <row r="1593" spans="1:15" x14ac:dyDescent="0.2">
      <c r="A1593">
        <v>50</v>
      </c>
      <c r="B1593">
        <v>5</v>
      </c>
      <c r="C1593">
        <v>6</v>
      </c>
      <c r="D1593" s="2">
        <v>2</v>
      </c>
      <c r="E1593" s="2">
        <v>2</v>
      </c>
      <c r="F1593" s="2" t="s">
        <v>5</v>
      </c>
      <c r="G1593" s="2">
        <v>190.800000000024</v>
      </c>
      <c r="H1593" s="2" t="s">
        <v>16</v>
      </c>
      <c r="I1593" s="2">
        <v>50727.999999992302</v>
      </c>
      <c r="J1593" s="2">
        <v>1000</v>
      </c>
      <c r="K1593" s="2">
        <v>700</v>
      </c>
      <c r="L1593" s="2">
        <v>0</v>
      </c>
      <c r="M1593" s="2">
        <v>791748.01</v>
      </c>
      <c r="N1593">
        <f t="shared" si="29"/>
        <v>842666.80999999237</v>
      </c>
      <c r="O1593" s="9" t="s">
        <v>5</v>
      </c>
    </row>
    <row r="1594" spans="1:15" x14ac:dyDescent="0.2">
      <c r="A1594">
        <v>51</v>
      </c>
      <c r="B1594">
        <v>5</v>
      </c>
      <c r="C1594">
        <v>6</v>
      </c>
      <c r="D1594" s="2">
        <v>2</v>
      </c>
      <c r="E1594" s="2">
        <v>3</v>
      </c>
      <c r="F1594" s="2" t="s">
        <v>5</v>
      </c>
      <c r="G1594" s="2">
        <v>252.19999999990301</v>
      </c>
      <c r="H1594" s="2" t="s">
        <v>16</v>
      </c>
      <c r="I1594" s="2">
        <v>139174.99999999499</v>
      </c>
      <c r="J1594" s="2">
        <v>1000</v>
      </c>
      <c r="K1594" s="2">
        <v>700</v>
      </c>
      <c r="L1594" s="2">
        <v>0</v>
      </c>
      <c r="M1594" s="2">
        <v>793068.01</v>
      </c>
      <c r="N1594">
        <f t="shared" si="29"/>
        <v>932495.20999999484</v>
      </c>
      <c r="O1594" s="9" t="s">
        <v>5</v>
      </c>
    </row>
    <row r="1595" spans="1:15" x14ac:dyDescent="0.2">
      <c r="A1595">
        <v>52</v>
      </c>
      <c r="B1595">
        <v>5</v>
      </c>
      <c r="C1595">
        <v>7</v>
      </c>
      <c r="D1595" s="2">
        <v>2</v>
      </c>
      <c r="E1595" s="2">
        <v>1</v>
      </c>
      <c r="F1595" s="2" t="s">
        <v>5</v>
      </c>
      <c r="G1595" s="2">
        <v>219.40000000029201</v>
      </c>
      <c r="H1595" s="2" t="s">
        <v>16</v>
      </c>
      <c r="I1595" s="2">
        <v>49910.000000011198</v>
      </c>
      <c r="J1595" s="2">
        <v>1000</v>
      </c>
      <c r="K1595" s="2">
        <v>700</v>
      </c>
      <c r="L1595" s="2">
        <v>0</v>
      </c>
      <c r="M1595" s="2">
        <v>777428.81</v>
      </c>
      <c r="N1595">
        <f t="shared" si="29"/>
        <v>827558.2100000116</v>
      </c>
      <c r="O1595" s="9" t="s">
        <v>5</v>
      </c>
    </row>
    <row r="1596" spans="1:15" x14ac:dyDescent="0.2">
      <c r="A1596">
        <v>53</v>
      </c>
      <c r="B1596">
        <v>5</v>
      </c>
      <c r="C1596">
        <v>7</v>
      </c>
      <c r="D1596" s="2">
        <v>2</v>
      </c>
      <c r="E1596" s="2">
        <v>2</v>
      </c>
      <c r="F1596" s="2" t="s">
        <v>5</v>
      </c>
      <c r="G1596" s="2">
        <v>218.80000000038501</v>
      </c>
      <c r="H1596" s="2" t="s">
        <v>16</v>
      </c>
      <c r="I1596" s="2">
        <v>113836.99999999</v>
      </c>
      <c r="J1596" s="2">
        <v>1000</v>
      </c>
      <c r="K1596" s="2">
        <v>700</v>
      </c>
      <c r="L1596" s="2">
        <v>0</v>
      </c>
      <c r="M1596" s="2">
        <v>794747.61</v>
      </c>
      <c r="N1596">
        <f t="shared" si="29"/>
        <v>908803.40999999037</v>
      </c>
      <c r="O1596" s="9" t="s">
        <v>4</v>
      </c>
    </row>
    <row r="1597" spans="1:15" x14ac:dyDescent="0.2">
      <c r="A1597">
        <v>54</v>
      </c>
      <c r="B1597">
        <v>5</v>
      </c>
      <c r="C1597">
        <v>7</v>
      </c>
      <c r="D1597" s="2">
        <v>2</v>
      </c>
      <c r="E1597" s="2">
        <v>3</v>
      </c>
      <c r="F1597" s="2" t="s">
        <v>5</v>
      </c>
      <c r="G1597" s="2">
        <v>306.40000000019501</v>
      </c>
      <c r="H1597" s="2" t="s">
        <v>16</v>
      </c>
      <c r="I1597" s="2">
        <v>434876.00000000303</v>
      </c>
      <c r="J1597" s="2">
        <v>1000</v>
      </c>
      <c r="K1597" s="2">
        <v>700</v>
      </c>
      <c r="L1597" s="2">
        <v>0</v>
      </c>
      <c r="M1597" s="2">
        <v>813150.01</v>
      </c>
      <c r="N1597">
        <f t="shared" si="29"/>
        <v>1248332.4100000032</v>
      </c>
      <c r="O1597" s="9" t="s">
        <v>4</v>
      </c>
    </row>
    <row r="1598" spans="1:15" x14ac:dyDescent="0.2">
      <c r="A1598">
        <v>55</v>
      </c>
      <c r="B1598">
        <v>5</v>
      </c>
      <c r="C1598">
        <v>5</v>
      </c>
      <c r="D1598" s="2">
        <v>2</v>
      </c>
      <c r="E1598" s="2">
        <v>1</v>
      </c>
      <c r="F1598" s="2" t="s">
        <v>5</v>
      </c>
      <c r="G1598" s="2">
        <v>140.60000000064599</v>
      </c>
      <c r="H1598" s="2" t="s">
        <v>16</v>
      </c>
      <c r="I1598" s="2">
        <v>27028.000000001401</v>
      </c>
      <c r="J1598" s="2">
        <v>1000</v>
      </c>
      <c r="K1598" s="2">
        <v>700</v>
      </c>
      <c r="L1598" s="2">
        <v>0</v>
      </c>
      <c r="M1598" s="2">
        <v>778468.01</v>
      </c>
      <c r="N1598">
        <f t="shared" si="29"/>
        <v>805636.61000000208</v>
      </c>
      <c r="O1598" s="9" t="s">
        <v>5</v>
      </c>
    </row>
    <row r="1599" spans="1:15" x14ac:dyDescent="0.2">
      <c r="A1599">
        <v>56</v>
      </c>
      <c r="B1599">
        <v>5</v>
      </c>
      <c r="C1599">
        <v>5</v>
      </c>
      <c r="D1599" s="2">
        <v>2</v>
      </c>
      <c r="E1599" s="2">
        <v>2</v>
      </c>
      <c r="F1599" s="2" t="s">
        <v>5</v>
      </c>
      <c r="G1599" s="2">
        <v>137.60000000004899</v>
      </c>
      <c r="H1599" s="2" t="s">
        <v>16</v>
      </c>
      <c r="I1599" s="2">
        <v>25397.999999995602</v>
      </c>
      <c r="J1599" s="2">
        <v>1000</v>
      </c>
      <c r="K1599" s="2">
        <v>700</v>
      </c>
      <c r="L1599" s="2">
        <v>0</v>
      </c>
      <c r="M1599" s="2">
        <v>779828.01</v>
      </c>
      <c r="N1599">
        <f t="shared" si="29"/>
        <v>805363.60999999568</v>
      </c>
      <c r="O1599" s="9" t="s">
        <v>5</v>
      </c>
    </row>
    <row r="1600" spans="1:15" x14ac:dyDescent="0.2">
      <c r="A1600">
        <v>57</v>
      </c>
      <c r="B1600">
        <v>5</v>
      </c>
      <c r="C1600">
        <v>5</v>
      </c>
      <c r="D1600" s="2">
        <v>2</v>
      </c>
      <c r="E1600" s="2">
        <v>3</v>
      </c>
      <c r="F1600" s="2" t="s">
        <v>5</v>
      </c>
      <c r="G1600" s="2">
        <v>183.39999999987799</v>
      </c>
      <c r="H1600" s="2" t="s">
        <v>16</v>
      </c>
      <c r="I1600" s="2">
        <v>44558.000000023399</v>
      </c>
      <c r="J1600" s="2">
        <v>1000</v>
      </c>
      <c r="K1600" s="2">
        <v>700</v>
      </c>
      <c r="L1600" s="2">
        <v>0</v>
      </c>
      <c r="M1600" s="2">
        <v>776468.81</v>
      </c>
      <c r="N1600">
        <f t="shared" si="29"/>
        <v>821210.21000002336</v>
      </c>
      <c r="O1600" s="9" t="s">
        <v>5</v>
      </c>
    </row>
    <row r="1601" spans="1:15" x14ac:dyDescent="0.2">
      <c r="A1601">
        <v>58</v>
      </c>
      <c r="B1601">
        <v>5</v>
      </c>
      <c r="C1601">
        <v>6</v>
      </c>
      <c r="D1601" s="2">
        <v>2</v>
      </c>
      <c r="E1601" s="2">
        <v>1</v>
      </c>
      <c r="F1601" s="2" t="s">
        <v>5</v>
      </c>
      <c r="G1601" s="2">
        <v>215.599999999228</v>
      </c>
      <c r="H1601" s="2" t="s">
        <v>16</v>
      </c>
      <c r="I1601" s="2">
        <v>56205.000000005602</v>
      </c>
      <c r="J1601" s="2">
        <v>1000</v>
      </c>
      <c r="K1601" s="2">
        <v>700</v>
      </c>
      <c r="L1601" s="2">
        <v>0</v>
      </c>
      <c r="M1601" s="2">
        <v>781031.21</v>
      </c>
      <c r="N1601">
        <f t="shared" si="29"/>
        <v>837451.81000000483</v>
      </c>
      <c r="O1601" s="9" t="s">
        <v>5</v>
      </c>
    </row>
    <row r="1602" spans="1:15" x14ac:dyDescent="0.2">
      <c r="A1602">
        <v>59</v>
      </c>
      <c r="B1602">
        <v>5</v>
      </c>
      <c r="C1602">
        <v>6</v>
      </c>
      <c r="D1602" s="2">
        <v>2</v>
      </c>
      <c r="E1602" s="2">
        <v>2</v>
      </c>
      <c r="F1602" s="2" t="s">
        <v>5</v>
      </c>
      <c r="G1602" s="2">
        <v>212.39999999984599</v>
      </c>
      <c r="H1602" s="2" t="s">
        <v>16</v>
      </c>
      <c r="I1602" s="2">
        <v>45035.000000012798</v>
      </c>
      <c r="J1602" s="2">
        <v>1000</v>
      </c>
      <c r="K1602" s="2">
        <v>700</v>
      </c>
      <c r="L1602" s="2">
        <v>0</v>
      </c>
      <c r="M1602" s="2">
        <v>779388.01</v>
      </c>
      <c r="N1602">
        <f t="shared" si="29"/>
        <v>824635.41000001261</v>
      </c>
      <c r="O1602" s="9" t="s">
        <v>5</v>
      </c>
    </row>
    <row r="1603" spans="1:15" x14ac:dyDescent="0.2">
      <c r="A1603">
        <v>60</v>
      </c>
      <c r="B1603">
        <v>5</v>
      </c>
      <c r="C1603">
        <v>6</v>
      </c>
      <c r="D1603" s="2">
        <v>2</v>
      </c>
      <c r="E1603" s="2">
        <v>3</v>
      </c>
      <c r="F1603" s="2" t="s">
        <v>5</v>
      </c>
      <c r="G1603" s="2">
        <v>288.40000000016602</v>
      </c>
      <c r="H1603" s="2" t="s">
        <v>16</v>
      </c>
      <c r="I1603" s="2">
        <v>150798.00000000899</v>
      </c>
      <c r="J1603" s="2">
        <v>1000</v>
      </c>
      <c r="K1603" s="2">
        <v>700</v>
      </c>
      <c r="L1603" s="2">
        <v>0</v>
      </c>
      <c r="M1603" s="2">
        <v>781189.61</v>
      </c>
      <c r="N1603">
        <f t="shared" ref="N1603:N1624" si="30">G1603+I1603+M1603</f>
        <v>932276.01000000909</v>
      </c>
      <c r="O1603" s="9" t="s">
        <v>4</v>
      </c>
    </row>
    <row r="1604" spans="1:15" x14ac:dyDescent="0.2">
      <c r="A1604">
        <v>61</v>
      </c>
      <c r="B1604">
        <v>5</v>
      </c>
      <c r="C1604">
        <v>7</v>
      </c>
      <c r="D1604" s="2">
        <v>2</v>
      </c>
      <c r="E1604" s="2">
        <v>1</v>
      </c>
      <c r="F1604" s="2" t="s">
        <v>5</v>
      </c>
      <c r="G1604" s="2">
        <v>230.60000000043601</v>
      </c>
      <c r="H1604" s="2" t="s">
        <v>16</v>
      </c>
      <c r="I1604" s="2">
        <v>105615.99999999801</v>
      </c>
      <c r="J1604" s="2">
        <v>1000</v>
      </c>
      <c r="K1604" s="2">
        <v>700</v>
      </c>
      <c r="L1604" s="2">
        <v>0</v>
      </c>
      <c r="M1604" s="2">
        <v>800829.21</v>
      </c>
      <c r="N1604">
        <f t="shared" si="30"/>
        <v>906675.80999999843</v>
      </c>
      <c r="O1604" s="9" t="s">
        <v>5</v>
      </c>
    </row>
    <row r="1605" spans="1:15" x14ac:dyDescent="0.2">
      <c r="A1605">
        <v>62</v>
      </c>
      <c r="B1605">
        <v>5</v>
      </c>
      <c r="C1605">
        <v>7</v>
      </c>
      <c r="D1605" s="2">
        <v>2</v>
      </c>
      <c r="E1605" s="2">
        <v>2</v>
      </c>
      <c r="F1605" s="2" t="s">
        <v>5</v>
      </c>
      <c r="G1605" s="2">
        <v>233.80000000017299</v>
      </c>
      <c r="H1605" s="2" t="s">
        <v>16</v>
      </c>
      <c r="I1605" s="2">
        <v>102223.999999978</v>
      </c>
      <c r="J1605" s="2">
        <v>1000</v>
      </c>
      <c r="K1605" s="2">
        <v>700</v>
      </c>
      <c r="L1605" s="2">
        <v>0</v>
      </c>
      <c r="M1605" s="2">
        <v>777707.61</v>
      </c>
      <c r="N1605">
        <f t="shared" si="30"/>
        <v>880165.40999997815</v>
      </c>
      <c r="O1605" s="9" t="s">
        <v>5</v>
      </c>
    </row>
    <row r="1606" spans="1:15" x14ac:dyDescent="0.2">
      <c r="A1606">
        <v>63</v>
      </c>
      <c r="B1606">
        <v>5</v>
      </c>
      <c r="C1606">
        <v>7</v>
      </c>
      <c r="D1606" s="2">
        <v>2</v>
      </c>
      <c r="E1606" s="2">
        <v>3</v>
      </c>
      <c r="F1606" s="2" t="s">
        <v>5</v>
      </c>
      <c r="G1606" s="2">
        <v>359.799999999666</v>
      </c>
      <c r="H1606" s="2" t="s">
        <v>16</v>
      </c>
      <c r="I1606" s="2">
        <v>241534.99999999901</v>
      </c>
      <c r="J1606" s="2">
        <v>1000</v>
      </c>
      <c r="K1606" s="2">
        <v>700</v>
      </c>
      <c r="L1606" s="2">
        <v>0</v>
      </c>
      <c r="M1606" s="2">
        <v>783428.41</v>
      </c>
      <c r="N1606">
        <f t="shared" si="30"/>
        <v>1025323.2099999987</v>
      </c>
      <c r="O1606" s="9" t="s">
        <v>4</v>
      </c>
    </row>
    <row r="1607" spans="1:15" x14ac:dyDescent="0.2">
      <c r="A1607">
        <v>64</v>
      </c>
      <c r="B1607">
        <v>5</v>
      </c>
      <c r="C1607">
        <v>8</v>
      </c>
      <c r="D1607" s="2">
        <v>2</v>
      </c>
      <c r="E1607" s="2">
        <v>1</v>
      </c>
      <c r="F1607" s="2" t="s">
        <v>5</v>
      </c>
      <c r="G1607" s="2">
        <v>274.00000000028501</v>
      </c>
      <c r="H1607" s="2" t="s">
        <v>16</v>
      </c>
      <c r="I1607" s="2">
        <v>128890.00000001299</v>
      </c>
      <c r="J1607" s="2">
        <v>1000</v>
      </c>
      <c r="K1607" s="2">
        <v>700</v>
      </c>
      <c r="L1607" s="2">
        <v>0</v>
      </c>
      <c r="M1607" s="2">
        <v>784790.41</v>
      </c>
      <c r="N1607">
        <f t="shared" si="30"/>
        <v>913954.4100000133</v>
      </c>
      <c r="O1607" s="9" t="s">
        <v>5</v>
      </c>
    </row>
    <row r="1608" spans="1:15" x14ac:dyDescent="0.2">
      <c r="A1608">
        <v>65</v>
      </c>
      <c r="B1608">
        <v>5</v>
      </c>
      <c r="C1608">
        <v>8</v>
      </c>
      <c r="D1608" s="2">
        <v>2</v>
      </c>
      <c r="E1608" s="2">
        <v>2</v>
      </c>
      <c r="F1608" s="2" t="s">
        <v>5</v>
      </c>
      <c r="G1608" s="2">
        <v>271.20000000024902</v>
      </c>
      <c r="H1608" s="2" t="s">
        <v>16</v>
      </c>
      <c r="I1608" s="2">
        <v>165955.999999994</v>
      </c>
      <c r="J1608" s="2">
        <v>1000</v>
      </c>
      <c r="K1608" s="2">
        <v>700</v>
      </c>
      <c r="L1608" s="2">
        <v>0</v>
      </c>
      <c r="M1608" s="2">
        <v>781148.01</v>
      </c>
      <c r="N1608">
        <f t="shared" si="30"/>
        <v>947375.20999999426</v>
      </c>
      <c r="O1608" s="9" t="s">
        <v>4</v>
      </c>
    </row>
    <row r="1609" spans="1:15" x14ac:dyDescent="0.2">
      <c r="A1609">
        <v>66</v>
      </c>
      <c r="B1609">
        <v>5</v>
      </c>
      <c r="C1609">
        <v>8</v>
      </c>
      <c r="D1609" s="2">
        <v>2</v>
      </c>
      <c r="E1609" s="2">
        <v>3</v>
      </c>
      <c r="F1609" s="2" t="s">
        <v>5</v>
      </c>
      <c r="G1609" s="2">
        <v>390.99999999976399</v>
      </c>
      <c r="H1609" s="2" t="s">
        <v>16</v>
      </c>
      <c r="I1609" s="2">
        <v>603557.99999999197</v>
      </c>
      <c r="J1609" s="2">
        <v>1000</v>
      </c>
      <c r="K1609" s="2">
        <v>700</v>
      </c>
      <c r="L1609" s="2">
        <v>0</v>
      </c>
      <c r="M1609" s="2">
        <v>785829.21</v>
      </c>
      <c r="N1609">
        <f t="shared" si="30"/>
        <v>1389778.2099999916</v>
      </c>
      <c r="O1609" s="9" t="s">
        <v>4</v>
      </c>
    </row>
    <row r="1610" spans="1:15" x14ac:dyDescent="0.2">
      <c r="A1610">
        <v>67</v>
      </c>
      <c r="B1610">
        <v>5</v>
      </c>
      <c r="C1610">
        <v>7</v>
      </c>
      <c r="D1610" s="2">
        <v>2</v>
      </c>
      <c r="E1610" s="2">
        <v>1</v>
      </c>
      <c r="F1610" s="2" t="s">
        <v>5</v>
      </c>
      <c r="G1610" s="2">
        <v>210.20000000007099</v>
      </c>
      <c r="H1610" s="2" t="s">
        <v>16</v>
      </c>
      <c r="I1610" s="2">
        <v>119817.999999981</v>
      </c>
      <c r="J1610" s="2">
        <v>1000</v>
      </c>
      <c r="K1610" s="2">
        <v>700</v>
      </c>
      <c r="L1610" s="2">
        <v>0</v>
      </c>
      <c r="M1610" s="2">
        <v>796268.01</v>
      </c>
      <c r="N1610">
        <f t="shared" si="30"/>
        <v>916296.2099999811</v>
      </c>
      <c r="O1610" s="9" t="s">
        <v>5</v>
      </c>
    </row>
    <row r="1611" spans="1:15" x14ac:dyDescent="0.2">
      <c r="A1611">
        <v>68</v>
      </c>
      <c r="B1611">
        <v>5</v>
      </c>
      <c r="C1611">
        <v>7</v>
      </c>
      <c r="D1611" s="2">
        <v>2</v>
      </c>
      <c r="E1611" s="2">
        <v>2</v>
      </c>
      <c r="F1611" s="2" t="s">
        <v>5</v>
      </c>
      <c r="G1611" s="2">
        <v>210.00000000022101</v>
      </c>
      <c r="H1611" s="2" t="s">
        <v>16</v>
      </c>
      <c r="I1611" s="2">
        <v>73575.000000005297</v>
      </c>
      <c r="J1611" s="2">
        <v>1000</v>
      </c>
      <c r="K1611" s="2">
        <v>700</v>
      </c>
      <c r="L1611" s="2">
        <v>0</v>
      </c>
      <c r="M1611" s="2">
        <v>782268.41</v>
      </c>
      <c r="N1611">
        <f t="shared" si="30"/>
        <v>856053.4100000055</v>
      </c>
      <c r="O1611" s="9" t="s">
        <v>5</v>
      </c>
    </row>
    <row r="1612" spans="1:15" x14ac:dyDescent="0.2">
      <c r="A1612">
        <v>69</v>
      </c>
      <c r="B1612">
        <v>5</v>
      </c>
      <c r="C1612">
        <v>7</v>
      </c>
      <c r="D1612" s="2">
        <v>2</v>
      </c>
      <c r="E1612" s="2">
        <v>3</v>
      </c>
      <c r="F1612" s="2" t="s">
        <v>5</v>
      </c>
      <c r="G1612" s="2">
        <v>292.59999999986502</v>
      </c>
      <c r="H1612" s="2" t="s">
        <v>16</v>
      </c>
      <c r="I1612" s="2">
        <v>260648.000000003</v>
      </c>
      <c r="J1612" s="2">
        <v>1000</v>
      </c>
      <c r="K1612" s="2">
        <v>700</v>
      </c>
      <c r="L1612" s="2">
        <v>0</v>
      </c>
      <c r="M1612" s="2">
        <v>778428.81</v>
      </c>
      <c r="N1612">
        <f t="shared" si="30"/>
        <v>1039369.4100000029</v>
      </c>
      <c r="O1612" s="9" t="s">
        <v>4</v>
      </c>
    </row>
    <row r="1613" spans="1:15" x14ac:dyDescent="0.2">
      <c r="A1613">
        <v>28</v>
      </c>
      <c r="B1613">
        <v>5</v>
      </c>
      <c r="C1613">
        <v>4</v>
      </c>
      <c r="D1613" s="2">
        <v>2</v>
      </c>
      <c r="E1613" s="2">
        <v>1</v>
      </c>
      <c r="F1613" s="2" t="s">
        <v>5</v>
      </c>
      <c r="G1613" s="2">
        <v>541.19999999961999</v>
      </c>
      <c r="H1613" s="2" t="s">
        <v>16</v>
      </c>
      <c r="I1613" s="2">
        <v>40185.000000008098</v>
      </c>
      <c r="J1613" s="2">
        <v>2000</v>
      </c>
      <c r="K1613" s="2">
        <v>200</v>
      </c>
      <c r="L1613" s="2">
        <v>0</v>
      </c>
      <c r="M1613" s="2">
        <v>564108.81000000006</v>
      </c>
      <c r="N1613">
        <f t="shared" si="30"/>
        <v>604835.01000000781</v>
      </c>
      <c r="O1613" s="9" t="s">
        <v>5</v>
      </c>
    </row>
    <row r="1614" spans="1:15" x14ac:dyDescent="0.2">
      <c r="A1614">
        <v>29</v>
      </c>
      <c r="B1614">
        <v>5</v>
      </c>
      <c r="C1614">
        <v>5</v>
      </c>
      <c r="D1614" s="2">
        <v>2</v>
      </c>
      <c r="E1614" s="2">
        <v>2</v>
      </c>
      <c r="F1614" s="2" t="s">
        <v>5</v>
      </c>
      <c r="G1614" s="2">
        <v>547.39999999959798</v>
      </c>
      <c r="H1614" s="2" t="s">
        <v>16</v>
      </c>
      <c r="I1614" s="2">
        <v>34695.999999996697</v>
      </c>
      <c r="J1614" s="2">
        <v>2000</v>
      </c>
      <c r="K1614" s="2">
        <v>200</v>
      </c>
      <c r="L1614" s="2">
        <v>0</v>
      </c>
      <c r="M1614" s="2">
        <v>535147.21</v>
      </c>
      <c r="N1614">
        <f t="shared" si="30"/>
        <v>570390.60999999626</v>
      </c>
      <c r="O1614" s="9" t="s">
        <v>5</v>
      </c>
    </row>
    <row r="1615" spans="1:15" x14ac:dyDescent="0.2">
      <c r="A1615">
        <v>30</v>
      </c>
      <c r="B1615">
        <v>5</v>
      </c>
      <c r="C1615">
        <v>5</v>
      </c>
      <c r="D1615" s="2">
        <v>2</v>
      </c>
      <c r="E1615" s="2">
        <v>3</v>
      </c>
      <c r="F1615" s="2" t="s">
        <v>5</v>
      </c>
      <c r="G1615" s="2">
        <v>598.60000000000502</v>
      </c>
      <c r="H1615" s="2" t="s">
        <v>16</v>
      </c>
      <c r="I1615" s="2">
        <v>78614.999999984997</v>
      </c>
      <c r="J1615" s="2">
        <v>2000</v>
      </c>
      <c r="K1615" s="2">
        <v>200</v>
      </c>
      <c r="L1615" s="2">
        <v>0</v>
      </c>
      <c r="M1615" s="2">
        <v>543228.01</v>
      </c>
      <c r="N1615">
        <f t="shared" si="30"/>
        <v>622441.60999998497</v>
      </c>
      <c r="O1615" s="9" t="s">
        <v>5</v>
      </c>
    </row>
    <row r="1616" spans="1:15" x14ac:dyDescent="0.2">
      <c r="A1616">
        <v>31</v>
      </c>
      <c r="B1616">
        <v>5</v>
      </c>
      <c r="C1616">
        <v>5</v>
      </c>
      <c r="D1616" s="2">
        <v>2</v>
      </c>
      <c r="E1616" s="2">
        <v>1</v>
      </c>
      <c r="F1616" s="2" t="s">
        <v>5</v>
      </c>
      <c r="G1616" s="2">
        <v>351.19999999970702</v>
      </c>
      <c r="H1616" s="2" t="s">
        <v>16</v>
      </c>
      <c r="I1616" s="2">
        <v>51963.999999998101</v>
      </c>
      <c r="J1616" s="2">
        <v>2000</v>
      </c>
      <c r="K1616" s="2">
        <v>200</v>
      </c>
      <c r="L1616" s="2">
        <v>0</v>
      </c>
      <c r="M1616" s="2">
        <v>538987.61</v>
      </c>
      <c r="N1616">
        <f t="shared" si="30"/>
        <v>591302.80999999784</v>
      </c>
      <c r="O1616" s="9" t="s">
        <v>5</v>
      </c>
    </row>
    <row r="1617" spans="1:15" x14ac:dyDescent="0.2">
      <c r="A1617">
        <v>32</v>
      </c>
      <c r="B1617">
        <v>5</v>
      </c>
      <c r="C1617">
        <v>5</v>
      </c>
      <c r="D1617" s="2">
        <v>2</v>
      </c>
      <c r="E1617" s="2">
        <v>2</v>
      </c>
      <c r="F1617" s="2" t="s">
        <v>5</v>
      </c>
      <c r="G1617" s="2">
        <v>356.00000000002302</v>
      </c>
      <c r="H1617" s="2" t="s">
        <v>16</v>
      </c>
      <c r="I1617" s="2">
        <v>20672.999999987998</v>
      </c>
      <c r="J1617" s="2">
        <v>2000</v>
      </c>
      <c r="K1617" s="2">
        <v>200</v>
      </c>
      <c r="L1617" s="2">
        <v>0</v>
      </c>
      <c r="M1617" s="2">
        <v>534347.21</v>
      </c>
      <c r="N1617">
        <f t="shared" si="30"/>
        <v>555376.20999998797</v>
      </c>
      <c r="O1617" s="9" t="s">
        <v>5</v>
      </c>
    </row>
    <row r="1618" spans="1:15" x14ac:dyDescent="0.2">
      <c r="A1618">
        <v>33</v>
      </c>
      <c r="B1618">
        <v>5</v>
      </c>
      <c r="C1618">
        <v>5</v>
      </c>
      <c r="D1618" s="2">
        <v>2</v>
      </c>
      <c r="E1618" s="2">
        <v>3</v>
      </c>
      <c r="F1618" s="2" t="s">
        <v>5</v>
      </c>
      <c r="G1618" s="2">
        <v>485.39999999981399</v>
      </c>
      <c r="H1618" s="2" t="s">
        <v>16</v>
      </c>
      <c r="I1618" s="2">
        <v>60222.000000010201</v>
      </c>
      <c r="J1618" s="2">
        <v>2000</v>
      </c>
      <c r="K1618" s="2">
        <v>200</v>
      </c>
      <c r="L1618" s="2">
        <v>0</v>
      </c>
      <c r="M1618" s="2">
        <v>541627.61</v>
      </c>
      <c r="N1618">
        <f t="shared" si="30"/>
        <v>602335.01000001002</v>
      </c>
      <c r="O1618" s="9" t="s">
        <v>5</v>
      </c>
    </row>
    <row r="1619" spans="1:15" x14ac:dyDescent="0.2">
      <c r="A1619">
        <v>34</v>
      </c>
      <c r="B1619">
        <v>5</v>
      </c>
      <c r="C1619">
        <v>5</v>
      </c>
      <c r="D1619" s="2">
        <v>2</v>
      </c>
      <c r="E1619" s="2">
        <v>1</v>
      </c>
      <c r="F1619" s="2" t="s">
        <v>5</v>
      </c>
      <c r="G1619" s="2">
        <v>307.60000000000798</v>
      </c>
      <c r="H1619" s="2" t="s">
        <v>16</v>
      </c>
      <c r="I1619" s="2">
        <v>19947.000000001899</v>
      </c>
      <c r="J1619" s="2">
        <v>2000</v>
      </c>
      <c r="K1619" s="2">
        <v>200</v>
      </c>
      <c r="L1619" s="2">
        <v>0</v>
      </c>
      <c r="M1619" s="2">
        <v>538587.61</v>
      </c>
      <c r="N1619">
        <f t="shared" si="30"/>
        <v>558842.21000000194</v>
      </c>
      <c r="O1619" s="9" t="s">
        <v>5</v>
      </c>
    </row>
    <row r="1620" spans="1:15" x14ac:dyDescent="0.2">
      <c r="A1620">
        <v>35</v>
      </c>
      <c r="B1620">
        <v>5</v>
      </c>
      <c r="C1620">
        <v>6</v>
      </c>
      <c r="D1620" s="2">
        <v>2</v>
      </c>
      <c r="E1620" s="2">
        <v>1</v>
      </c>
      <c r="F1620" s="2" t="s">
        <v>5</v>
      </c>
      <c r="G1620" s="2">
        <v>378.80000000036802</v>
      </c>
      <c r="H1620" s="2" t="s">
        <v>16</v>
      </c>
      <c r="I1620" s="2">
        <v>67833.000000007407</v>
      </c>
      <c r="J1620" s="2">
        <v>2000</v>
      </c>
      <c r="K1620" s="2">
        <v>200</v>
      </c>
      <c r="L1620" s="2">
        <v>0</v>
      </c>
      <c r="M1620" s="2">
        <v>597467.61</v>
      </c>
      <c r="N1620">
        <f t="shared" si="30"/>
        <v>665679.41000000772</v>
      </c>
      <c r="O1620" s="9" t="s">
        <v>5</v>
      </c>
    </row>
    <row r="1621" spans="1:15" x14ac:dyDescent="0.2">
      <c r="A1621">
        <v>36</v>
      </c>
      <c r="B1621">
        <v>5</v>
      </c>
      <c r="C1621">
        <v>6</v>
      </c>
      <c r="D1621" s="2">
        <v>2</v>
      </c>
      <c r="E1621" s="2">
        <v>2</v>
      </c>
      <c r="F1621" s="2" t="s">
        <v>5</v>
      </c>
      <c r="G1621" s="2">
        <v>225.399999999709</v>
      </c>
      <c r="H1621" s="2" t="s">
        <v>16</v>
      </c>
      <c r="I1621" s="2">
        <v>85232.000000019107</v>
      </c>
      <c r="J1621" s="2">
        <v>2000</v>
      </c>
      <c r="K1621" s="2">
        <v>200</v>
      </c>
      <c r="L1621" s="2">
        <v>0</v>
      </c>
      <c r="M1621" s="2">
        <v>567548.01</v>
      </c>
      <c r="N1621">
        <f t="shared" si="30"/>
        <v>653005.41000001878</v>
      </c>
      <c r="O1621" s="9" t="s">
        <v>4</v>
      </c>
    </row>
    <row r="1622" spans="1:15" x14ac:dyDescent="0.2">
      <c r="A1622">
        <v>37</v>
      </c>
      <c r="B1622">
        <v>5</v>
      </c>
      <c r="C1622">
        <v>6</v>
      </c>
      <c r="D1622" s="2">
        <v>2</v>
      </c>
      <c r="E1622" s="2">
        <v>3</v>
      </c>
      <c r="F1622" s="2" t="s">
        <v>5</v>
      </c>
      <c r="G1622" s="2">
        <v>317.40000000049002</v>
      </c>
      <c r="H1622" s="2" t="s">
        <v>16</v>
      </c>
      <c r="I1622" s="2">
        <v>429632.99999999598</v>
      </c>
      <c r="J1622" s="2">
        <v>2000</v>
      </c>
      <c r="K1622" s="2">
        <v>200</v>
      </c>
      <c r="L1622" s="2">
        <v>0</v>
      </c>
      <c r="M1622" s="2">
        <v>591387.61</v>
      </c>
      <c r="N1622">
        <f t="shared" si="30"/>
        <v>1021338.0099999965</v>
      </c>
      <c r="O1622" s="9" t="s">
        <v>4</v>
      </c>
    </row>
    <row r="1623" spans="1:15" x14ac:dyDescent="0.2">
      <c r="A1623">
        <v>38</v>
      </c>
      <c r="B1623">
        <v>5</v>
      </c>
      <c r="C1623">
        <v>6</v>
      </c>
      <c r="D1623" s="2">
        <v>2</v>
      </c>
      <c r="E1623" s="2">
        <v>1</v>
      </c>
      <c r="F1623" s="2" t="s">
        <v>5</v>
      </c>
      <c r="G1623" s="2">
        <v>206.39999999971801</v>
      </c>
      <c r="H1623" s="2" t="s">
        <v>16</v>
      </c>
      <c r="I1623" s="2">
        <v>58606.999999995001</v>
      </c>
      <c r="J1623" s="2">
        <v>2000</v>
      </c>
      <c r="K1623" s="2">
        <v>200</v>
      </c>
      <c r="L1623" s="2">
        <v>0</v>
      </c>
      <c r="M1623" s="2">
        <v>597707.21</v>
      </c>
      <c r="N1623">
        <f t="shared" si="30"/>
        <v>656520.60999999463</v>
      </c>
      <c r="O1623" s="9" t="s">
        <v>5</v>
      </c>
    </row>
    <row r="1624" spans="1:15" x14ac:dyDescent="0.2">
      <c r="A1624">
        <v>39</v>
      </c>
      <c r="B1624">
        <v>5</v>
      </c>
      <c r="C1624">
        <v>7</v>
      </c>
      <c r="D1624" s="2">
        <v>2</v>
      </c>
      <c r="E1624" s="2">
        <v>1</v>
      </c>
      <c r="F1624" s="2" t="s">
        <v>5</v>
      </c>
      <c r="G1624" s="2">
        <v>257.600000000124</v>
      </c>
      <c r="H1624" s="2" t="s">
        <v>16</v>
      </c>
      <c r="I1624" s="2">
        <v>172606.00000000201</v>
      </c>
      <c r="J1624" s="2">
        <v>2000</v>
      </c>
      <c r="K1624" s="2">
        <v>200</v>
      </c>
      <c r="L1624" s="2">
        <v>0</v>
      </c>
      <c r="M1624" s="2">
        <v>606428.01</v>
      </c>
      <c r="N1624">
        <f t="shared" si="30"/>
        <v>779291.6100000022</v>
      </c>
      <c r="O1624" s="9" t="s">
        <v>5</v>
      </c>
    </row>
    <row r="1625" spans="1:15" x14ac:dyDescent="0.2">
      <c r="A1625">
        <v>40</v>
      </c>
      <c r="B1625">
        <v>5</v>
      </c>
      <c r="C1625">
        <v>7</v>
      </c>
      <c r="D1625" s="2">
        <v>2</v>
      </c>
      <c r="E1625" s="2">
        <v>2</v>
      </c>
      <c r="F1625" s="2" t="s">
        <v>5</v>
      </c>
      <c r="G1625" s="2">
        <v>242.59999999962599</v>
      </c>
      <c r="H1625" s="2" t="s">
        <v>16</v>
      </c>
      <c r="I1625" s="2">
        <v>100393.999999994</v>
      </c>
      <c r="J1625" s="2">
        <v>2000</v>
      </c>
      <c r="K1625" s="2">
        <v>200</v>
      </c>
      <c r="L1625" s="2">
        <v>0</v>
      </c>
      <c r="M1625" s="2">
        <v>572908.41</v>
      </c>
      <c r="N1625">
        <f t="shared" ref="N1625:N1772" si="31">G1625+I1625+M1625</f>
        <v>673545.00999999372</v>
      </c>
      <c r="O1625" s="9" t="s">
        <v>5</v>
      </c>
    </row>
    <row r="1626" spans="1:15" x14ac:dyDescent="0.2">
      <c r="A1626">
        <v>41</v>
      </c>
      <c r="B1626">
        <v>5</v>
      </c>
      <c r="C1626">
        <v>7</v>
      </c>
      <c r="D1626" s="2">
        <v>2</v>
      </c>
      <c r="E1626" s="2">
        <v>3</v>
      </c>
      <c r="F1626" s="2" t="s">
        <v>5</v>
      </c>
      <c r="G1626" s="2">
        <v>354.20000000030399</v>
      </c>
      <c r="H1626" s="2" t="s">
        <v>16</v>
      </c>
      <c r="I1626" s="2">
        <v>409392.00000002497</v>
      </c>
      <c r="J1626" s="2">
        <v>2000</v>
      </c>
      <c r="K1626" s="2">
        <v>200</v>
      </c>
      <c r="L1626" s="2">
        <v>0</v>
      </c>
      <c r="M1626" s="2">
        <v>591549.21</v>
      </c>
      <c r="N1626">
        <f t="shared" si="31"/>
        <v>1001295.4100000253</v>
      </c>
      <c r="O1626" s="9" t="s">
        <v>4</v>
      </c>
    </row>
    <row r="1627" spans="1:15" x14ac:dyDescent="0.2">
      <c r="A1627">
        <v>42</v>
      </c>
      <c r="B1627">
        <v>5</v>
      </c>
      <c r="C1627">
        <v>4</v>
      </c>
      <c r="D1627" s="2">
        <v>2</v>
      </c>
      <c r="E1627" s="2">
        <v>1</v>
      </c>
      <c r="F1627" s="2" t="s">
        <v>5</v>
      </c>
      <c r="G1627" s="2">
        <v>129.800000000202</v>
      </c>
      <c r="H1627" s="2" t="s">
        <v>16</v>
      </c>
      <c r="I1627" s="2">
        <v>11878.999999993301</v>
      </c>
      <c r="J1627" s="2">
        <v>2000</v>
      </c>
      <c r="K1627" s="2">
        <v>200</v>
      </c>
      <c r="L1627" s="2">
        <v>0</v>
      </c>
      <c r="M1627" s="2">
        <v>536907.61</v>
      </c>
      <c r="N1627">
        <f t="shared" si="31"/>
        <v>548916.40999999351</v>
      </c>
      <c r="O1627" s="9" t="s">
        <v>5</v>
      </c>
    </row>
    <row r="1628" spans="1:15" x14ac:dyDescent="0.2">
      <c r="A1628">
        <v>43</v>
      </c>
      <c r="B1628">
        <v>5</v>
      </c>
      <c r="C1628">
        <v>5</v>
      </c>
      <c r="D1628" s="2">
        <v>2</v>
      </c>
      <c r="E1628" s="2">
        <v>1</v>
      </c>
      <c r="F1628" s="2" t="s">
        <v>5</v>
      </c>
      <c r="G1628" s="2">
        <v>157.00000000009601</v>
      </c>
      <c r="H1628" s="2" t="s">
        <v>16</v>
      </c>
      <c r="I1628" s="2">
        <v>17081.999999987798</v>
      </c>
      <c r="J1628" s="2">
        <v>2000</v>
      </c>
      <c r="K1628" s="2">
        <v>200</v>
      </c>
      <c r="L1628" s="2">
        <v>0</v>
      </c>
      <c r="M1628" s="2">
        <v>541627.61</v>
      </c>
      <c r="N1628">
        <f t="shared" si="31"/>
        <v>558866.60999998788</v>
      </c>
      <c r="O1628" s="9" t="s">
        <v>5</v>
      </c>
    </row>
    <row r="1629" spans="1:15" x14ac:dyDescent="0.2">
      <c r="A1629">
        <v>44</v>
      </c>
      <c r="B1629">
        <v>5</v>
      </c>
      <c r="C1629">
        <v>5</v>
      </c>
      <c r="D1629" s="2">
        <v>2</v>
      </c>
      <c r="E1629" s="2">
        <v>2</v>
      </c>
      <c r="F1629" s="2" t="s">
        <v>5</v>
      </c>
      <c r="G1629" s="2">
        <v>156.599999999685</v>
      </c>
      <c r="H1629" s="2" t="s">
        <v>16</v>
      </c>
      <c r="I1629" s="2">
        <v>24732.0000000002</v>
      </c>
      <c r="J1629" s="2">
        <v>2000</v>
      </c>
      <c r="K1629" s="2">
        <v>200</v>
      </c>
      <c r="L1629" s="2">
        <v>0</v>
      </c>
      <c r="M1629" s="2">
        <v>540508.01</v>
      </c>
      <c r="N1629">
        <f t="shared" si="31"/>
        <v>565396.60999999987</v>
      </c>
      <c r="O1629" s="9" t="s">
        <v>5</v>
      </c>
    </row>
    <row r="1630" spans="1:15" x14ac:dyDescent="0.2">
      <c r="A1630">
        <v>45</v>
      </c>
      <c r="B1630">
        <v>5</v>
      </c>
      <c r="C1630">
        <v>5</v>
      </c>
      <c r="D1630" s="2">
        <v>2</v>
      </c>
      <c r="E1630" s="2">
        <v>3</v>
      </c>
      <c r="F1630" s="2" t="s">
        <v>5</v>
      </c>
      <c r="G1630" s="2">
        <v>211.00000000018301</v>
      </c>
      <c r="H1630" s="2" t="s">
        <v>16</v>
      </c>
      <c r="I1630" s="2">
        <v>56737.9999999957</v>
      </c>
      <c r="J1630" s="2">
        <v>2000</v>
      </c>
      <c r="K1630" s="2">
        <v>200</v>
      </c>
      <c r="L1630" s="2">
        <v>0</v>
      </c>
      <c r="M1630" s="2">
        <v>535628.01</v>
      </c>
      <c r="N1630">
        <f t="shared" si="31"/>
        <v>592577.00999999593</v>
      </c>
      <c r="O1630" s="9" t="s">
        <v>5</v>
      </c>
    </row>
    <row r="1631" spans="1:15" x14ac:dyDescent="0.2">
      <c r="A1631">
        <v>46</v>
      </c>
      <c r="B1631">
        <v>5</v>
      </c>
      <c r="C1631">
        <v>6</v>
      </c>
      <c r="D1631" s="2">
        <v>2</v>
      </c>
      <c r="E1631" s="2">
        <v>1</v>
      </c>
      <c r="F1631" s="2" t="s">
        <v>5</v>
      </c>
      <c r="G1631" s="2">
        <v>189.400000000006</v>
      </c>
      <c r="H1631" s="2" t="s">
        <v>16</v>
      </c>
      <c r="I1631" s="2">
        <v>68061.000000000204</v>
      </c>
      <c r="J1631" s="2">
        <v>2000</v>
      </c>
      <c r="K1631" s="2">
        <v>200</v>
      </c>
      <c r="L1631" s="2">
        <v>0</v>
      </c>
      <c r="M1631" s="2">
        <v>539789.21</v>
      </c>
      <c r="N1631">
        <f t="shared" si="31"/>
        <v>608039.61000000022</v>
      </c>
      <c r="O1631" s="9" t="s">
        <v>5</v>
      </c>
    </row>
    <row r="1632" spans="1:15" x14ac:dyDescent="0.2">
      <c r="A1632">
        <v>47</v>
      </c>
      <c r="B1632">
        <v>5</v>
      </c>
      <c r="C1632">
        <v>6</v>
      </c>
      <c r="D1632" s="2">
        <v>2</v>
      </c>
      <c r="E1632" s="2">
        <v>2</v>
      </c>
      <c r="F1632" s="2" t="s">
        <v>5</v>
      </c>
      <c r="G1632" s="2">
        <v>193.80000000026601</v>
      </c>
      <c r="H1632" s="2" t="s">
        <v>16</v>
      </c>
      <c r="I1632" s="2">
        <v>55103.000000002598</v>
      </c>
      <c r="J1632" s="2">
        <v>2000</v>
      </c>
      <c r="K1632" s="2">
        <v>200</v>
      </c>
      <c r="L1632" s="2">
        <v>0</v>
      </c>
      <c r="M1632" s="2">
        <v>541307.61</v>
      </c>
      <c r="N1632">
        <f t="shared" si="31"/>
        <v>596604.41000000283</v>
      </c>
      <c r="O1632" s="9" t="s">
        <v>5</v>
      </c>
    </row>
    <row r="1633" spans="1:15" x14ac:dyDescent="0.2">
      <c r="A1633">
        <v>48</v>
      </c>
      <c r="B1633">
        <v>5</v>
      </c>
      <c r="C1633">
        <v>6</v>
      </c>
      <c r="D1633" s="2">
        <v>2</v>
      </c>
      <c r="E1633" s="2">
        <v>3</v>
      </c>
      <c r="F1633" s="2" t="s">
        <v>5</v>
      </c>
      <c r="G1633" s="2">
        <v>249.79999999992199</v>
      </c>
      <c r="H1633" s="2" t="s">
        <v>16</v>
      </c>
      <c r="I1633" s="2">
        <v>121555.000000001</v>
      </c>
      <c r="J1633" s="2">
        <v>2000</v>
      </c>
      <c r="K1633" s="2">
        <v>200</v>
      </c>
      <c r="L1633" s="2">
        <v>0</v>
      </c>
      <c r="M1633" s="2">
        <v>599787.61</v>
      </c>
      <c r="N1633">
        <f t="shared" si="31"/>
        <v>721592.41000000085</v>
      </c>
      <c r="O1633" s="9" t="s">
        <v>4</v>
      </c>
    </row>
    <row r="1634" spans="1:15" x14ac:dyDescent="0.2">
      <c r="A1634">
        <v>49</v>
      </c>
      <c r="B1634">
        <v>5</v>
      </c>
      <c r="C1634">
        <v>6</v>
      </c>
      <c r="D1634" s="2">
        <v>2</v>
      </c>
      <c r="E1634" s="2">
        <v>1</v>
      </c>
      <c r="F1634" s="2" t="s">
        <v>5</v>
      </c>
      <c r="G1634" s="2">
        <v>183.19999999931699</v>
      </c>
      <c r="H1634" s="2" t="s">
        <v>16</v>
      </c>
      <c r="I1634" s="2">
        <v>41121.000000004002</v>
      </c>
      <c r="J1634" s="2">
        <v>2000</v>
      </c>
      <c r="K1634" s="2">
        <v>200</v>
      </c>
      <c r="L1634" s="2">
        <v>0</v>
      </c>
      <c r="M1634" s="2">
        <v>532908.81000000006</v>
      </c>
      <c r="N1634">
        <f t="shared" si="31"/>
        <v>574213.01000000339</v>
      </c>
      <c r="O1634" s="9" t="s">
        <v>5</v>
      </c>
    </row>
    <row r="1635" spans="1:15" x14ac:dyDescent="0.2">
      <c r="A1635">
        <v>50</v>
      </c>
      <c r="B1635">
        <v>5</v>
      </c>
      <c r="C1635">
        <v>6</v>
      </c>
      <c r="D1635" s="2">
        <v>2</v>
      </c>
      <c r="E1635" s="2">
        <v>2</v>
      </c>
      <c r="F1635" s="2" t="s">
        <v>5</v>
      </c>
      <c r="G1635" s="2">
        <v>190.800000000024</v>
      </c>
      <c r="H1635" s="2" t="s">
        <v>16</v>
      </c>
      <c r="I1635" s="2">
        <v>50727.999999992302</v>
      </c>
      <c r="J1635" s="2">
        <v>2000</v>
      </c>
      <c r="K1635" s="2">
        <v>200</v>
      </c>
      <c r="L1635" s="2">
        <v>0</v>
      </c>
      <c r="M1635" s="2">
        <v>564268.01</v>
      </c>
      <c r="N1635">
        <f t="shared" si="31"/>
        <v>615186.80999999237</v>
      </c>
      <c r="O1635" s="9" t="s">
        <v>5</v>
      </c>
    </row>
    <row r="1636" spans="1:15" x14ac:dyDescent="0.2">
      <c r="A1636">
        <v>51</v>
      </c>
      <c r="B1636">
        <v>5</v>
      </c>
      <c r="C1636">
        <v>6</v>
      </c>
      <c r="D1636" s="2">
        <v>2</v>
      </c>
      <c r="E1636" s="2">
        <v>3</v>
      </c>
      <c r="F1636" s="2" t="s">
        <v>5</v>
      </c>
      <c r="G1636" s="2">
        <v>252.19999999990301</v>
      </c>
      <c r="H1636" s="2" t="s">
        <v>16</v>
      </c>
      <c r="I1636" s="2">
        <v>139174.99999999499</v>
      </c>
      <c r="J1636" s="2">
        <v>2000</v>
      </c>
      <c r="K1636" s="2">
        <v>200</v>
      </c>
      <c r="L1636" s="2">
        <v>0</v>
      </c>
      <c r="M1636" s="2">
        <v>566908.01</v>
      </c>
      <c r="N1636">
        <f t="shared" si="31"/>
        <v>706335.20999999484</v>
      </c>
      <c r="O1636" s="9" t="s">
        <v>4</v>
      </c>
    </row>
    <row r="1637" spans="1:15" x14ac:dyDescent="0.2">
      <c r="A1637">
        <v>52</v>
      </c>
      <c r="B1637">
        <v>5</v>
      </c>
      <c r="C1637">
        <v>7</v>
      </c>
      <c r="D1637" s="2">
        <v>2</v>
      </c>
      <c r="E1637" s="2">
        <v>1</v>
      </c>
      <c r="F1637" s="2" t="s">
        <v>5</v>
      </c>
      <c r="G1637" s="2">
        <v>219.40000000029201</v>
      </c>
      <c r="H1637" s="2" t="s">
        <v>16</v>
      </c>
      <c r="I1637" s="2">
        <v>49910.000000011198</v>
      </c>
      <c r="J1637" s="2">
        <v>2000</v>
      </c>
      <c r="K1637" s="2">
        <v>200</v>
      </c>
      <c r="L1637" s="2">
        <v>0</v>
      </c>
      <c r="M1637" s="2">
        <v>535628.81000000006</v>
      </c>
      <c r="N1637">
        <f t="shared" si="31"/>
        <v>585758.2100000116</v>
      </c>
      <c r="O1637" s="9" t="s">
        <v>5</v>
      </c>
    </row>
    <row r="1638" spans="1:15" x14ac:dyDescent="0.2">
      <c r="A1638">
        <v>53</v>
      </c>
      <c r="B1638">
        <v>5</v>
      </c>
      <c r="C1638">
        <v>7</v>
      </c>
      <c r="D1638" s="2">
        <v>2</v>
      </c>
      <c r="E1638" s="2">
        <v>2</v>
      </c>
      <c r="F1638" s="2" t="s">
        <v>5</v>
      </c>
      <c r="G1638" s="2">
        <v>218.80000000038501</v>
      </c>
      <c r="H1638" s="2" t="s">
        <v>16</v>
      </c>
      <c r="I1638" s="2">
        <v>113836.99999999</v>
      </c>
      <c r="J1638" s="2">
        <v>2000</v>
      </c>
      <c r="K1638" s="2">
        <v>200</v>
      </c>
      <c r="L1638" s="2">
        <v>0</v>
      </c>
      <c r="M1638" s="2">
        <v>570267.61</v>
      </c>
      <c r="N1638">
        <f t="shared" si="31"/>
        <v>684323.40999999037</v>
      </c>
      <c r="O1638" s="9" t="s">
        <v>5</v>
      </c>
    </row>
    <row r="1639" spans="1:15" x14ac:dyDescent="0.2">
      <c r="A1639">
        <v>54</v>
      </c>
      <c r="B1639">
        <v>5</v>
      </c>
      <c r="C1639">
        <v>7</v>
      </c>
      <c r="D1639" s="2">
        <v>2</v>
      </c>
      <c r="E1639" s="2">
        <v>3</v>
      </c>
      <c r="F1639" s="2" t="s">
        <v>5</v>
      </c>
      <c r="G1639" s="2">
        <v>306.40000000019501</v>
      </c>
      <c r="H1639" s="2" t="s">
        <v>16</v>
      </c>
      <c r="I1639" s="2">
        <v>434876.00000000303</v>
      </c>
      <c r="J1639" s="2">
        <v>2000</v>
      </c>
      <c r="K1639" s="2">
        <v>200</v>
      </c>
      <c r="L1639" s="2">
        <v>0</v>
      </c>
      <c r="M1639" s="2">
        <v>607070.01</v>
      </c>
      <c r="N1639">
        <f t="shared" si="31"/>
        <v>1042252.4100000032</v>
      </c>
      <c r="O1639" s="9" t="s">
        <v>5</v>
      </c>
    </row>
    <row r="1640" spans="1:15" x14ac:dyDescent="0.2">
      <c r="A1640">
        <v>55</v>
      </c>
      <c r="B1640">
        <v>5</v>
      </c>
      <c r="C1640">
        <v>5</v>
      </c>
      <c r="D1640" s="2">
        <v>2</v>
      </c>
      <c r="E1640" s="2">
        <v>1</v>
      </c>
      <c r="F1640" s="2" t="s">
        <v>5</v>
      </c>
      <c r="G1640" s="2">
        <v>140.60000000064599</v>
      </c>
      <c r="H1640" s="2" t="s">
        <v>16</v>
      </c>
      <c r="I1640" s="2">
        <v>27028.000000001401</v>
      </c>
      <c r="J1640" s="2">
        <v>2000</v>
      </c>
      <c r="K1640" s="2">
        <v>200</v>
      </c>
      <c r="L1640" s="2">
        <v>0</v>
      </c>
      <c r="M1640" s="2">
        <v>537708.01</v>
      </c>
      <c r="N1640">
        <f t="shared" si="31"/>
        <v>564876.61000000208</v>
      </c>
      <c r="O1640" s="9" t="s">
        <v>5</v>
      </c>
    </row>
    <row r="1641" spans="1:15" x14ac:dyDescent="0.2">
      <c r="A1641">
        <v>56</v>
      </c>
      <c r="B1641">
        <v>5</v>
      </c>
      <c r="C1641">
        <v>5</v>
      </c>
      <c r="D1641" s="2">
        <v>2</v>
      </c>
      <c r="E1641" s="2">
        <v>2</v>
      </c>
      <c r="F1641" s="2" t="s">
        <v>5</v>
      </c>
      <c r="G1641" s="2">
        <v>137.60000000004899</v>
      </c>
      <c r="H1641" s="2" t="s">
        <v>16</v>
      </c>
      <c r="I1641" s="2">
        <v>25397.999999995602</v>
      </c>
      <c r="J1641" s="2">
        <v>2000</v>
      </c>
      <c r="K1641" s="2">
        <v>200</v>
      </c>
      <c r="L1641" s="2">
        <v>0</v>
      </c>
      <c r="M1641" s="2">
        <v>540428.01</v>
      </c>
      <c r="N1641">
        <f t="shared" si="31"/>
        <v>565963.60999999568</v>
      </c>
      <c r="O1641" s="9" t="s">
        <v>5</v>
      </c>
    </row>
    <row r="1642" spans="1:15" x14ac:dyDescent="0.2">
      <c r="A1642">
        <v>57</v>
      </c>
      <c r="B1642">
        <v>5</v>
      </c>
      <c r="C1642">
        <v>5</v>
      </c>
      <c r="D1642" s="2">
        <v>2</v>
      </c>
      <c r="E1642" s="2">
        <v>3</v>
      </c>
      <c r="F1642" s="2" t="s">
        <v>5</v>
      </c>
      <c r="G1642" s="2">
        <v>183.39999999987799</v>
      </c>
      <c r="H1642" s="2" t="s">
        <v>16</v>
      </c>
      <c r="I1642" s="2">
        <v>44558.000000023399</v>
      </c>
      <c r="J1642" s="2">
        <v>2000</v>
      </c>
      <c r="K1642" s="2">
        <v>200</v>
      </c>
      <c r="L1642" s="2">
        <v>0</v>
      </c>
      <c r="M1642" s="2">
        <v>533708.81000000006</v>
      </c>
      <c r="N1642">
        <f t="shared" si="31"/>
        <v>578450.21000002336</v>
      </c>
      <c r="O1642" s="9" t="s">
        <v>5</v>
      </c>
    </row>
    <row r="1643" spans="1:15" x14ac:dyDescent="0.2">
      <c r="A1643">
        <v>58</v>
      </c>
      <c r="B1643">
        <v>5</v>
      </c>
      <c r="C1643">
        <v>6</v>
      </c>
      <c r="D1643" s="2">
        <v>2</v>
      </c>
      <c r="E1643" s="2">
        <v>1</v>
      </c>
      <c r="F1643" s="2" t="s">
        <v>5</v>
      </c>
      <c r="G1643" s="2">
        <v>215.599999999228</v>
      </c>
      <c r="H1643" s="2" t="s">
        <v>16</v>
      </c>
      <c r="I1643" s="2">
        <v>56205.000000005602</v>
      </c>
      <c r="J1643" s="2">
        <v>2000</v>
      </c>
      <c r="K1643" s="2">
        <v>200</v>
      </c>
      <c r="L1643" s="2">
        <v>0</v>
      </c>
      <c r="M1643" s="2">
        <v>542831.21</v>
      </c>
      <c r="N1643">
        <f t="shared" si="31"/>
        <v>599251.81000000483</v>
      </c>
      <c r="O1643" s="9" t="s">
        <v>5</v>
      </c>
    </row>
    <row r="1644" spans="1:15" x14ac:dyDescent="0.2">
      <c r="A1644">
        <v>59</v>
      </c>
      <c r="B1644">
        <v>5</v>
      </c>
      <c r="C1644">
        <v>6</v>
      </c>
      <c r="D1644" s="2">
        <v>2</v>
      </c>
      <c r="E1644" s="2">
        <v>2</v>
      </c>
      <c r="F1644" s="2" t="s">
        <v>5</v>
      </c>
      <c r="G1644" s="2">
        <v>212.39999999984599</v>
      </c>
      <c r="H1644" s="2" t="s">
        <v>16</v>
      </c>
      <c r="I1644" s="2">
        <v>45035.000000012798</v>
      </c>
      <c r="J1644" s="2">
        <v>2000</v>
      </c>
      <c r="K1644" s="2">
        <v>200</v>
      </c>
      <c r="L1644" s="2">
        <v>0</v>
      </c>
      <c r="M1644" s="2">
        <v>539548.01</v>
      </c>
      <c r="N1644">
        <f t="shared" si="31"/>
        <v>584795.41000001261</v>
      </c>
      <c r="O1644" s="9" t="s">
        <v>5</v>
      </c>
    </row>
    <row r="1645" spans="1:15" x14ac:dyDescent="0.2">
      <c r="A1645">
        <v>60</v>
      </c>
      <c r="B1645">
        <v>5</v>
      </c>
      <c r="C1645">
        <v>6</v>
      </c>
      <c r="D1645" s="2">
        <v>2</v>
      </c>
      <c r="E1645" s="2">
        <v>3</v>
      </c>
      <c r="F1645" s="2" t="s">
        <v>5</v>
      </c>
      <c r="G1645" s="2">
        <v>288.40000000016602</v>
      </c>
      <c r="H1645" s="2" t="s">
        <v>16</v>
      </c>
      <c r="I1645" s="2">
        <v>150798.00000000899</v>
      </c>
      <c r="J1645" s="2">
        <v>2000</v>
      </c>
      <c r="K1645" s="2">
        <v>200</v>
      </c>
      <c r="L1645" s="2">
        <v>0</v>
      </c>
      <c r="M1645" s="2">
        <v>543149.61</v>
      </c>
      <c r="N1645">
        <f t="shared" si="31"/>
        <v>694236.01000000909</v>
      </c>
      <c r="O1645" s="9" t="s">
        <v>5</v>
      </c>
    </row>
    <row r="1646" spans="1:15" x14ac:dyDescent="0.2">
      <c r="A1646">
        <v>61</v>
      </c>
      <c r="B1646">
        <v>5</v>
      </c>
      <c r="C1646">
        <v>7</v>
      </c>
      <c r="D1646" s="2">
        <v>2</v>
      </c>
      <c r="E1646" s="2">
        <v>1</v>
      </c>
      <c r="F1646" s="2" t="s">
        <v>5</v>
      </c>
      <c r="G1646" s="2">
        <v>230.60000000043601</v>
      </c>
      <c r="H1646" s="2" t="s">
        <v>16</v>
      </c>
      <c r="I1646" s="2">
        <v>105615.99999999801</v>
      </c>
      <c r="J1646" s="2">
        <v>2000</v>
      </c>
      <c r="K1646" s="2">
        <v>200</v>
      </c>
      <c r="L1646" s="2">
        <v>0</v>
      </c>
      <c r="M1646" s="2">
        <v>582429.21</v>
      </c>
      <c r="N1646">
        <f t="shared" si="31"/>
        <v>688275.80999999843</v>
      </c>
      <c r="O1646" s="9" t="s">
        <v>5</v>
      </c>
    </row>
    <row r="1647" spans="1:15" x14ac:dyDescent="0.2">
      <c r="A1647">
        <v>62</v>
      </c>
      <c r="B1647">
        <v>5</v>
      </c>
      <c r="C1647">
        <v>7</v>
      </c>
      <c r="D1647" s="2">
        <v>2</v>
      </c>
      <c r="E1647" s="2">
        <v>2</v>
      </c>
      <c r="F1647" s="2" t="s">
        <v>5</v>
      </c>
      <c r="G1647" s="2">
        <v>233.80000000017299</v>
      </c>
      <c r="H1647" s="2" t="s">
        <v>16</v>
      </c>
      <c r="I1647" s="2">
        <v>102223.999999978</v>
      </c>
      <c r="J1647" s="2">
        <v>2000</v>
      </c>
      <c r="K1647" s="2">
        <v>200</v>
      </c>
      <c r="L1647" s="2">
        <v>0</v>
      </c>
      <c r="M1647" s="2">
        <v>536187.61</v>
      </c>
      <c r="N1647">
        <f t="shared" si="31"/>
        <v>638645.40999997815</v>
      </c>
      <c r="O1647" s="9" t="s">
        <v>5</v>
      </c>
    </row>
    <row r="1648" spans="1:15" x14ac:dyDescent="0.2">
      <c r="A1648">
        <v>63</v>
      </c>
      <c r="B1648">
        <v>5</v>
      </c>
      <c r="C1648">
        <v>7</v>
      </c>
      <c r="D1648" s="2">
        <v>2</v>
      </c>
      <c r="E1648" s="2">
        <v>3</v>
      </c>
      <c r="F1648" s="2" t="s">
        <v>5</v>
      </c>
      <c r="G1648" s="2">
        <v>359.799999999666</v>
      </c>
      <c r="H1648" s="2" t="s">
        <v>16</v>
      </c>
      <c r="I1648" s="2">
        <v>241534.99999999901</v>
      </c>
      <c r="J1648" s="2">
        <v>2000</v>
      </c>
      <c r="K1648" s="2">
        <v>200</v>
      </c>
      <c r="L1648" s="2">
        <v>0</v>
      </c>
      <c r="M1648" s="2">
        <v>547628.41</v>
      </c>
      <c r="N1648">
        <f t="shared" si="31"/>
        <v>789523.20999999868</v>
      </c>
      <c r="O1648" s="9" t="s">
        <v>5</v>
      </c>
    </row>
    <row r="1649" spans="1:15" x14ac:dyDescent="0.2">
      <c r="A1649">
        <v>64</v>
      </c>
      <c r="B1649">
        <v>5</v>
      </c>
      <c r="C1649">
        <v>8</v>
      </c>
      <c r="D1649" s="2">
        <v>2</v>
      </c>
      <c r="E1649" s="2">
        <v>1</v>
      </c>
      <c r="F1649" s="2" t="s">
        <v>5</v>
      </c>
      <c r="G1649" s="2">
        <v>274.00000000028501</v>
      </c>
      <c r="H1649" s="2" t="s">
        <v>16</v>
      </c>
      <c r="I1649" s="2">
        <v>128890.00000001299</v>
      </c>
      <c r="J1649" s="2">
        <v>2000</v>
      </c>
      <c r="K1649" s="2">
        <v>200</v>
      </c>
      <c r="L1649" s="2">
        <v>0</v>
      </c>
      <c r="M1649" s="2">
        <v>550350.41</v>
      </c>
      <c r="N1649">
        <f t="shared" si="31"/>
        <v>679514.4100000133</v>
      </c>
      <c r="O1649" s="9" t="s">
        <v>5</v>
      </c>
    </row>
    <row r="1650" spans="1:15" x14ac:dyDescent="0.2">
      <c r="A1650">
        <v>65</v>
      </c>
      <c r="B1650">
        <v>5</v>
      </c>
      <c r="C1650">
        <v>8</v>
      </c>
      <c r="D1650" s="2">
        <v>2</v>
      </c>
      <c r="E1650" s="2">
        <v>2</v>
      </c>
      <c r="F1650" s="2" t="s">
        <v>5</v>
      </c>
      <c r="G1650" s="2">
        <v>271.20000000024902</v>
      </c>
      <c r="H1650" s="2" t="s">
        <v>16</v>
      </c>
      <c r="I1650" s="2">
        <v>165955.999999994</v>
      </c>
      <c r="J1650" s="2">
        <v>2000</v>
      </c>
      <c r="K1650" s="2">
        <v>200</v>
      </c>
      <c r="L1650" s="2">
        <v>0</v>
      </c>
      <c r="M1650" s="2">
        <v>543068.01</v>
      </c>
      <c r="N1650">
        <f t="shared" si="31"/>
        <v>709295.20999999426</v>
      </c>
      <c r="O1650" s="9" t="s">
        <v>4</v>
      </c>
    </row>
    <row r="1651" spans="1:15" x14ac:dyDescent="0.2">
      <c r="A1651">
        <v>66</v>
      </c>
      <c r="B1651">
        <v>5</v>
      </c>
      <c r="C1651">
        <v>8</v>
      </c>
      <c r="D1651" s="2">
        <v>2</v>
      </c>
      <c r="E1651" s="2">
        <v>3</v>
      </c>
      <c r="F1651" s="2" t="s">
        <v>5</v>
      </c>
      <c r="G1651" s="2">
        <v>390.99999999976399</v>
      </c>
      <c r="H1651" s="2" t="s">
        <v>16</v>
      </c>
      <c r="I1651" s="2">
        <v>603557.99999999197</v>
      </c>
      <c r="J1651" s="2">
        <v>2000</v>
      </c>
      <c r="K1651" s="2">
        <v>200</v>
      </c>
      <c r="L1651" s="2">
        <v>0</v>
      </c>
      <c r="M1651" s="2">
        <v>552429.21</v>
      </c>
      <c r="N1651">
        <f t="shared" si="31"/>
        <v>1156378.2099999916</v>
      </c>
      <c r="O1651" s="9" t="s">
        <v>4</v>
      </c>
    </row>
    <row r="1652" spans="1:15" x14ac:dyDescent="0.2">
      <c r="A1652">
        <v>67</v>
      </c>
      <c r="B1652">
        <v>5</v>
      </c>
      <c r="C1652">
        <v>7</v>
      </c>
      <c r="D1652" s="2">
        <v>2</v>
      </c>
      <c r="E1652" s="2">
        <v>1</v>
      </c>
      <c r="F1652" s="2" t="s">
        <v>5</v>
      </c>
      <c r="G1652" s="2">
        <v>210.20000000007099</v>
      </c>
      <c r="H1652" s="2" t="s">
        <v>16</v>
      </c>
      <c r="I1652" s="2">
        <v>119817.999999981</v>
      </c>
      <c r="J1652" s="2">
        <v>2000</v>
      </c>
      <c r="K1652" s="2">
        <v>200</v>
      </c>
      <c r="L1652" s="2">
        <v>0</v>
      </c>
      <c r="M1652" s="2">
        <v>573308.01</v>
      </c>
      <c r="N1652">
        <f t="shared" si="31"/>
        <v>693336.2099999811</v>
      </c>
      <c r="O1652" s="9" t="s">
        <v>5</v>
      </c>
    </row>
    <row r="1653" spans="1:15" x14ac:dyDescent="0.2">
      <c r="A1653">
        <v>68</v>
      </c>
      <c r="B1653">
        <v>5</v>
      </c>
      <c r="C1653">
        <v>7</v>
      </c>
      <c r="D1653" s="2">
        <v>2</v>
      </c>
      <c r="E1653" s="2">
        <v>2</v>
      </c>
      <c r="F1653" s="2" t="s">
        <v>5</v>
      </c>
      <c r="G1653" s="2">
        <v>210.00000000022101</v>
      </c>
      <c r="H1653" s="2" t="s">
        <v>16</v>
      </c>
      <c r="I1653" s="2">
        <v>73575.000000005297</v>
      </c>
      <c r="J1653" s="2">
        <v>2000</v>
      </c>
      <c r="K1653" s="2">
        <v>200</v>
      </c>
      <c r="L1653" s="2">
        <v>0</v>
      </c>
      <c r="M1653" s="2">
        <v>545308.41</v>
      </c>
      <c r="N1653">
        <f t="shared" si="31"/>
        <v>619093.4100000055</v>
      </c>
      <c r="O1653" s="9" t="s">
        <v>5</v>
      </c>
    </row>
    <row r="1654" spans="1:15" x14ac:dyDescent="0.2">
      <c r="A1654">
        <v>69</v>
      </c>
      <c r="B1654">
        <v>5</v>
      </c>
      <c r="C1654">
        <v>7</v>
      </c>
      <c r="D1654" s="2">
        <v>2</v>
      </c>
      <c r="E1654" s="2">
        <v>3</v>
      </c>
      <c r="F1654" s="2" t="s">
        <v>5</v>
      </c>
      <c r="G1654" s="2">
        <v>292.59999999986502</v>
      </c>
      <c r="H1654" s="2" t="s">
        <v>16</v>
      </c>
      <c r="I1654" s="2">
        <v>260648.000000003</v>
      </c>
      <c r="J1654" s="2">
        <v>2000</v>
      </c>
      <c r="K1654" s="2">
        <v>200</v>
      </c>
      <c r="L1654" s="2">
        <v>0</v>
      </c>
      <c r="M1654" s="2">
        <v>537628.81000000006</v>
      </c>
      <c r="N1654">
        <f t="shared" si="31"/>
        <v>798569.41000000294</v>
      </c>
      <c r="O1654" s="9" t="s">
        <v>4</v>
      </c>
    </row>
    <row r="1655" spans="1:15" x14ac:dyDescent="0.2">
      <c r="A1655">
        <v>28</v>
      </c>
      <c r="B1655">
        <v>5</v>
      </c>
      <c r="C1655">
        <v>4</v>
      </c>
      <c r="D1655" s="2">
        <v>2</v>
      </c>
      <c r="E1655" s="2">
        <v>1</v>
      </c>
      <c r="F1655" s="2" t="s">
        <v>5</v>
      </c>
      <c r="G1655" s="2">
        <v>541.19999999961999</v>
      </c>
      <c r="H1655" s="2" t="s">
        <v>16</v>
      </c>
      <c r="I1655" s="2">
        <v>40185.000000008098</v>
      </c>
      <c r="J1655" s="2">
        <v>3000</v>
      </c>
      <c r="K1655" s="2">
        <v>100</v>
      </c>
      <c r="L1655" s="2">
        <v>0</v>
      </c>
      <c r="M1655" s="2">
        <v>536548.41</v>
      </c>
      <c r="N1655">
        <f t="shared" ref="N1655:N1696" si="32">G1655+I1655+M1655</f>
        <v>577274.61000000779</v>
      </c>
      <c r="O1655" s="2" t="s">
        <v>5</v>
      </c>
    </row>
    <row r="1656" spans="1:15" x14ac:dyDescent="0.2">
      <c r="A1656">
        <v>29</v>
      </c>
      <c r="B1656">
        <v>5</v>
      </c>
      <c r="C1656">
        <v>5</v>
      </c>
      <c r="D1656" s="2">
        <v>2</v>
      </c>
      <c r="E1656" s="2">
        <v>2</v>
      </c>
      <c r="F1656" s="2" t="s">
        <v>5</v>
      </c>
      <c r="G1656" s="2">
        <v>547.39999999959798</v>
      </c>
      <c r="H1656" s="2" t="s">
        <v>16</v>
      </c>
      <c r="I1656" s="2">
        <v>34695.999999996697</v>
      </c>
      <c r="J1656" s="2">
        <v>3000</v>
      </c>
      <c r="K1656" s="2">
        <v>100</v>
      </c>
      <c r="L1656" s="2">
        <v>0</v>
      </c>
      <c r="M1656" s="2">
        <v>493106.81</v>
      </c>
      <c r="N1656">
        <f t="shared" si="32"/>
        <v>528350.20999999624</v>
      </c>
      <c r="O1656" s="2" t="s">
        <v>5</v>
      </c>
    </row>
    <row r="1657" spans="1:15" x14ac:dyDescent="0.2">
      <c r="A1657">
        <v>30</v>
      </c>
      <c r="B1657">
        <v>5</v>
      </c>
      <c r="C1657">
        <v>5</v>
      </c>
      <c r="D1657" s="2">
        <v>2</v>
      </c>
      <c r="E1657" s="2">
        <v>3</v>
      </c>
      <c r="F1657" s="2" t="s">
        <v>5</v>
      </c>
      <c r="G1657" s="2">
        <v>598.60000000000502</v>
      </c>
      <c r="H1657" s="2" t="s">
        <v>16</v>
      </c>
      <c r="I1657" s="2">
        <v>78614.999999984997</v>
      </c>
      <c r="J1657" s="2">
        <v>3000</v>
      </c>
      <c r="K1657" s="2">
        <v>100</v>
      </c>
      <c r="L1657" s="2">
        <v>0</v>
      </c>
      <c r="M1657" s="2">
        <v>505227.61</v>
      </c>
      <c r="N1657">
        <f t="shared" si="32"/>
        <v>584441.20999998495</v>
      </c>
      <c r="O1657" s="2" t="s">
        <v>5</v>
      </c>
    </row>
    <row r="1658" spans="1:15" x14ac:dyDescent="0.2">
      <c r="A1658">
        <v>31</v>
      </c>
      <c r="B1658">
        <v>5</v>
      </c>
      <c r="C1658">
        <v>5</v>
      </c>
      <c r="D1658" s="2">
        <v>2</v>
      </c>
      <c r="E1658" s="2">
        <v>1</v>
      </c>
      <c r="F1658" s="2" t="s">
        <v>5</v>
      </c>
      <c r="G1658" s="2">
        <v>351.19999999970702</v>
      </c>
      <c r="H1658" s="2" t="s">
        <v>16</v>
      </c>
      <c r="I1658" s="2">
        <v>51963.999999998101</v>
      </c>
      <c r="J1658" s="2">
        <v>3000</v>
      </c>
      <c r="K1658" s="2">
        <v>100</v>
      </c>
      <c r="L1658" s="2">
        <v>0</v>
      </c>
      <c r="M1658" s="2">
        <v>498867.21</v>
      </c>
      <c r="N1658">
        <f t="shared" si="32"/>
        <v>551182.40999999782</v>
      </c>
      <c r="O1658" s="2" t="s">
        <v>5</v>
      </c>
    </row>
    <row r="1659" spans="1:15" x14ac:dyDescent="0.2">
      <c r="A1659">
        <v>32</v>
      </c>
      <c r="B1659">
        <v>5</v>
      </c>
      <c r="C1659">
        <v>5</v>
      </c>
      <c r="D1659" s="2">
        <v>2</v>
      </c>
      <c r="E1659" s="2">
        <v>2</v>
      </c>
      <c r="F1659" s="2" t="s">
        <v>5</v>
      </c>
      <c r="G1659" s="2">
        <v>356.00000000002302</v>
      </c>
      <c r="H1659" s="2" t="s">
        <v>16</v>
      </c>
      <c r="I1659" s="2">
        <v>20672.999999987998</v>
      </c>
      <c r="J1659" s="2">
        <v>3000</v>
      </c>
      <c r="K1659" s="2">
        <v>100</v>
      </c>
      <c r="L1659" s="2">
        <v>0</v>
      </c>
      <c r="M1659" s="2">
        <v>491906.81</v>
      </c>
      <c r="N1659">
        <f t="shared" si="32"/>
        <v>512935.80999998801</v>
      </c>
      <c r="O1659" s="2" t="s">
        <v>5</v>
      </c>
    </row>
    <row r="1660" spans="1:15" x14ac:dyDescent="0.2">
      <c r="A1660">
        <v>33</v>
      </c>
      <c r="B1660">
        <v>5</v>
      </c>
      <c r="C1660">
        <v>5</v>
      </c>
      <c r="D1660" s="2">
        <v>2</v>
      </c>
      <c r="E1660" s="2">
        <v>3</v>
      </c>
      <c r="F1660" s="2" t="s">
        <v>5</v>
      </c>
      <c r="G1660" s="2">
        <v>485.39999999981399</v>
      </c>
      <c r="H1660" s="2" t="s">
        <v>16</v>
      </c>
      <c r="I1660" s="2">
        <v>60222.000000010201</v>
      </c>
      <c r="J1660" s="2">
        <v>3000</v>
      </c>
      <c r="K1660" s="2">
        <v>100</v>
      </c>
      <c r="L1660" s="2">
        <v>0</v>
      </c>
      <c r="M1660" s="2">
        <v>502827.21</v>
      </c>
      <c r="N1660">
        <f t="shared" si="32"/>
        <v>563534.61000001</v>
      </c>
      <c r="O1660" s="2" t="s">
        <v>5</v>
      </c>
    </row>
    <row r="1661" spans="1:15" x14ac:dyDescent="0.2">
      <c r="A1661">
        <v>34</v>
      </c>
      <c r="B1661">
        <v>5</v>
      </c>
      <c r="C1661">
        <v>5</v>
      </c>
      <c r="D1661" s="2">
        <v>2</v>
      </c>
      <c r="E1661" s="2">
        <v>1</v>
      </c>
      <c r="F1661" s="2" t="s">
        <v>5</v>
      </c>
      <c r="G1661" s="2">
        <v>307.60000000000798</v>
      </c>
      <c r="H1661" s="2" t="s">
        <v>16</v>
      </c>
      <c r="I1661" s="2">
        <v>19947.000000001899</v>
      </c>
      <c r="J1661" s="2">
        <v>3000</v>
      </c>
      <c r="K1661" s="2">
        <v>100</v>
      </c>
      <c r="L1661" s="2">
        <v>0</v>
      </c>
      <c r="M1661" s="2">
        <v>498267.21</v>
      </c>
      <c r="N1661">
        <f t="shared" si="32"/>
        <v>518521.81000000192</v>
      </c>
      <c r="O1661" s="2" t="s">
        <v>5</v>
      </c>
    </row>
    <row r="1662" spans="1:15" x14ac:dyDescent="0.2">
      <c r="A1662">
        <v>35</v>
      </c>
      <c r="B1662">
        <v>5</v>
      </c>
      <c r="C1662">
        <v>6</v>
      </c>
      <c r="D1662" s="2">
        <v>2</v>
      </c>
      <c r="E1662" s="2">
        <v>1</v>
      </c>
      <c r="F1662" s="2" t="s">
        <v>5</v>
      </c>
      <c r="G1662" s="2">
        <v>378.80000000036802</v>
      </c>
      <c r="H1662" s="2" t="s">
        <v>16</v>
      </c>
      <c r="I1662" s="2">
        <v>67833.000000007407</v>
      </c>
      <c r="J1662" s="2">
        <v>3000</v>
      </c>
      <c r="K1662" s="2">
        <v>100</v>
      </c>
      <c r="L1662" s="2">
        <v>0</v>
      </c>
      <c r="M1662" s="2">
        <v>586587.21</v>
      </c>
      <c r="N1662">
        <f t="shared" si="32"/>
        <v>654799.01000000769</v>
      </c>
      <c r="O1662" s="2" t="s">
        <v>5</v>
      </c>
    </row>
    <row r="1663" spans="1:15" x14ac:dyDescent="0.2">
      <c r="A1663">
        <v>36</v>
      </c>
      <c r="B1663">
        <v>5</v>
      </c>
      <c r="C1663">
        <v>6</v>
      </c>
      <c r="D1663" s="2">
        <v>2</v>
      </c>
      <c r="E1663" s="2">
        <v>2</v>
      </c>
      <c r="F1663" s="2" t="s">
        <v>5</v>
      </c>
      <c r="G1663" s="2">
        <v>225.399999999709</v>
      </c>
      <c r="H1663" s="2" t="s">
        <v>16</v>
      </c>
      <c r="I1663" s="2">
        <v>85232.000000019107</v>
      </c>
      <c r="J1663" s="2">
        <v>3000</v>
      </c>
      <c r="K1663" s="2">
        <v>100</v>
      </c>
      <c r="L1663" s="2">
        <v>0</v>
      </c>
      <c r="M1663" s="2">
        <v>541707.61</v>
      </c>
      <c r="N1663">
        <f t="shared" si="32"/>
        <v>627165.01000001875</v>
      </c>
      <c r="O1663" s="2" t="s">
        <v>4</v>
      </c>
    </row>
    <row r="1664" spans="1:15" x14ac:dyDescent="0.2">
      <c r="A1664">
        <v>37</v>
      </c>
      <c r="B1664">
        <v>5</v>
      </c>
      <c r="C1664">
        <v>6</v>
      </c>
      <c r="D1664" s="2">
        <v>2</v>
      </c>
      <c r="E1664" s="2">
        <v>3</v>
      </c>
      <c r="F1664" s="2" t="s">
        <v>5</v>
      </c>
      <c r="G1664" s="2">
        <v>317.40000000049002</v>
      </c>
      <c r="H1664" s="2" t="s">
        <v>16</v>
      </c>
      <c r="I1664" s="2">
        <v>429632.99999999598</v>
      </c>
      <c r="J1664" s="2">
        <v>3000</v>
      </c>
      <c r="K1664" s="2">
        <v>100</v>
      </c>
      <c r="L1664" s="2">
        <v>0</v>
      </c>
      <c r="M1664" s="2">
        <v>577467.21</v>
      </c>
      <c r="N1664">
        <f t="shared" si="32"/>
        <v>1007417.6099999964</v>
      </c>
      <c r="O1664" s="2" t="s">
        <v>4</v>
      </c>
    </row>
    <row r="1665" spans="1:15" x14ac:dyDescent="0.2">
      <c r="A1665">
        <v>38</v>
      </c>
      <c r="B1665">
        <v>5</v>
      </c>
      <c r="C1665">
        <v>6</v>
      </c>
      <c r="D1665" s="2">
        <v>2</v>
      </c>
      <c r="E1665" s="2">
        <v>1</v>
      </c>
      <c r="F1665" s="2" t="s">
        <v>5</v>
      </c>
      <c r="G1665" s="2">
        <v>206.39999999971801</v>
      </c>
      <c r="H1665" s="2" t="s">
        <v>16</v>
      </c>
      <c r="I1665" s="2">
        <v>58606.999999995001</v>
      </c>
      <c r="J1665" s="2">
        <v>3000</v>
      </c>
      <c r="K1665" s="2">
        <v>100</v>
      </c>
      <c r="L1665" s="2">
        <v>0</v>
      </c>
      <c r="M1665" s="2">
        <v>586946.81000000006</v>
      </c>
      <c r="N1665">
        <f t="shared" si="32"/>
        <v>645760.20999999472</v>
      </c>
      <c r="O1665" s="2" t="s">
        <v>5</v>
      </c>
    </row>
    <row r="1666" spans="1:15" x14ac:dyDescent="0.2">
      <c r="A1666">
        <v>39</v>
      </c>
      <c r="B1666">
        <v>5</v>
      </c>
      <c r="C1666">
        <v>7</v>
      </c>
      <c r="D1666" s="2">
        <v>2</v>
      </c>
      <c r="E1666" s="2">
        <v>1</v>
      </c>
      <c r="F1666" s="2" t="s">
        <v>5</v>
      </c>
      <c r="G1666" s="2">
        <v>257.600000000124</v>
      </c>
      <c r="H1666" s="2" t="s">
        <v>16</v>
      </c>
      <c r="I1666" s="2">
        <v>172606.00000000201</v>
      </c>
      <c r="J1666" s="2">
        <v>3000</v>
      </c>
      <c r="K1666" s="2">
        <v>100</v>
      </c>
      <c r="L1666" s="2">
        <v>0</v>
      </c>
      <c r="M1666" s="2">
        <v>600027.61</v>
      </c>
      <c r="N1666">
        <f t="shared" si="32"/>
        <v>772891.21000000206</v>
      </c>
      <c r="O1666" s="2" t="s">
        <v>5</v>
      </c>
    </row>
    <row r="1667" spans="1:15" x14ac:dyDescent="0.2">
      <c r="A1667">
        <v>40</v>
      </c>
      <c r="B1667">
        <v>5</v>
      </c>
      <c r="C1667">
        <v>7</v>
      </c>
      <c r="D1667" s="2">
        <v>2</v>
      </c>
      <c r="E1667" s="2">
        <v>2</v>
      </c>
      <c r="F1667" s="2" t="s">
        <v>5</v>
      </c>
      <c r="G1667" s="2">
        <v>242.59999999962599</v>
      </c>
      <c r="H1667" s="2" t="s">
        <v>16</v>
      </c>
      <c r="I1667" s="2">
        <v>100393.999999994</v>
      </c>
      <c r="J1667" s="2">
        <v>3000</v>
      </c>
      <c r="K1667" s="2">
        <v>100</v>
      </c>
      <c r="L1667" s="2">
        <v>0</v>
      </c>
      <c r="M1667" s="2">
        <v>549748.01</v>
      </c>
      <c r="N1667">
        <f t="shared" si="32"/>
        <v>650384.60999999358</v>
      </c>
      <c r="O1667" s="2" t="s">
        <v>5</v>
      </c>
    </row>
    <row r="1668" spans="1:15" x14ac:dyDescent="0.2">
      <c r="A1668">
        <v>41</v>
      </c>
      <c r="B1668">
        <v>5</v>
      </c>
      <c r="C1668">
        <v>7</v>
      </c>
      <c r="D1668" s="2">
        <v>2</v>
      </c>
      <c r="E1668" s="2">
        <v>3</v>
      </c>
      <c r="F1668" s="2" t="s">
        <v>5</v>
      </c>
      <c r="G1668" s="2">
        <v>354.20000000030399</v>
      </c>
      <c r="H1668" s="2" t="s">
        <v>16</v>
      </c>
      <c r="I1668" s="2">
        <v>409392.00000002497</v>
      </c>
      <c r="J1668" s="2">
        <v>3000</v>
      </c>
      <c r="K1668" s="2">
        <v>100</v>
      </c>
      <c r="L1668" s="2">
        <v>0</v>
      </c>
      <c r="M1668" s="2">
        <v>577708.81000000006</v>
      </c>
      <c r="N1668">
        <f t="shared" si="32"/>
        <v>987455.01000002539</v>
      </c>
      <c r="O1668" s="2" t="s">
        <v>4</v>
      </c>
    </row>
    <row r="1669" spans="1:15" x14ac:dyDescent="0.2">
      <c r="A1669">
        <v>42</v>
      </c>
      <c r="B1669">
        <v>5</v>
      </c>
      <c r="C1669">
        <v>4</v>
      </c>
      <c r="D1669" s="2">
        <v>2</v>
      </c>
      <c r="E1669" s="2">
        <v>1</v>
      </c>
      <c r="F1669" s="2" t="s">
        <v>5</v>
      </c>
      <c r="G1669" s="2">
        <v>129.800000000202</v>
      </c>
      <c r="H1669" s="2" t="s">
        <v>16</v>
      </c>
      <c r="I1669" s="2">
        <v>11878.999999993301</v>
      </c>
      <c r="J1669" s="2">
        <v>3000</v>
      </c>
      <c r="K1669" s="2">
        <v>100</v>
      </c>
      <c r="L1669" s="2">
        <v>0</v>
      </c>
      <c r="M1669" s="2">
        <v>495747.21</v>
      </c>
      <c r="N1669">
        <f t="shared" si="32"/>
        <v>507756.00999999355</v>
      </c>
      <c r="O1669" s="2" t="s">
        <v>5</v>
      </c>
    </row>
    <row r="1670" spans="1:15" x14ac:dyDescent="0.2">
      <c r="A1670">
        <v>43</v>
      </c>
      <c r="B1670">
        <v>5</v>
      </c>
      <c r="C1670">
        <v>5</v>
      </c>
      <c r="D1670" s="2">
        <v>2</v>
      </c>
      <c r="E1670" s="2">
        <v>1</v>
      </c>
      <c r="F1670" s="2" t="s">
        <v>5</v>
      </c>
      <c r="G1670" s="2">
        <v>157.00000000009601</v>
      </c>
      <c r="H1670" s="2" t="s">
        <v>16</v>
      </c>
      <c r="I1670" s="2">
        <v>17081.999999987798</v>
      </c>
      <c r="J1670" s="2">
        <v>3000</v>
      </c>
      <c r="K1670" s="2">
        <v>100</v>
      </c>
      <c r="L1670" s="2">
        <v>0</v>
      </c>
      <c r="M1670" s="2">
        <v>502827.21</v>
      </c>
      <c r="N1670">
        <f t="shared" si="32"/>
        <v>520066.20999998791</v>
      </c>
      <c r="O1670" s="2" t="s">
        <v>5</v>
      </c>
    </row>
    <row r="1671" spans="1:15" x14ac:dyDescent="0.2">
      <c r="A1671">
        <v>44</v>
      </c>
      <c r="B1671">
        <v>5</v>
      </c>
      <c r="C1671">
        <v>5</v>
      </c>
      <c r="D1671" s="2">
        <v>2</v>
      </c>
      <c r="E1671" s="2">
        <v>2</v>
      </c>
      <c r="F1671" s="2" t="s">
        <v>5</v>
      </c>
      <c r="G1671" s="2">
        <v>156.599999999685</v>
      </c>
      <c r="H1671" s="2" t="s">
        <v>16</v>
      </c>
      <c r="I1671" s="2">
        <v>24732.0000000002</v>
      </c>
      <c r="J1671" s="2">
        <v>3000</v>
      </c>
      <c r="K1671" s="2">
        <v>100</v>
      </c>
      <c r="L1671" s="2">
        <v>0</v>
      </c>
      <c r="M1671" s="2">
        <v>501147.61</v>
      </c>
      <c r="N1671">
        <f t="shared" si="32"/>
        <v>526036.20999999985</v>
      </c>
      <c r="O1671" s="2" t="s">
        <v>5</v>
      </c>
    </row>
    <row r="1672" spans="1:15" x14ac:dyDescent="0.2">
      <c r="A1672">
        <v>45</v>
      </c>
      <c r="B1672">
        <v>5</v>
      </c>
      <c r="C1672">
        <v>5</v>
      </c>
      <c r="D1672" s="2">
        <v>2</v>
      </c>
      <c r="E1672" s="2">
        <v>3</v>
      </c>
      <c r="F1672" s="2" t="s">
        <v>5</v>
      </c>
      <c r="G1672" s="2">
        <v>211.00000000018301</v>
      </c>
      <c r="H1672" s="2" t="s">
        <v>16</v>
      </c>
      <c r="I1672" s="2">
        <v>56737.9999999957</v>
      </c>
      <c r="J1672" s="2">
        <v>3000</v>
      </c>
      <c r="K1672" s="2">
        <v>100</v>
      </c>
      <c r="L1672" s="2">
        <v>0</v>
      </c>
      <c r="M1672" s="2">
        <v>493827.61</v>
      </c>
      <c r="N1672">
        <f t="shared" si="32"/>
        <v>550776.60999999591</v>
      </c>
      <c r="O1672" s="2" t="s">
        <v>5</v>
      </c>
    </row>
    <row r="1673" spans="1:15" x14ac:dyDescent="0.2">
      <c r="A1673">
        <v>46</v>
      </c>
      <c r="B1673">
        <v>5</v>
      </c>
      <c r="C1673">
        <v>6</v>
      </c>
      <c r="D1673" s="2">
        <v>2</v>
      </c>
      <c r="E1673" s="2">
        <v>1</v>
      </c>
      <c r="F1673" s="2" t="s">
        <v>5</v>
      </c>
      <c r="G1673" s="2">
        <v>189.400000000006</v>
      </c>
      <c r="H1673" s="2" t="s">
        <v>16</v>
      </c>
      <c r="I1673" s="2">
        <v>68061.000000000204</v>
      </c>
      <c r="J1673" s="2">
        <v>3000</v>
      </c>
      <c r="K1673" s="2">
        <v>100</v>
      </c>
      <c r="L1673" s="2">
        <v>0</v>
      </c>
      <c r="M1673" s="2">
        <v>500068.81</v>
      </c>
      <c r="N1673">
        <f t="shared" si="32"/>
        <v>568319.2100000002</v>
      </c>
      <c r="O1673" s="2" t="s">
        <v>5</v>
      </c>
    </row>
    <row r="1674" spans="1:15" x14ac:dyDescent="0.2">
      <c r="A1674">
        <v>47</v>
      </c>
      <c r="B1674">
        <v>5</v>
      </c>
      <c r="C1674">
        <v>6</v>
      </c>
      <c r="D1674" s="2">
        <v>2</v>
      </c>
      <c r="E1674" s="2">
        <v>2</v>
      </c>
      <c r="F1674" s="2" t="s">
        <v>5</v>
      </c>
      <c r="G1674" s="2">
        <v>193.80000000026601</v>
      </c>
      <c r="H1674" s="2" t="s">
        <v>16</v>
      </c>
      <c r="I1674" s="2">
        <v>55103.000000002598</v>
      </c>
      <c r="J1674" s="2">
        <v>3000</v>
      </c>
      <c r="K1674" s="2">
        <v>100</v>
      </c>
      <c r="L1674" s="2">
        <v>0</v>
      </c>
      <c r="M1674" s="2">
        <v>502347.21</v>
      </c>
      <c r="N1674">
        <f t="shared" si="32"/>
        <v>557644.01000000292</v>
      </c>
      <c r="O1674" s="2" t="s">
        <v>5</v>
      </c>
    </row>
    <row r="1675" spans="1:15" x14ac:dyDescent="0.2">
      <c r="A1675">
        <v>48</v>
      </c>
      <c r="B1675">
        <v>5</v>
      </c>
      <c r="C1675">
        <v>6</v>
      </c>
      <c r="D1675" s="2">
        <v>2</v>
      </c>
      <c r="E1675" s="2">
        <v>3</v>
      </c>
      <c r="F1675" s="2" t="s">
        <v>5</v>
      </c>
      <c r="G1675" s="2">
        <v>249.79999999992199</v>
      </c>
      <c r="H1675" s="2" t="s">
        <v>16</v>
      </c>
      <c r="I1675" s="2">
        <v>121555.000000001</v>
      </c>
      <c r="J1675" s="2">
        <v>3000</v>
      </c>
      <c r="K1675" s="2">
        <v>100</v>
      </c>
      <c r="L1675" s="2">
        <v>0</v>
      </c>
      <c r="M1675" s="2">
        <v>590067.21</v>
      </c>
      <c r="N1675">
        <f t="shared" si="32"/>
        <v>711872.01000000094</v>
      </c>
      <c r="O1675" s="2" t="s">
        <v>4</v>
      </c>
    </row>
    <row r="1676" spans="1:15" x14ac:dyDescent="0.2">
      <c r="A1676">
        <v>49</v>
      </c>
      <c r="B1676">
        <v>5</v>
      </c>
      <c r="C1676">
        <v>6</v>
      </c>
      <c r="D1676" s="2">
        <v>2</v>
      </c>
      <c r="E1676" s="2">
        <v>1</v>
      </c>
      <c r="F1676" s="2" t="s">
        <v>5</v>
      </c>
      <c r="G1676" s="2">
        <v>183.19999999931699</v>
      </c>
      <c r="H1676" s="2" t="s">
        <v>16</v>
      </c>
      <c r="I1676" s="2">
        <v>41121.000000004002</v>
      </c>
      <c r="J1676" s="2">
        <v>3000</v>
      </c>
      <c r="K1676" s="2">
        <v>100</v>
      </c>
      <c r="L1676" s="2">
        <v>0</v>
      </c>
      <c r="M1676" s="2">
        <v>489748.41</v>
      </c>
      <c r="N1676">
        <f t="shared" si="32"/>
        <v>531052.61000000325</v>
      </c>
      <c r="O1676" s="2" t="s">
        <v>5</v>
      </c>
    </row>
    <row r="1677" spans="1:15" x14ac:dyDescent="0.2">
      <c r="A1677">
        <v>50</v>
      </c>
      <c r="B1677">
        <v>5</v>
      </c>
      <c r="C1677">
        <v>6</v>
      </c>
      <c r="D1677" s="2">
        <v>2</v>
      </c>
      <c r="E1677" s="2">
        <v>2</v>
      </c>
      <c r="F1677" s="2" t="s">
        <v>5</v>
      </c>
      <c r="G1677" s="2">
        <v>190.800000000024</v>
      </c>
      <c r="H1677" s="2" t="s">
        <v>16</v>
      </c>
      <c r="I1677" s="2">
        <v>50727.999999992302</v>
      </c>
      <c r="J1677" s="2">
        <v>3000</v>
      </c>
      <c r="K1677" s="2">
        <v>100</v>
      </c>
      <c r="L1677" s="2">
        <v>0</v>
      </c>
      <c r="M1677" s="2">
        <v>536787.61</v>
      </c>
      <c r="N1677">
        <f t="shared" si="32"/>
        <v>587706.40999999235</v>
      </c>
      <c r="O1677" s="2" t="s">
        <v>5</v>
      </c>
    </row>
    <row r="1678" spans="1:15" x14ac:dyDescent="0.2">
      <c r="A1678">
        <v>51</v>
      </c>
      <c r="B1678">
        <v>5</v>
      </c>
      <c r="C1678">
        <v>6</v>
      </c>
      <c r="D1678" s="2">
        <v>2</v>
      </c>
      <c r="E1678" s="2">
        <v>3</v>
      </c>
      <c r="F1678" s="2" t="s">
        <v>5</v>
      </c>
      <c r="G1678" s="2">
        <v>252.19999999990301</v>
      </c>
      <c r="H1678" s="2" t="s">
        <v>16</v>
      </c>
      <c r="I1678" s="2">
        <v>139174.99999999499</v>
      </c>
      <c r="J1678" s="2">
        <v>3000</v>
      </c>
      <c r="K1678" s="2">
        <v>100</v>
      </c>
      <c r="L1678" s="2">
        <v>0</v>
      </c>
      <c r="M1678" s="2">
        <v>540747.61</v>
      </c>
      <c r="N1678">
        <f t="shared" si="32"/>
        <v>680174.80999999493</v>
      </c>
      <c r="O1678" s="2" t="s">
        <v>4</v>
      </c>
    </row>
    <row r="1679" spans="1:15" x14ac:dyDescent="0.2">
      <c r="A1679">
        <v>52</v>
      </c>
      <c r="B1679">
        <v>5</v>
      </c>
      <c r="C1679">
        <v>7</v>
      </c>
      <c r="D1679" s="2">
        <v>2</v>
      </c>
      <c r="E1679" s="2">
        <v>1</v>
      </c>
      <c r="F1679" s="2" t="s">
        <v>5</v>
      </c>
      <c r="G1679" s="2">
        <v>219.40000000029201</v>
      </c>
      <c r="H1679" s="2" t="s">
        <v>16</v>
      </c>
      <c r="I1679" s="2">
        <v>49910.000000011198</v>
      </c>
      <c r="J1679" s="2">
        <v>3000</v>
      </c>
      <c r="K1679" s="2">
        <v>100</v>
      </c>
      <c r="L1679" s="2">
        <v>0</v>
      </c>
      <c r="M1679" s="2">
        <v>493828.81</v>
      </c>
      <c r="N1679">
        <f t="shared" si="32"/>
        <v>543958.21000001149</v>
      </c>
      <c r="O1679" s="2" t="s">
        <v>5</v>
      </c>
    </row>
    <row r="1680" spans="1:15" x14ac:dyDescent="0.2">
      <c r="A1680">
        <v>53</v>
      </c>
      <c r="B1680">
        <v>5</v>
      </c>
      <c r="C1680">
        <v>7</v>
      </c>
      <c r="D1680" s="2">
        <v>2</v>
      </c>
      <c r="E1680" s="2">
        <v>2</v>
      </c>
      <c r="F1680" s="2" t="s">
        <v>5</v>
      </c>
      <c r="G1680" s="2">
        <v>218.80000000038501</v>
      </c>
      <c r="H1680" s="2" t="s">
        <v>16</v>
      </c>
      <c r="I1680" s="2">
        <v>113836.99999999</v>
      </c>
      <c r="J1680" s="2">
        <v>3000</v>
      </c>
      <c r="K1680" s="2">
        <v>100</v>
      </c>
      <c r="L1680" s="2">
        <v>0</v>
      </c>
      <c r="M1680" s="2">
        <v>545787.21</v>
      </c>
      <c r="N1680">
        <f t="shared" si="32"/>
        <v>659843.00999999035</v>
      </c>
      <c r="O1680" s="2" t="s">
        <v>4</v>
      </c>
    </row>
    <row r="1681" spans="1:15" x14ac:dyDescent="0.2">
      <c r="A1681">
        <v>54</v>
      </c>
      <c r="B1681">
        <v>5</v>
      </c>
      <c r="C1681">
        <v>7</v>
      </c>
      <c r="D1681" s="2">
        <v>2</v>
      </c>
      <c r="E1681" s="2">
        <v>3</v>
      </c>
      <c r="F1681" s="2" t="s">
        <v>5</v>
      </c>
      <c r="G1681" s="2">
        <v>306.40000000019501</v>
      </c>
      <c r="H1681" s="2" t="s">
        <v>16</v>
      </c>
      <c r="I1681" s="2">
        <v>434876.00000000303</v>
      </c>
      <c r="J1681" s="2">
        <v>3000</v>
      </c>
      <c r="K1681" s="2">
        <v>100</v>
      </c>
      <c r="L1681" s="2">
        <v>0</v>
      </c>
      <c r="M1681" s="2">
        <v>600989.61</v>
      </c>
      <c r="N1681">
        <f t="shared" si="32"/>
        <v>1036172.0100000033</v>
      </c>
      <c r="O1681" s="2" t="s">
        <v>5</v>
      </c>
    </row>
    <row r="1682" spans="1:15" x14ac:dyDescent="0.2">
      <c r="A1682">
        <v>55</v>
      </c>
      <c r="B1682">
        <v>5</v>
      </c>
      <c r="C1682">
        <v>5</v>
      </c>
      <c r="D1682" s="2">
        <v>2</v>
      </c>
      <c r="E1682" s="2">
        <v>1</v>
      </c>
      <c r="F1682" s="2" t="s">
        <v>5</v>
      </c>
      <c r="G1682" s="2">
        <v>140.60000000064599</v>
      </c>
      <c r="H1682" s="2" t="s">
        <v>16</v>
      </c>
      <c r="I1682" s="2">
        <v>27028.000000001401</v>
      </c>
      <c r="J1682" s="2">
        <v>3000</v>
      </c>
      <c r="K1682" s="2">
        <v>100</v>
      </c>
      <c r="L1682" s="2">
        <v>0</v>
      </c>
      <c r="M1682" s="2">
        <v>496947.61</v>
      </c>
      <c r="N1682">
        <f t="shared" si="32"/>
        <v>524116.21000000206</v>
      </c>
      <c r="O1682" s="2" t="s">
        <v>5</v>
      </c>
    </row>
    <row r="1683" spans="1:15" x14ac:dyDescent="0.2">
      <c r="A1683">
        <v>56</v>
      </c>
      <c r="B1683">
        <v>5</v>
      </c>
      <c r="C1683">
        <v>5</v>
      </c>
      <c r="D1683" s="2">
        <v>2</v>
      </c>
      <c r="E1683" s="2">
        <v>2</v>
      </c>
      <c r="F1683" s="2" t="s">
        <v>5</v>
      </c>
      <c r="G1683" s="2">
        <v>137.60000000004899</v>
      </c>
      <c r="H1683" s="2" t="s">
        <v>16</v>
      </c>
      <c r="I1683" s="2">
        <v>25397.999999995602</v>
      </c>
      <c r="J1683" s="2">
        <v>3000</v>
      </c>
      <c r="K1683" s="2">
        <v>100</v>
      </c>
      <c r="L1683" s="2">
        <v>0</v>
      </c>
      <c r="M1683" s="2">
        <v>501027.61</v>
      </c>
      <c r="N1683">
        <f t="shared" si="32"/>
        <v>526563.20999999566</v>
      </c>
      <c r="O1683" s="2" t="s">
        <v>5</v>
      </c>
    </row>
    <row r="1684" spans="1:15" x14ac:dyDescent="0.2">
      <c r="A1684">
        <v>57</v>
      </c>
      <c r="B1684">
        <v>5</v>
      </c>
      <c r="C1684">
        <v>5</v>
      </c>
      <c r="D1684" s="2">
        <v>2</v>
      </c>
      <c r="E1684" s="2">
        <v>3</v>
      </c>
      <c r="F1684" s="2" t="s">
        <v>5</v>
      </c>
      <c r="G1684" s="2">
        <v>183.39999999987799</v>
      </c>
      <c r="H1684" s="2" t="s">
        <v>16</v>
      </c>
      <c r="I1684" s="2">
        <v>44558.000000023399</v>
      </c>
      <c r="J1684" s="2">
        <v>3000</v>
      </c>
      <c r="K1684" s="2">
        <v>100</v>
      </c>
      <c r="L1684" s="2">
        <v>0</v>
      </c>
      <c r="M1684" s="2">
        <v>490948.41</v>
      </c>
      <c r="N1684">
        <f t="shared" si="32"/>
        <v>535689.81000002322</v>
      </c>
      <c r="O1684" s="2" t="s">
        <v>5</v>
      </c>
    </row>
    <row r="1685" spans="1:15" x14ac:dyDescent="0.2">
      <c r="A1685">
        <v>58</v>
      </c>
      <c r="B1685">
        <v>5</v>
      </c>
      <c r="C1685">
        <v>6</v>
      </c>
      <c r="D1685" s="2">
        <v>2</v>
      </c>
      <c r="E1685" s="2">
        <v>1</v>
      </c>
      <c r="F1685" s="2" t="s">
        <v>5</v>
      </c>
      <c r="G1685" s="2">
        <v>215.599999999228</v>
      </c>
      <c r="H1685" s="2" t="s">
        <v>16</v>
      </c>
      <c r="I1685" s="2">
        <v>56205.000000005602</v>
      </c>
      <c r="J1685" s="2">
        <v>3000</v>
      </c>
      <c r="K1685" s="2">
        <v>100</v>
      </c>
      <c r="L1685" s="2">
        <v>0</v>
      </c>
      <c r="M1685" s="2">
        <v>504630.81</v>
      </c>
      <c r="N1685">
        <f t="shared" si="32"/>
        <v>561051.41000000481</v>
      </c>
      <c r="O1685" s="2" t="s">
        <v>5</v>
      </c>
    </row>
    <row r="1686" spans="1:15" x14ac:dyDescent="0.2">
      <c r="A1686">
        <v>59</v>
      </c>
      <c r="B1686">
        <v>5</v>
      </c>
      <c r="C1686">
        <v>6</v>
      </c>
      <c r="D1686" s="2">
        <v>2</v>
      </c>
      <c r="E1686" s="2">
        <v>2</v>
      </c>
      <c r="F1686" s="2" t="s">
        <v>5</v>
      </c>
      <c r="G1686" s="2">
        <v>212.39999999984599</v>
      </c>
      <c r="H1686" s="2" t="s">
        <v>16</v>
      </c>
      <c r="I1686" s="2">
        <v>45035.000000012798</v>
      </c>
      <c r="J1686" s="2">
        <v>3000</v>
      </c>
      <c r="K1686" s="2">
        <v>100</v>
      </c>
      <c r="L1686" s="2">
        <v>0</v>
      </c>
      <c r="M1686" s="2">
        <v>499707.61</v>
      </c>
      <c r="N1686">
        <f t="shared" si="32"/>
        <v>544955.01000001258</v>
      </c>
      <c r="O1686" s="2" t="s">
        <v>5</v>
      </c>
    </row>
    <row r="1687" spans="1:15" x14ac:dyDescent="0.2">
      <c r="A1687">
        <v>60</v>
      </c>
      <c r="B1687">
        <v>5</v>
      </c>
      <c r="C1687">
        <v>6</v>
      </c>
      <c r="D1687" s="2">
        <v>2</v>
      </c>
      <c r="E1687" s="2">
        <v>3</v>
      </c>
      <c r="F1687" s="2" t="s">
        <v>5</v>
      </c>
      <c r="G1687" s="2">
        <v>288.40000000016602</v>
      </c>
      <c r="H1687" s="2" t="s">
        <v>16</v>
      </c>
      <c r="I1687" s="2">
        <v>150798.00000000899</v>
      </c>
      <c r="J1687" s="2">
        <v>3000</v>
      </c>
      <c r="K1687" s="2">
        <v>100</v>
      </c>
      <c r="L1687" s="2">
        <v>0</v>
      </c>
      <c r="M1687" s="2">
        <v>505109.21</v>
      </c>
      <c r="N1687">
        <f t="shared" si="32"/>
        <v>656195.61000000918</v>
      </c>
      <c r="O1687" s="2" t="s">
        <v>5</v>
      </c>
    </row>
    <row r="1688" spans="1:15" x14ac:dyDescent="0.2">
      <c r="A1688">
        <v>61</v>
      </c>
      <c r="B1688">
        <v>5</v>
      </c>
      <c r="C1688">
        <v>7</v>
      </c>
      <c r="D1688" s="2">
        <v>2</v>
      </c>
      <c r="E1688" s="2">
        <v>1</v>
      </c>
      <c r="F1688" s="2" t="s">
        <v>5</v>
      </c>
      <c r="G1688" s="2">
        <v>230.60000000043601</v>
      </c>
      <c r="H1688" s="2" t="s">
        <v>16</v>
      </c>
      <c r="I1688" s="2">
        <v>105615.99999999801</v>
      </c>
      <c r="J1688" s="2">
        <v>3000</v>
      </c>
      <c r="K1688" s="2">
        <v>100</v>
      </c>
      <c r="L1688" s="2">
        <v>0</v>
      </c>
      <c r="M1688" s="2">
        <v>564028.81000000006</v>
      </c>
      <c r="N1688">
        <f t="shared" si="32"/>
        <v>669875.40999999852</v>
      </c>
      <c r="O1688" s="2" t="s">
        <v>5</v>
      </c>
    </row>
    <row r="1689" spans="1:15" x14ac:dyDescent="0.2">
      <c r="A1689">
        <v>62</v>
      </c>
      <c r="B1689">
        <v>5</v>
      </c>
      <c r="C1689">
        <v>7</v>
      </c>
      <c r="D1689" s="2">
        <v>2</v>
      </c>
      <c r="E1689" s="2">
        <v>2</v>
      </c>
      <c r="F1689" s="2" t="s">
        <v>5</v>
      </c>
      <c r="G1689" s="2">
        <v>233.80000000017299</v>
      </c>
      <c r="H1689" s="2" t="s">
        <v>16</v>
      </c>
      <c r="I1689" s="2">
        <v>102223.999999978</v>
      </c>
      <c r="J1689" s="2">
        <v>3000</v>
      </c>
      <c r="K1689" s="2">
        <v>100</v>
      </c>
      <c r="L1689" s="2">
        <v>0</v>
      </c>
      <c r="M1689" s="2">
        <v>494667.21</v>
      </c>
      <c r="N1689">
        <f t="shared" si="32"/>
        <v>597125.00999997824</v>
      </c>
      <c r="O1689" s="2" t="s">
        <v>5</v>
      </c>
    </row>
    <row r="1690" spans="1:15" x14ac:dyDescent="0.2">
      <c r="A1690">
        <v>63</v>
      </c>
      <c r="B1690">
        <v>5</v>
      </c>
      <c r="C1690">
        <v>7</v>
      </c>
      <c r="D1690" s="2">
        <v>2</v>
      </c>
      <c r="E1690" s="2">
        <v>3</v>
      </c>
      <c r="F1690" s="2" t="s">
        <v>5</v>
      </c>
      <c r="G1690" s="2">
        <v>359.799999999666</v>
      </c>
      <c r="H1690" s="2" t="s">
        <v>16</v>
      </c>
      <c r="I1690" s="2">
        <v>241534.99999999901</v>
      </c>
      <c r="J1690" s="2">
        <v>3000</v>
      </c>
      <c r="K1690" s="2">
        <v>100</v>
      </c>
      <c r="L1690" s="2">
        <v>0</v>
      </c>
      <c r="M1690" s="2">
        <v>511828.01</v>
      </c>
      <c r="N1690">
        <f t="shared" si="32"/>
        <v>753722.80999999866</v>
      </c>
      <c r="O1690" s="2" t="s">
        <v>4</v>
      </c>
    </row>
    <row r="1691" spans="1:15" x14ac:dyDescent="0.2">
      <c r="A1691">
        <v>64</v>
      </c>
      <c r="B1691">
        <v>5</v>
      </c>
      <c r="C1691">
        <v>8</v>
      </c>
      <c r="D1691" s="2">
        <v>2</v>
      </c>
      <c r="E1691" s="2">
        <v>1</v>
      </c>
      <c r="F1691" s="2" t="s">
        <v>5</v>
      </c>
      <c r="G1691" s="2">
        <v>274.00000000028501</v>
      </c>
      <c r="H1691" s="2" t="s">
        <v>16</v>
      </c>
      <c r="I1691" s="2">
        <v>128890.00000001299</v>
      </c>
      <c r="J1691" s="2">
        <v>3000</v>
      </c>
      <c r="K1691" s="2">
        <v>100</v>
      </c>
      <c r="L1691" s="2">
        <v>0</v>
      </c>
      <c r="M1691" s="2">
        <v>515910.01</v>
      </c>
      <c r="N1691">
        <f t="shared" si="32"/>
        <v>645074.01000001328</v>
      </c>
      <c r="O1691" s="2" t="s">
        <v>5</v>
      </c>
    </row>
    <row r="1692" spans="1:15" x14ac:dyDescent="0.2">
      <c r="A1692">
        <v>65</v>
      </c>
      <c r="B1692">
        <v>5</v>
      </c>
      <c r="C1692">
        <v>8</v>
      </c>
      <c r="D1692" s="2">
        <v>2</v>
      </c>
      <c r="E1692" s="2">
        <v>2</v>
      </c>
      <c r="F1692" s="2" t="s">
        <v>5</v>
      </c>
      <c r="G1692" s="2">
        <v>271.20000000024902</v>
      </c>
      <c r="H1692" s="2" t="s">
        <v>16</v>
      </c>
      <c r="I1692" s="2">
        <v>165955.999999994</v>
      </c>
      <c r="J1692" s="2">
        <v>3000</v>
      </c>
      <c r="K1692" s="2">
        <v>100</v>
      </c>
      <c r="L1692" s="2">
        <v>0</v>
      </c>
      <c r="M1692" s="2">
        <v>504987.61</v>
      </c>
      <c r="N1692">
        <f t="shared" si="32"/>
        <v>671214.80999999424</v>
      </c>
      <c r="O1692" s="2" t="s">
        <v>4</v>
      </c>
    </row>
    <row r="1693" spans="1:15" x14ac:dyDescent="0.2">
      <c r="A1693">
        <v>66</v>
      </c>
      <c r="B1693">
        <v>5</v>
      </c>
      <c r="C1693">
        <v>8</v>
      </c>
      <c r="D1693" s="2">
        <v>2</v>
      </c>
      <c r="E1693" s="2">
        <v>3</v>
      </c>
      <c r="F1693" s="2" t="s">
        <v>5</v>
      </c>
      <c r="G1693" s="2">
        <v>390.99999999976399</v>
      </c>
      <c r="H1693" s="2" t="s">
        <v>16</v>
      </c>
      <c r="I1693" s="2">
        <v>603557.99999999197</v>
      </c>
      <c r="J1693" s="2">
        <v>3000</v>
      </c>
      <c r="K1693" s="2">
        <v>100</v>
      </c>
      <c r="L1693" s="2">
        <v>0</v>
      </c>
      <c r="M1693" s="2">
        <v>519028.81</v>
      </c>
      <c r="N1693">
        <f t="shared" si="32"/>
        <v>1122977.8099999917</v>
      </c>
      <c r="O1693" s="2" t="s">
        <v>4</v>
      </c>
    </row>
    <row r="1694" spans="1:15" x14ac:dyDescent="0.2">
      <c r="A1694">
        <v>67</v>
      </c>
      <c r="B1694">
        <v>5</v>
      </c>
      <c r="C1694">
        <v>7</v>
      </c>
      <c r="D1694" s="2">
        <v>2</v>
      </c>
      <c r="E1694" s="2">
        <v>1</v>
      </c>
      <c r="F1694" s="2" t="s">
        <v>5</v>
      </c>
      <c r="G1694" s="2">
        <v>210.20000000007099</v>
      </c>
      <c r="H1694" s="2" t="s">
        <v>16</v>
      </c>
      <c r="I1694" s="2">
        <v>119817.999999981</v>
      </c>
      <c r="J1694" s="2">
        <v>3000</v>
      </c>
      <c r="K1694" s="2">
        <v>100</v>
      </c>
      <c r="L1694" s="2">
        <v>0</v>
      </c>
      <c r="M1694" s="2">
        <v>550347.61</v>
      </c>
      <c r="N1694">
        <f t="shared" si="32"/>
        <v>670375.80999998108</v>
      </c>
      <c r="O1694" s="2" t="s">
        <v>5</v>
      </c>
    </row>
    <row r="1695" spans="1:15" x14ac:dyDescent="0.2">
      <c r="A1695">
        <v>68</v>
      </c>
      <c r="B1695">
        <v>5</v>
      </c>
      <c r="C1695">
        <v>7</v>
      </c>
      <c r="D1695" s="2">
        <v>2</v>
      </c>
      <c r="E1695" s="2">
        <v>2</v>
      </c>
      <c r="F1695" s="2" t="s">
        <v>5</v>
      </c>
      <c r="G1695" s="2">
        <v>210.00000000022101</v>
      </c>
      <c r="H1695" s="2" t="s">
        <v>16</v>
      </c>
      <c r="I1695" s="2">
        <v>73575.000000005297</v>
      </c>
      <c r="J1695" s="2">
        <v>3000</v>
      </c>
      <c r="K1695" s="2">
        <v>100</v>
      </c>
      <c r="L1695" s="2">
        <v>0</v>
      </c>
      <c r="M1695" s="2">
        <v>508348.01</v>
      </c>
      <c r="N1695">
        <f t="shared" si="32"/>
        <v>582133.01000000548</v>
      </c>
      <c r="O1695" s="2" t="s">
        <v>5</v>
      </c>
    </row>
    <row r="1696" spans="1:15" x14ac:dyDescent="0.2">
      <c r="A1696">
        <v>69</v>
      </c>
      <c r="B1696">
        <v>5</v>
      </c>
      <c r="C1696">
        <v>7</v>
      </c>
      <c r="D1696" s="2">
        <v>2</v>
      </c>
      <c r="E1696" s="2">
        <v>3</v>
      </c>
      <c r="F1696" s="2" t="s">
        <v>5</v>
      </c>
      <c r="G1696" s="2">
        <v>292.59999999986502</v>
      </c>
      <c r="H1696" s="2" t="s">
        <v>16</v>
      </c>
      <c r="I1696" s="2">
        <v>260648.000000003</v>
      </c>
      <c r="J1696" s="2">
        <v>3000</v>
      </c>
      <c r="K1696" s="2">
        <v>100</v>
      </c>
      <c r="L1696" s="2">
        <v>0</v>
      </c>
      <c r="M1696" s="2">
        <v>496828.41</v>
      </c>
      <c r="N1696">
        <f t="shared" si="32"/>
        <v>757769.0100000028</v>
      </c>
      <c r="O1696" s="2" t="s">
        <v>4</v>
      </c>
    </row>
    <row r="1697" spans="1:15" x14ac:dyDescent="0.2">
      <c r="A1697">
        <v>28</v>
      </c>
      <c r="B1697">
        <v>5</v>
      </c>
      <c r="C1697">
        <v>4</v>
      </c>
      <c r="D1697" s="2">
        <v>2</v>
      </c>
      <c r="E1697" s="2">
        <v>1</v>
      </c>
      <c r="F1697" s="2" t="s">
        <v>5</v>
      </c>
      <c r="G1697" s="2">
        <v>541.19999999961999</v>
      </c>
      <c r="H1697" s="2" t="s">
        <v>16</v>
      </c>
      <c r="I1697" s="2">
        <v>40185.000000008098</v>
      </c>
      <c r="J1697" s="2">
        <v>3000</v>
      </c>
      <c r="K1697" s="2">
        <v>200</v>
      </c>
      <c r="L1697" s="2">
        <v>0</v>
      </c>
      <c r="M1697" s="2">
        <v>836548.41</v>
      </c>
      <c r="N1697">
        <f t="shared" ref="N1697:N1738" si="33">G1697+I1697+M1697</f>
        <v>877274.61000000779</v>
      </c>
      <c r="O1697" s="2" t="s">
        <v>5</v>
      </c>
    </row>
    <row r="1698" spans="1:15" x14ac:dyDescent="0.2">
      <c r="A1698">
        <v>29</v>
      </c>
      <c r="B1698">
        <v>5</v>
      </c>
      <c r="C1698">
        <v>5</v>
      </c>
      <c r="D1698" s="2">
        <v>2</v>
      </c>
      <c r="E1698" s="2">
        <v>2</v>
      </c>
      <c r="F1698" s="2" t="s">
        <v>5</v>
      </c>
      <c r="G1698" s="2">
        <v>547.39999999959798</v>
      </c>
      <c r="H1698" s="2" t="s">
        <v>16</v>
      </c>
      <c r="I1698" s="2">
        <v>34695.999999996697</v>
      </c>
      <c r="J1698" s="2">
        <v>3000</v>
      </c>
      <c r="K1698" s="2">
        <v>200</v>
      </c>
      <c r="L1698" s="2">
        <v>0</v>
      </c>
      <c r="M1698" s="2">
        <v>793106.81</v>
      </c>
      <c r="N1698">
        <f t="shared" si="33"/>
        <v>828350.20999999635</v>
      </c>
      <c r="O1698" s="2" t="s">
        <v>5</v>
      </c>
    </row>
    <row r="1699" spans="1:15" x14ac:dyDescent="0.2">
      <c r="A1699">
        <v>30</v>
      </c>
      <c r="B1699">
        <v>5</v>
      </c>
      <c r="C1699">
        <v>5</v>
      </c>
      <c r="D1699" s="2">
        <v>2</v>
      </c>
      <c r="E1699" s="2">
        <v>3</v>
      </c>
      <c r="F1699" s="2" t="s">
        <v>5</v>
      </c>
      <c r="G1699" s="2">
        <v>598.60000000000502</v>
      </c>
      <c r="H1699" s="2" t="s">
        <v>16</v>
      </c>
      <c r="I1699" s="2">
        <v>78614.999999984997</v>
      </c>
      <c r="J1699" s="2">
        <v>3000</v>
      </c>
      <c r="K1699" s="2">
        <v>200</v>
      </c>
      <c r="L1699" s="2">
        <v>0</v>
      </c>
      <c r="M1699" s="2">
        <v>805227.61</v>
      </c>
      <c r="N1699">
        <f t="shared" si="33"/>
        <v>884441.20999998495</v>
      </c>
      <c r="O1699" s="2" t="s">
        <v>5</v>
      </c>
    </row>
    <row r="1700" spans="1:15" x14ac:dyDescent="0.2">
      <c r="A1700">
        <v>31</v>
      </c>
      <c r="B1700">
        <v>5</v>
      </c>
      <c r="C1700">
        <v>5</v>
      </c>
      <c r="D1700" s="2">
        <v>2</v>
      </c>
      <c r="E1700" s="2">
        <v>1</v>
      </c>
      <c r="F1700" s="2" t="s">
        <v>5</v>
      </c>
      <c r="G1700" s="2">
        <v>351.19999999970702</v>
      </c>
      <c r="H1700" s="2" t="s">
        <v>16</v>
      </c>
      <c r="I1700" s="2">
        <v>51963.999999998101</v>
      </c>
      <c r="J1700" s="2">
        <v>3000</v>
      </c>
      <c r="K1700" s="2">
        <v>200</v>
      </c>
      <c r="L1700" s="2">
        <v>0</v>
      </c>
      <c r="M1700" s="2">
        <v>798867.21</v>
      </c>
      <c r="N1700">
        <f t="shared" si="33"/>
        <v>851182.40999999782</v>
      </c>
      <c r="O1700" s="2" t="s">
        <v>5</v>
      </c>
    </row>
    <row r="1701" spans="1:15" x14ac:dyDescent="0.2">
      <c r="A1701">
        <v>32</v>
      </c>
      <c r="B1701">
        <v>5</v>
      </c>
      <c r="C1701">
        <v>5</v>
      </c>
      <c r="D1701" s="2">
        <v>2</v>
      </c>
      <c r="E1701" s="2">
        <v>2</v>
      </c>
      <c r="F1701" s="2" t="s">
        <v>5</v>
      </c>
      <c r="G1701" s="2">
        <v>356.00000000002302</v>
      </c>
      <c r="H1701" s="2" t="s">
        <v>16</v>
      </c>
      <c r="I1701" s="2">
        <v>20672.999999987998</v>
      </c>
      <c r="J1701" s="2">
        <v>3000</v>
      </c>
      <c r="K1701" s="2">
        <v>200</v>
      </c>
      <c r="L1701" s="2">
        <v>0</v>
      </c>
      <c r="M1701" s="2">
        <v>791906.81</v>
      </c>
      <c r="N1701">
        <f t="shared" si="33"/>
        <v>812935.80999998807</v>
      </c>
      <c r="O1701" s="2" t="s">
        <v>5</v>
      </c>
    </row>
    <row r="1702" spans="1:15" x14ac:dyDescent="0.2">
      <c r="A1702">
        <v>33</v>
      </c>
      <c r="B1702">
        <v>5</v>
      </c>
      <c r="C1702">
        <v>5</v>
      </c>
      <c r="D1702" s="2">
        <v>2</v>
      </c>
      <c r="E1702" s="2">
        <v>3</v>
      </c>
      <c r="F1702" s="2" t="s">
        <v>5</v>
      </c>
      <c r="G1702" s="2">
        <v>485.39999999981399</v>
      </c>
      <c r="H1702" s="2" t="s">
        <v>16</v>
      </c>
      <c r="I1702" s="2">
        <v>60222.000000010201</v>
      </c>
      <c r="J1702" s="2">
        <v>3000</v>
      </c>
      <c r="K1702" s="2">
        <v>200</v>
      </c>
      <c r="L1702" s="2">
        <v>0</v>
      </c>
      <c r="M1702" s="2">
        <v>802827.21</v>
      </c>
      <c r="N1702">
        <f t="shared" si="33"/>
        <v>863534.61000001</v>
      </c>
      <c r="O1702" s="2" t="s">
        <v>5</v>
      </c>
    </row>
    <row r="1703" spans="1:15" x14ac:dyDescent="0.2">
      <c r="A1703">
        <v>34</v>
      </c>
      <c r="B1703">
        <v>5</v>
      </c>
      <c r="C1703">
        <v>5</v>
      </c>
      <c r="D1703" s="2">
        <v>2</v>
      </c>
      <c r="E1703" s="2">
        <v>1</v>
      </c>
      <c r="F1703" s="2" t="s">
        <v>5</v>
      </c>
      <c r="G1703" s="2">
        <v>307.60000000000798</v>
      </c>
      <c r="H1703" s="2" t="s">
        <v>16</v>
      </c>
      <c r="I1703" s="2">
        <v>19947.000000001899</v>
      </c>
      <c r="J1703" s="2">
        <v>3000</v>
      </c>
      <c r="K1703" s="2">
        <v>200</v>
      </c>
      <c r="L1703" s="2">
        <v>0</v>
      </c>
      <c r="M1703" s="2">
        <v>798267.21</v>
      </c>
      <c r="N1703">
        <f t="shared" si="33"/>
        <v>818521.81000000192</v>
      </c>
      <c r="O1703" s="2" t="s">
        <v>5</v>
      </c>
    </row>
    <row r="1704" spans="1:15" x14ac:dyDescent="0.2">
      <c r="A1704">
        <v>35</v>
      </c>
      <c r="B1704">
        <v>5</v>
      </c>
      <c r="C1704">
        <v>6</v>
      </c>
      <c r="D1704" s="2">
        <v>2</v>
      </c>
      <c r="E1704" s="2">
        <v>1</v>
      </c>
      <c r="F1704" s="2" t="s">
        <v>5</v>
      </c>
      <c r="G1704" s="2">
        <v>378.80000000036802</v>
      </c>
      <c r="H1704" s="2" t="s">
        <v>16</v>
      </c>
      <c r="I1704" s="2">
        <v>67833.000000007407</v>
      </c>
      <c r="J1704" s="2">
        <v>3000</v>
      </c>
      <c r="K1704" s="2">
        <v>200</v>
      </c>
      <c r="L1704" s="2">
        <v>0</v>
      </c>
      <c r="M1704" s="2">
        <v>886587.21</v>
      </c>
      <c r="N1704">
        <f t="shared" si="33"/>
        <v>954799.01000000769</v>
      </c>
      <c r="O1704" s="2" t="s">
        <v>5</v>
      </c>
    </row>
    <row r="1705" spans="1:15" x14ac:dyDescent="0.2">
      <c r="A1705">
        <v>36</v>
      </c>
      <c r="B1705">
        <v>5</v>
      </c>
      <c r="C1705">
        <v>6</v>
      </c>
      <c r="D1705" s="2">
        <v>2</v>
      </c>
      <c r="E1705" s="2">
        <v>2</v>
      </c>
      <c r="F1705" s="2" t="s">
        <v>5</v>
      </c>
      <c r="G1705" s="2">
        <v>225.399999999709</v>
      </c>
      <c r="H1705" s="2" t="s">
        <v>16</v>
      </c>
      <c r="I1705" s="2">
        <v>85232.000000019107</v>
      </c>
      <c r="J1705" s="2">
        <v>3000</v>
      </c>
      <c r="K1705" s="2">
        <v>200</v>
      </c>
      <c r="L1705" s="2">
        <v>0</v>
      </c>
      <c r="M1705" s="2">
        <v>841707.61</v>
      </c>
      <c r="N1705">
        <f t="shared" si="33"/>
        <v>927165.01000001875</v>
      </c>
      <c r="O1705" s="2" t="s">
        <v>4</v>
      </c>
    </row>
    <row r="1706" spans="1:15" x14ac:dyDescent="0.2">
      <c r="A1706">
        <v>37</v>
      </c>
      <c r="B1706">
        <v>5</v>
      </c>
      <c r="C1706">
        <v>6</v>
      </c>
      <c r="D1706" s="2">
        <v>2</v>
      </c>
      <c r="E1706" s="2">
        <v>3</v>
      </c>
      <c r="F1706" s="2" t="s">
        <v>5</v>
      </c>
      <c r="G1706" s="2">
        <v>317.40000000049002</v>
      </c>
      <c r="H1706" s="2" t="s">
        <v>16</v>
      </c>
      <c r="I1706" s="2">
        <v>429632.99999999598</v>
      </c>
      <c r="J1706" s="2">
        <v>3000</v>
      </c>
      <c r="K1706" s="2">
        <v>200</v>
      </c>
      <c r="L1706" s="2">
        <v>0</v>
      </c>
      <c r="M1706" s="2">
        <v>877467.21</v>
      </c>
      <c r="N1706">
        <f t="shared" si="33"/>
        <v>1307417.6099999964</v>
      </c>
      <c r="O1706" s="2" t="s">
        <v>4</v>
      </c>
    </row>
    <row r="1707" spans="1:15" x14ac:dyDescent="0.2">
      <c r="A1707">
        <v>38</v>
      </c>
      <c r="B1707">
        <v>5</v>
      </c>
      <c r="C1707">
        <v>6</v>
      </c>
      <c r="D1707" s="2">
        <v>2</v>
      </c>
      <c r="E1707" s="2">
        <v>1</v>
      </c>
      <c r="F1707" s="2" t="s">
        <v>5</v>
      </c>
      <c r="G1707" s="2">
        <v>206.39999999971801</v>
      </c>
      <c r="H1707" s="2" t="s">
        <v>16</v>
      </c>
      <c r="I1707" s="2">
        <v>58606.999999995001</v>
      </c>
      <c r="J1707" s="2">
        <v>3000</v>
      </c>
      <c r="K1707" s="2">
        <v>200</v>
      </c>
      <c r="L1707" s="2">
        <v>0</v>
      </c>
      <c r="M1707" s="2">
        <v>886946.81</v>
      </c>
      <c r="N1707">
        <f t="shared" si="33"/>
        <v>945760.20999999472</v>
      </c>
      <c r="O1707" s="2" t="s">
        <v>5</v>
      </c>
    </row>
    <row r="1708" spans="1:15" x14ac:dyDescent="0.2">
      <c r="A1708">
        <v>39</v>
      </c>
      <c r="B1708">
        <v>5</v>
      </c>
      <c r="C1708">
        <v>7</v>
      </c>
      <c r="D1708" s="2">
        <v>2</v>
      </c>
      <c r="E1708" s="2">
        <v>1</v>
      </c>
      <c r="F1708" s="2" t="s">
        <v>5</v>
      </c>
      <c r="G1708" s="2">
        <v>257.600000000124</v>
      </c>
      <c r="H1708" s="2" t="s">
        <v>16</v>
      </c>
      <c r="I1708" s="2">
        <v>172606.00000000201</v>
      </c>
      <c r="J1708" s="2">
        <v>3000</v>
      </c>
      <c r="K1708" s="2">
        <v>200</v>
      </c>
      <c r="L1708" s="2">
        <v>0</v>
      </c>
      <c r="M1708" s="2">
        <v>900027.61</v>
      </c>
      <c r="N1708">
        <f t="shared" si="33"/>
        <v>1072891.2100000021</v>
      </c>
      <c r="O1708" s="2" t="s">
        <v>5</v>
      </c>
    </row>
    <row r="1709" spans="1:15" x14ac:dyDescent="0.2">
      <c r="A1709">
        <v>40</v>
      </c>
      <c r="B1709">
        <v>5</v>
      </c>
      <c r="C1709">
        <v>7</v>
      </c>
      <c r="D1709" s="2">
        <v>2</v>
      </c>
      <c r="E1709" s="2">
        <v>2</v>
      </c>
      <c r="F1709" s="2" t="s">
        <v>5</v>
      </c>
      <c r="G1709" s="2">
        <v>242.59999999962599</v>
      </c>
      <c r="H1709" s="2" t="s">
        <v>16</v>
      </c>
      <c r="I1709" s="2">
        <v>100393.999999994</v>
      </c>
      <c r="J1709" s="2">
        <v>3000</v>
      </c>
      <c r="K1709" s="2">
        <v>200</v>
      </c>
      <c r="L1709" s="2">
        <v>0</v>
      </c>
      <c r="M1709" s="2">
        <v>849748.01</v>
      </c>
      <c r="N1709">
        <f t="shared" si="33"/>
        <v>950384.60999999358</v>
      </c>
      <c r="O1709" s="2" t="s">
        <v>4</v>
      </c>
    </row>
    <row r="1710" spans="1:15" x14ac:dyDescent="0.2">
      <c r="A1710">
        <v>41</v>
      </c>
      <c r="B1710">
        <v>5</v>
      </c>
      <c r="C1710">
        <v>7</v>
      </c>
      <c r="D1710" s="2">
        <v>2</v>
      </c>
      <c r="E1710" s="2">
        <v>3</v>
      </c>
      <c r="F1710" s="2" t="s">
        <v>5</v>
      </c>
      <c r="G1710" s="2">
        <v>354.20000000030399</v>
      </c>
      <c r="H1710" s="2" t="s">
        <v>16</v>
      </c>
      <c r="I1710" s="2">
        <v>409392.00000002497</v>
      </c>
      <c r="J1710" s="2">
        <v>3000</v>
      </c>
      <c r="K1710" s="2">
        <v>200</v>
      </c>
      <c r="L1710" s="2">
        <v>0</v>
      </c>
      <c r="M1710" s="2">
        <v>877708.81</v>
      </c>
      <c r="N1710">
        <f t="shared" si="33"/>
        <v>1287455.0100000254</v>
      </c>
      <c r="O1710" s="2" t="s">
        <v>4</v>
      </c>
    </row>
    <row r="1711" spans="1:15" x14ac:dyDescent="0.2">
      <c r="A1711">
        <v>42</v>
      </c>
      <c r="B1711">
        <v>5</v>
      </c>
      <c r="C1711">
        <v>4</v>
      </c>
      <c r="D1711" s="2">
        <v>2</v>
      </c>
      <c r="E1711" s="2">
        <v>1</v>
      </c>
      <c r="F1711" s="2" t="s">
        <v>5</v>
      </c>
      <c r="G1711" s="2">
        <v>129.800000000202</v>
      </c>
      <c r="H1711" s="2" t="s">
        <v>16</v>
      </c>
      <c r="I1711" s="2">
        <v>11878.999999993301</v>
      </c>
      <c r="J1711" s="2">
        <v>3000</v>
      </c>
      <c r="K1711" s="2">
        <v>200</v>
      </c>
      <c r="L1711" s="2">
        <v>0</v>
      </c>
      <c r="M1711" s="2">
        <v>795747.21</v>
      </c>
      <c r="N1711">
        <f t="shared" si="33"/>
        <v>807756.00999999349</v>
      </c>
      <c r="O1711" s="2" t="s">
        <v>5</v>
      </c>
    </row>
    <row r="1712" spans="1:15" x14ac:dyDescent="0.2">
      <c r="A1712">
        <v>43</v>
      </c>
      <c r="B1712">
        <v>5</v>
      </c>
      <c r="C1712">
        <v>5</v>
      </c>
      <c r="D1712" s="2">
        <v>2</v>
      </c>
      <c r="E1712" s="2">
        <v>1</v>
      </c>
      <c r="F1712" s="2" t="s">
        <v>5</v>
      </c>
      <c r="G1712" s="2">
        <v>157.00000000009601</v>
      </c>
      <c r="H1712" s="2" t="s">
        <v>16</v>
      </c>
      <c r="I1712" s="2">
        <v>17081.999999987798</v>
      </c>
      <c r="J1712" s="2">
        <v>3000</v>
      </c>
      <c r="K1712" s="2">
        <v>200</v>
      </c>
      <c r="L1712" s="2">
        <v>0</v>
      </c>
      <c r="M1712" s="2">
        <v>802827.21</v>
      </c>
      <c r="N1712">
        <f t="shared" si="33"/>
        <v>820066.20999998786</v>
      </c>
      <c r="O1712" s="2" t="s">
        <v>5</v>
      </c>
    </row>
    <row r="1713" spans="1:15" x14ac:dyDescent="0.2">
      <c r="A1713">
        <v>44</v>
      </c>
      <c r="B1713">
        <v>5</v>
      </c>
      <c r="C1713">
        <v>5</v>
      </c>
      <c r="D1713" s="2">
        <v>2</v>
      </c>
      <c r="E1713" s="2">
        <v>2</v>
      </c>
      <c r="F1713" s="2" t="s">
        <v>5</v>
      </c>
      <c r="G1713" s="2">
        <v>156.599999999685</v>
      </c>
      <c r="H1713" s="2" t="s">
        <v>16</v>
      </c>
      <c r="I1713" s="2">
        <v>24732.0000000002</v>
      </c>
      <c r="J1713" s="2">
        <v>3000</v>
      </c>
      <c r="K1713" s="2">
        <v>200</v>
      </c>
      <c r="L1713" s="2">
        <v>0</v>
      </c>
      <c r="M1713" s="2">
        <v>801147.61</v>
      </c>
      <c r="N1713">
        <f t="shared" si="33"/>
        <v>826036.20999999985</v>
      </c>
      <c r="O1713" s="2" t="s">
        <v>5</v>
      </c>
    </row>
    <row r="1714" spans="1:15" x14ac:dyDescent="0.2">
      <c r="A1714">
        <v>45</v>
      </c>
      <c r="B1714">
        <v>5</v>
      </c>
      <c r="C1714">
        <v>5</v>
      </c>
      <c r="D1714" s="2">
        <v>2</v>
      </c>
      <c r="E1714" s="2">
        <v>3</v>
      </c>
      <c r="F1714" s="2" t="s">
        <v>5</v>
      </c>
      <c r="G1714" s="2">
        <v>211.00000000018301</v>
      </c>
      <c r="H1714" s="2" t="s">
        <v>16</v>
      </c>
      <c r="I1714" s="2">
        <v>56737.9999999957</v>
      </c>
      <c r="J1714" s="2">
        <v>3000</v>
      </c>
      <c r="K1714" s="2">
        <v>200</v>
      </c>
      <c r="L1714" s="2">
        <v>0</v>
      </c>
      <c r="M1714" s="2">
        <v>793827.61</v>
      </c>
      <c r="N1714">
        <f t="shared" si="33"/>
        <v>850776.60999999591</v>
      </c>
      <c r="O1714" s="2" t="s">
        <v>5</v>
      </c>
    </row>
    <row r="1715" spans="1:15" x14ac:dyDescent="0.2">
      <c r="A1715">
        <v>46</v>
      </c>
      <c r="B1715">
        <v>5</v>
      </c>
      <c r="C1715">
        <v>6</v>
      </c>
      <c r="D1715" s="2">
        <v>2</v>
      </c>
      <c r="E1715" s="2">
        <v>1</v>
      </c>
      <c r="F1715" s="2" t="s">
        <v>5</v>
      </c>
      <c r="G1715" s="2">
        <v>189.400000000006</v>
      </c>
      <c r="H1715" s="2" t="s">
        <v>16</v>
      </c>
      <c r="I1715" s="2">
        <v>68061.000000000204</v>
      </c>
      <c r="J1715" s="2">
        <v>3000</v>
      </c>
      <c r="K1715" s="2">
        <v>200</v>
      </c>
      <c r="L1715" s="2">
        <v>0</v>
      </c>
      <c r="M1715" s="2">
        <v>800068.81</v>
      </c>
      <c r="N1715">
        <f t="shared" si="33"/>
        <v>868319.21000000031</v>
      </c>
      <c r="O1715" s="2" t="s">
        <v>5</v>
      </c>
    </row>
    <row r="1716" spans="1:15" x14ac:dyDescent="0.2">
      <c r="A1716">
        <v>47</v>
      </c>
      <c r="B1716">
        <v>5</v>
      </c>
      <c r="C1716">
        <v>6</v>
      </c>
      <c r="D1716" s="2">
        <v>2</v>
      </c>
      <c r="E1716" s="2">
        <v>2</v>
      </c>
      <c r="F1716" s="2" t="s">
        <v>5</v>
      </c>
      <c r="G1716" s="2">
        <v>193.80000000026601</v>
      </c>
      <c r="H1716" s="2" t="s">
        <v>16</v>
      </c>
      <c r="I1716" s="2">
        <v>55103.000000002598</v>
      </c>
      <c r="J1716" s="2">
        <v>3000</v>
      </c>
      <c r="K1716" s="2">
        <v>200</v>
      </c>
      <c r="L1716" s="2">
        <v>0</v>
      </c>
      <c r="M1716" s="2">
        <v>802347.21</v>
      </c>
      <c r="N1716">
        <f t="shared" si="33"/>
        <v>857644.0100000028</v>
      </c>
      <c r="O1716" s="2" t="s">
        <v>5</v>
      </c>
    </row>
    <row r="1717" spans="1:15" x14ac:dyDescent="0.2">
      <c r="A1717">
        <v>48</v>
      </c>
      <c r="B1717">
        <v>5</v>
      </c>
      <c r="C1717">
        <v>6</v>
      </c>
      <c r="D1717" s="2">
        <v>2</v>
      </c>
      <c r="E1717" s="2">
        <v>3</v>
      </c>
      <c r="F1717" s="2" t="s">
        <v>5</v>
      </c>
      <c r="G1717" s="2">
        <v>249.79999999992199</v>
      </c>
      <c r="H1717" s="2" t="s">
        <v>16</v>
      </c>
      <c r="I1717" s="2">
        <v>121555.000000001</v>
      </c>
      <c r="J1717" s="2">
        <v>3000</v>
      </c>
      <c r="K1717" s="2">
        <v>200</v>
      </c>
      <c r="L1717" s="2">
        <v>0</v>
      </c>
      <c r="M1717" s="2">
        <v>890067.21</v>
      </c>
      <c r="N1717">
        <f t="shared" si="33"/>
        <v>1011872.0100000009</v>
      </c>
      <c r="O1717" s="2" t="s">
        <v>4</v>
      </c>
    </row>
    <row r="1718" spans="1:15" x14ac:dyDescent="0.2">
      <c r="A1718">
        <v>49</v>
      </c>
      <c r="B1718">
        <v>5</v>
      </c>
      <c r="C1718">
        <v>6</v>
      </c>
      <c r="D1718" s="2">
        <v>2</v>
      </c>
      <c r="E1718" s="2">
        <v>1</v>
      </c>
      <c r="F1718" s="2" t="s">
        <v>5</v>
      </c>
      <c r="G1718" s="2">
        <v>183.19999999931699</v>
      </c>
      <c r="H1718" s="2" t="s">
        <v>16</v>
      </c>
      <c r="I1718" s="2">
        <v>41121.000000004002</v>
      </c>
      <c r="J1718" s="2">
        <v>3000</v>
      </c>
      <c r="K1718" s="2">
        <v>200</v>
      </c>
      <c r="L1718" s="2">
        <v>0</v>
      </c>
      <c r="M1718" s="2">
        <v>789748.01</v>
      </c>
      <c r="N1718">
        <f t="shared" si="33"/>
        <v>831052.21000000334</v>
      </c>
      <c r="O1718" s="2" t="s">
        <v>5</v>
      </c>
    </row>
    <row r="1719" spans="1:15" x14ac:dyDescent="0.2">
      <c r="A1719">
        <v>50</v>
      </c>
      <c r="B1719">
        <v>5</v>
      </c>
      <c r="C1719">
        <v>6</v>
      </c>
      <c r="D1719" s="2">
        <v>2</v>
      </c>
      <c r="E1719" s="2">
        <v>2</v>
      </c>
      <c r="F1719" s="2" t="s">
        <v>5</v>
      </c>
      <c r="G1719" s="2">
        <v>190.800000000024</v>
      </c>
      <c r="H1719" s="2" t="s">
        <v>16</v>
      </c>
      <c r="I1719" s="2">
        <v>50727.999999992302</v>
      </c>
      <c r="J1719" s="2">
        <v>3000</v>
      </c>
      <c r="K1719" s="2">
        <v>200</v>
      </c>
      <c r="L1719" s="2">
        <v>0</v>
      </c>
      <c r="M1719" s="2">
        <v>836787.61</v>
      </c>
      <c r="N1719">
        <f t="shared" si="33"/>
        <v>887706.40999999235</v>
      </c>
      <c r="O1719" s="2" t="s">
        <v>5</v>
      </c>
    </row>
    <row r="1720" spans="1:15" x14ac:dyDescent="0.2">
      <c r="A1720">
        <v>51</v>
      </c>
      <c r="B1720">
        <v>5</v>
      </c>
      <c r="C1720">
        <v>6</v>
      </c>
      <c r="D1720" s="2">
        <v>2</v>
      </c>
      <c r="E1720" s="2">
        <v>3</v>
      </c>
      <c r="F1720" s="2" t="s">
        <v>5</v>
      </c>
      <c r="G1720" s="2">
        <v>252.19999999990301</v>
      </c>
      <c r="H1720" s="2" t="s">
        <v>16</v>
      </c>
      <c r="I1720" s="2">
        <v>139174.99999999499</v>
      </c>
      <c r="J1720" s="2">
        <v>3000</v>
      </c>
      <c r="K1720" s="2">
        <v>200</v>
      </c>
      <c r="L1720" s="2">
        <v>0</v>
      </c>
      <c r="M1720" s="2">
        <v>840747.61</v>
      </c>
      <c r="N1720">
        <f t="shared" si="33"/>
        <v>980174.80999999493</v>
      </c>
      <c r="O1720" s="2" t="s">
        <v>4</v>
      </c>
    </row>
    <row r="1721" spans="1:15" x14ac:dyDescent="0.2">
      <c r="A1721">
        <v>52</v>
      </c>
      <c r="B1721">
        <v>5</v>
      </c>
      <c r="C1721">
        <v>7</v>
      </c>
      <c r="D1721" s="2">
        <v>2</v>
      </c>
      <c r="E1721" s="2">
        <v>1</v>
      </c>
      <c r="F1721" s="2" t="s">
        <v>5</v>
      </c>
      <c r="G1721" s="2">
        <v>219.40000000029201</v>
      </c>
      <c r="H1721" s="2" t="s">
        <v>16</v>
      </c>
      <c r="I1721" s="2">
        <v>49910.000000011198</v>
      </c>
      <c r="J1721" s="2">
        <v>3000</v>
      </c>
      <c r="K1721" s="2">
        <v>200</v>
      </c>
      <c r="L1721" s="2">
        <v>0</v>
      </c>
      <c r="M1721" s="2">
        <v>793828.81</v>
      </c>
      <c r="N1721">
        <f t="shared" si="33"/>
        <v>843958.2100000116</v>
      </c>
      <c r="O1721" s="2" t="s">
        <v>5</v>
      </c>
    </row>
    <row r="1722" spans="1:15" x14ac:dyDescent="0.2">
      <c r="A1722">
        <v>53</v>
      </c>
      <c r="B1722">
        <v>5</v>
      </c>
      <c r="C1722">
        <v>7</v>
      </c>
      <c r="D1722" s="2">
        <v>2</v>
      </c>
      <c r="E1722" s="2">
        <v>2</v>
      </c>
      <c r="F1722" s="2" t="s">
        <v>5</v>
      </c>
      <c r="G1722" s="2">
        <v>218.80000000038501</v>
      </c>
      <c r="H1722" s="2" t="s">
        <v>16</v>
      </c>
      <c r="I1722" s="2">
        <v>113836.99999999</v>
      </c>
      <c r="J1722" s="2">
        <v>3000</v>
      </c>
      <c r="K1722" s="2">
        <v>200</v>
      </c>
      <c r="L1722" s="2">
        <v>0</v>
      </c>
      <c r="M1722" s="2">
        <v>845787.21</v>
      </c>
      <c r="N1722">
        <f t="shared" si="33"/>
        <v>959843.00999999035</v>
      </c>
      <c r="O1722" s="2" t="s">
        <v>4</v>
      </c>
    </row>
    <row r="1723" spans="1:15" x14ac:dyDescent="0.2">
      <c r="A1723">
        <v>54</v>
      </c>
      <c r="B1723">
        <v>5</v>
      </c>
      <c r="C1723">
        <v>7</v>
      </c>
      <c r="D1723" s="2">
        <v>2</v>
      </c>
      <c r="E1723" s="2">
        <v>3</v>
      </c>
      <c r="F1723" s="2" t="s">
        <v>5</v>
      </c>
      <c r="G1723" s="2">
        <v>306.40000000019501</v>
      </c>
      <c r="H1723" s="2" t="s">
        <v>16</v>
      </c>
      <c r="I1723" s="2">
        <v>434876.00000000303</v>
      </c>
      <c r="J1723" s="2">
        <v>3000</v>
      </c>
      <c r="K1723" s="2">
        <v>200</v>
      </c>
      <c r="L1723" s="2">
        <v>0</v>
      </c>
      <c r="M1723" s="2">
        <v>900989.61</v>
      </c>
      <c r="N1723">
        <f t="shared" si="33"/>
        <v>1336172.0100000033</v>
      </c>
      <c r="O1723" s="2" t="s">
        <v>4</v>
      </c>
    </row>
    <row r="1724" spans="1:15" x14ac:dyDescent="0.2">
      <c r="A1724">
        <v>55</v>
      </c>
      <c r="B1724">
        <v>5</v>
      </c>
      <c r="C1724">
        <v>5</v>
      </c>
      <c r="D1724" s="2">
        <v>2</v>
      </c>
      <c r="E1724" s="2">
        <v>1</v>
      </c>
      <c r="F1724" s="2" t="s">
        <v>5</v>
      </c>
      <c r="G1724" s="2">
        <v>140.60000000064599</v>
      </c>
      <c r="H1724" s="2" t="s">
        <v>16</v>
      </c>
      <c r="I1724" s="2">
        <v>27028.000000001401</v>
      </c>
      <c r="J1724" s="2">
        <v>3000</v>
      </c>
      <c r="K1724" s="2">
        <v>200</v>
      </c>
      <c r="L1724" s="2">
        <v>0</v>
      </c>
      <c r="M1724" s="2">
        <v>796947.61</v>
      </c>
      <c r="N1724">
        <f t="shared" si="33"/>
        <v>824116.21000000206</v>
      </c>
      <c r="O1724" s="2" t="s">
        <v>5</v>
      </c>
    </row>
    <row r="1725" spans="1:15" x14ac:dyDescent="0.2">
      <c r="A1725">
        <v>56</v>
      </c>
      <c r="B1725">
        <v>5</v>
      </c>
      <c r="C1725">
        <v>5</v>
      </c>
      <c r="D1725" s="2">
        <v>2</v>
      </c>
      <c r="E1725" s="2">
        <v>2</v>
      </c>
      <c r="F1725" s="2" t="s">
        <v>5</v>
      </c>
      <c r="G1725" s="2">
        <v>137.60000000004899</v>
      </c>
      <c r="H1725" s="2" t="s">
        <v>16</v>
      </c>
      <c r="I1725" s="2">
        <v>25397.999999995602</v>
      </c>
      <c r="J1725" s="2">
        <v>3000</v>
      </c>
      <c r="K1725" s="2">
        <v>200</v>
      </c>
      <c r="L1725" s="2">
        <v>0</v>
      </c>
      <c r="M1725" s="2">
        <v>801027.61</v>
      </c>
      <c r="N1725">
        <f t="shared" si="33"/>
        <v>826563.20999999566</v>
      </c>
      <c r="O1725" s="2" t="s">
        <v>5</v>
      </c>
    </row>
    <row r="1726" spans="1:15" x14ac:dyDescent="0.2">
      <c r="A1726">
        <v>57</v>
      </c>
      <c r="B1726">
        <v>5</v>
      </c>
      <c r="C1726">
        <v>5</v>
      </c>
      <c r="D1726" s="2">
        <v>2</v>
      </c>
      <c r="E1726" s="2">
        <v>3</v>
      </c>
      <c r="F1726" s="2" t="s">
        <v>5</v>
      </c>
      <c r="G1726" s="2">
        <v>183.39999999987799</v>
      </c>
      <c r="H1726" s="2" t="s">
        <v>16</v>
      </c>
      <c r="I1726" s="2">
        <v>44558.000000023399</v>
      </c>
      <c r="J1726" s="2">
        <v>3000</v>
      </c>
      <c r="K1726" s="2">
        <v>200</v>
      </c>
      <c r="L1726" s="2">
        <v>0</v>
      </c>
      <c r="M1726" s="2">
        <v>790948.41</v>
      </c>
      <c r="N1726">
        <f t="shared" si="33"/>
        <v>835689.81000002334</v>
      </c>
      <c r="O1726" s="2" t="s">
        <v>5</v>
      </c>
    </row>
    <row r="1727" spans="1:15" x14ac:dyDescent="0.2">
      <c r="A1727">
        <v>58</v>
      </c>
      <c r="B1727">
        <v>5</v>
      </c>
      <c r="C1727">
        <v>6</v>
      </c>
      <c r="D1727" s="2">
        <v>2</v>
      </c>
      <c r="E1727" s="2">
        <v>1</v>
      </c>
      <c r="F1727" s="2" t="s">
        <v>5</v>
      </c>
      <c r="G1727" s="2">
        <v>215.599999999228</v>
      </c>
      <c r="H1727" s="2" t="s">
        <v>16</v>
      </c>
      <c r="I1727" s="2">
        <v>56205.000000005602</v>
      </c>
      <c r="J1727" s="2">
        <v>3000</v>
      </c>
      <c r="K1727" s="2">
        <v>200</v>
      </c>
      <c r="L1727" s="2">
        <v>0</v>
      </c>
      <c r="M1727" s="2">
        <v>804630.81</v>
      </c>
      <c r="N1727">
        <f t="shared" si="33"/>
        <v>861051.41000000492</v>
      </c>
      <c r="O1727" s="2" t="s">
        <v>5</v>
      </c>
    </row>
    <row r="1728" spans="1:15" x14ac:dyDescent="0.2">
      <c r="A1728">
        <v>59</v>
      </c>
      <c r="B1728">
        <v>5</v>
      </c>
      <c r="C1728">
        <v>6</v>
      </c>
      <c r="D1728" s="2">
        <v>2</v>
      </c>
      <c r="E1728" s="2">
        <v>2</v>
      </c>
      <c r="F1728" s="2" t="s">
        <v>5</v>
      </c>
      <c r="G1728" s="2">
        <v>212.39999999984599</v>
      </c>
      <c r="H1728" s="2" t="s">
        <v>16</v>
      </c>
      <c r="I1728" s="2">
        <v>45035.000000012798</v>
      </c>
      <c r="J1728" s="2">
        <v>3000</v>
      </c>
      <c r="K1728" s="2">
        <v>200</v>
      </c>
      <c r="L1728" s="2">
        <v>0</v>
      </c>
      <c r="M1728" s="2">
        <v>799707.61</v>
      </c>
      <c r="N1728">
        <f t="shared" si="33"/>
        <v>844955.01000001258</v>
      </c>
      <c r="O1728" s="2" t="s">
        <v>5</v>
      </c>
    </row>
    <row r="1729" spans="1:15" x14ac:dyDescent="0.2">
      <c r="A1729">
        <v>60</v>
      </c>
      <c r="B1729">
        <v>5</v>
      </c>
      <c r="C1729">
        <v>6</v>
      </c>
      <c r="D1729" s="2">
        <v>2</v>
      </c>
      <c r="E1729" s="2">
        <v>3</v>
      </c>
      <c r="F1729" s="2" t="s">
        <v>5</v>
      </c>
      <c r="G1729" s="2">
        <v>288.40000000016602</v>
      </c>
      <c r="H1729" s="2" t="s">
        <v>16</v>
      </c>
      <c r="I1729" s="2">
        <v>150798.00000000899</v>
      </c>
      <c r="J1729" s="2">
        <v>3000</v>
      </c>
      <c r="K1729" s="2">
        <v>200</v>
      </c>
      <c r="L1729" s="2">
        <v>0</v>
      </c>
      <c r="M1729" s="2">
        <v>805109.21</v>
      </c>
      <c r="N1729">
        <f t="shared" si="33"/>
        <v>956195.61000000918</v>
      </c>
      <c r="O1729" s="2" t="s">
        <v>5</v>
      </c>
    </row>
    <row r="1730" spans="1:15" x14ac:dyDescent="0.2">
      <c r="A1730">
        <v>61</v>
      </c>
      <c r="B1730">
        <v>5</v>
      </c>
      <c r="C1730">
        <v>7</v>
      </c>
      <c r="D1730" s="2">
        <v>2</v>
      </c>
      <c r="E1730" s="2">
        <v>1</v>
      </c>
      <c r="F1730" s="2" t="s">
        <v>5</v>
      </c>
      <c r="G1730" s="2">
        <v>230.60000000043601</v>
      </c>
      <c r="H1730" s="2" t="s">
        <v>16</v>
      </c>
      <c r="I1730" s="2">
        <v>105615.99999999801</v>
      </c>
      <c r="J1730" s="2">
        <v>3000</v>
      </c>
      <c r="K1730" s="2">
        <v>200</v>
      </c>
      <c r="L1730" s="2">
        <v>0</v>
      </c>
      <c r="M1730" s="2">
        <v>864028.81</v>
      </c>
      <c r="N1730">
        <f t="shared" si="33"/>
        <v>969875.40999999852</v>
      </c>
      <c r="O1730" s="2" t="s">
        <v>5</v>
      </c>
    </row>
    <row r="1731" spans="1:15" x14ac:dyDescent="0.2">
      <c r="A1731">
        <v>62</v>
      </c>
      <c r="B1731">
        <v>5</v>
      </c>
      <c r="C1731">
        <v>7</v>
      </c>
      <c r="D1731" s="2">
        <v>2</v>
      </c>
      <c r="E1731" s="2">
        <v>2</v>
      </c>
      <c r="F1731" s="2" t="s">
        <v>5</v>
      </c>
      <c r="G1731" s="2">
        <v>233.80000000017299</v>
      </c>
      <c r="H1731" s="2" t="s">
        <v>16</v>
      </c>
      <c r="I1731" s="2">
        <v>102223.999999978</v>
      </c>
      <c r="J1731" s="2">
        <v>3000</v>
      </c>
      <c r="K1731" s="2">
        <v>200</v>
      </c>
      <c r="L1731" s="2">
        <v>0</v>
      </c>
      <c r="M1731" s="2">
        <v>794667.21</v>
      </c>
      <c r="N1731">
        <f t="shared" si="33"/>
        <v>897125.00999997812</v>
      </c>
      <c r="O1731" s="2" t="s">
        <v>5</v>
      </c>
    </row>
    <row r="1732" spans="1:15" x14ac:dyDescent="0.2">
      <c r="A1732">
        <v>63</v>
      </c>
      <c r="B1732">
        <v>5</v>
      </c>
      <c r="C1732">
        <v>7</v>
      </c>
      <c r="D1732" s="2">
        <v>2</v>
      </c>
      <c r="E1732" s="2">
        <v>3</v>
      </c>
      <c r="F1732" s="2" t="s">
        <v>5</v>
      </c>
      <c r="G1732" s="2">
        <v>359.799999999666</v>
      </c>
      <c r="H1732" s="2" t="s">
        <v>16</v>
      </c>
      <c r="I1732" s="2">
        <v>241534.99999999901</v>
      </c>
      <c r="J1732" s="2">
        <v>3000</v>
      </c>
      <c r="K1732" s="2">
        <v>200</v>
      </c>
      <c r="L1732" s="2">
        <v>0</v>
      </c>
      <c r="M1732" s="2">
        <v>811828.01</v>
      </c>
      <c r="N1732">
        <f t="shared" si="33"/>
        <v>1053722.8099999987</v>
      </c>
      <c r="O1732" s="2" t="s">
        <v>4</v>
      </c>
    </row>
    <row r="1733" spans="1:15" x14ac:dyDescent="0.2">
      <c r="A1733">
        <v>64</v>
      </c>
      <c r="B1733">
        <v>5</v>
      </c>
      <c r="C1733">
        <v>8</v>
      </c>
      <c r="D1733" s="2">
        <v>2</v>
      </c>
      <c r="E1733" s="2">
        <v>1</v>
      </c>
      <c r="F1733" s="2" t="s">
        <v>5</v>
      </c>
      <c r="G1733" s="2">
        <v>274.00000000028501</v>
      </c>
      <c r="H1733" s="2" t="s">
        <v>16</v>
      </c>
      <c r="I1733" s="2">
        <v>128890.00000001299</v>
      </c>
      <c r="J1733" s="2">
        <v>3000</v>
      </c>
      <c r="K1733" s="2">
        <v>200</v>
      </c>
      <c r="L1733" s="2">
        <v>0</v>
      </c>
      <c r="M1733" s="2">
        <v>815910.01</v>
      </c>
      <c r="N1733">
        <f t="shared" si="33"/>
        <v>945074.01000001328</v>
      </c>
      <c r="O1733" s="2" t="s">
        <v>5</v>
      </c>
    </row>
    <row r="1734" spans="1:15" x14ac:dyDescent="0.2">
      <c r="A1734">
        <v>65</v>
      </c>
      <c r="B1734">
        <v>5</v>
      </c>
      <c r="C1734">
        <v>8</v>
      </c>
      <c r="D1734" s="2">
        <v>2</v>
      </c>
      <c r="E1734" s="2">
        <v>2</v>
      </c>
      <c r="F1734" s="2" t="s">
        <v>5</v>
      </c>
      <c r="G1734" s="2">
        <v>271.20000000024902</v>
      </c>
      <c r="H1734" s="2" t="s">
        <v>16</v>
      </c>
      <c r="I1734" s="2">
        <v>165955.999999994</v>
      </c>
      <c r="J1734" s="2">
        <v>3000</v>
      </c>
      <c r="K1734" s="2">
        <v>200</v>
      </c>
      <c r="L1734" s="2">
        <v>0</v>
      </c>
      <c r="M1734" s="2">
        <v>804987.61</v>
      </c>
      <c r="N1734">
        <f t="shared" si="33"/>
        <v>971214.80999999424</v>
      </c>
      <c r="O1734" s="2" t="s">
        <v>4</v>
      </c>
    </row>
    <row r="1735" spans="1:15" x14ac:dyDescent="0.2">
      <c r="A1735">
        <v>66</v>
      </c>
      <c r="B1735">
        <v>5</v>
      </c>
      <c r="C1735">
        <v>8</v>
      </c>
      <c r="D1735" s="2">
        <v>2</v>
      </c>
      <c r="E1735" s="2">
        <v>3</v>
      </c>
      <c r="F1735" s="2" t="s">
        <v>5</v>
      </c>
      <c r="G1735" s="2">
        <v>390.99999999976399</v>
      </c>
      <c r="H1735" s="2" t="s">
        <v>16</v>
      </c>
      <c r="I1735" s="2">
        <v>603557.99999999197</v>
      </c>
      <c r="J1735" s="2">
        <v>3000</v>
      </c>
      <c r="K1735" s="2">
        <v>200</v>
      </c>
      <c r="L1735" s="2">
        <v>0</v>
      </c>
      <c r="M1735" s="2">
        <v>819028.81</v>
      </c>
      <c r="N1735">
        <f t="shared" si="33"/>
        <v>1422977.8099999917</v>
      </c>
      <c r="O1735" s="2" t="s">
        <v>4</v>
      </c>
    </row>
    <row r="1736" spans="1:15" x14ac:dyDescent="0.2">
      <c r="A1736">
        <v>67</v>
      </c>
      <c r="B1736">
        <v>5</v>
      </c>
      <c r="C1736">
        <v>7</v>
      </c>
      <c r="D1736" s="2">
        <v>2</v>
      </c>
      <c r="E1736" s="2">
        <v>1</v>
      </c>
      <c r="F1736" s="2" t="s">
        <v>5</v>
      </c>
      <c r="G1736" s="2">
        <v>210.20000000007099</v>
      </c>
      <c r="H1736" s="2" t="s">
        <v>16</v>
      </c>
      <c r="I1736" s="2">
        <v>119817.999999981</v>
      </c>
      <c r="J1736" s="2">
        <v>3000</v>
      </c>
      <c r="K1736" s="2">
        <v>200</v>
      </c>
      <c r="L1736" s="2">
        <v>0</v>
      </c>
      <c r="M1736" s="2">
        <v>850347.61</v>
      </c>
      <c r="N1736">
        <f t="shared" si="33"/>
        <v>970375.80999998108</v>
      </c>
      <c r="O1736" s="2" t="s">
        <v>5</v>
      </c>
    </row>
    <row r="1737" spans="1:15" x14ac:dyDescent="0.2">
      <c r="A1737">
        <v>68</v>
      </c>
      <c r="B1737">
        <v>5</v>
      </c>
      <c r="C1737">
        <v>7</v>
      </c>
      <c r="D1737" s="2">
        <v>2</v>
      </c>
      <c r="E1737" s="2">
        <v>2</v>
      </c>
      <c r="F1737" s="2" t="s">
        <v>5</v>
      </c>
      <c r="G1737" s="2">
        <v>210.00000000022101</v>
      </c>
      <c r="H1737" s="2" t="s">
        <v>16</v>
      </c>
      <c r="I1737" s="2">
        <v>73575.000000005297</v>
      </c>
      <c r="J1737" s="2">
        <v>3000</v>
      </c>
      <c r="K1737" s="2">
        <v>200</v>
      </c>
      <c r="L1737" s="2">
        <v>0</v>
      </c>
      <c r="M1737" s="2">
        <v>808348.01</v>
      </c>
      <c r="N1737">
        <f t="shared" si="33"/>
        <v>882133.01000000548</v>
      </c>
      <c r="O1737" s="2" t="s">
        <v>5</v>
      </c>
    </row>
    <row r="1738" spans="1:15" x14ac:dyDescent="0.2">
      <c r="A1738">
        <v>69</v>
      </c>
      <c r="B1738">
        <v>5</v>
      </c>
      <c r="C1738">
        <v>7</v>
      </c>
      <c r="D1738" s="2">
        <v>2</v>
      </c>
      <c r="E1738" s="2">
        <v>3</v>
      </c>
      <c r="F1738" s="2" t="s">
        <v>5</v>
      </c>
      <c r="G1738" s="2">
        <v>292.59999999986502</v>
      </c>
      <c r="H1738" s="2" t="s">
        <v>16</v>
      </c>
      <c r="I1738" s="2">
        <v>260648.000000003</v>
      </c>
      <c r="J1738" s="2">
        <v>3000</v>
      </c>
      <c r="K1738" s="2">
        <v>200</v>
      </c>
      <c r="L1738" s="2">
        <v>0</v>
      </c>
      <c r="M1738" s="2">
        <v>796828.41</v>
      </c>
      <c r="N1738">
        <f t="shared" si="33"/>
        <v>1057769.0100000028</v>
      </c>
      <c r="O1738" s="2" t="s">
        <v>4</v>
      </c>
    </row>
    <row r="1739" spans="1:15" x14ac:dyDescent="0.2">
      <c r="A1739">
        <v>28</v>
      </c>
      <c r="B1739">
        <v>5</v>
      </c>
      <c r="C1739">
        <v>4</v>
      </c>
      <c r="D1739" s="2">
        <v>2</v>
      </c>
      <c r="E1739" s="2">
        <v>1</v>
      </c>
      <c r="F1739" s="2" t="s">
        <v>5</v>
      </c>
      <c r="G1739" s="2">
        <v>541.19999999961999</v>
      </c>
      <c r="H1739" s="2" t="s">
        <v>16</v>
      </c>
      <c r="I1739" s="2">
        <v>40185.000000008098</v>
      </c>
      <c r="J1739" s="2">
        <v>2000</v>
      </c>
      <c r="K1739" s="2">
        <v>100</v>
      </c>
      <c r="L1739" s="2">
        <v>0</v>
      </c>
      <c r="M1739" s="2">
        <v>364108.81</v>
      </c>
      <c r="N1739">
        <f t="shared" si="31"/>
        <v>404835.01000000769</v>
      </c>
      <c r="O1739" s="9" t="s">
        <v>5</v>
      </c>
    </row>
    <row r="1740" spans="1:15" x14ac:dyDescent="0.2">
      <c r="A1740">
        <v>29</v>
      </c>
      <c r="B1740">
        <v>5</v>
      </c>
      <c r="C1740">
        <v>5</v>
      </c>
      <c r="D1740" s="2">
        <v>2</v>
      </c>
      <c r="E1740" s="2">
        <v>2</v>
      </c>
      <c r="F1740" s="2" t="s">
        <v>5</v>
      </c>
      <c r="G1740" s="2">
        <v>547.39999999959798</v>
      </c>
      <c r="H1740" s="2" t="s">
        <v>16</v>
      </c>
      <c r="I1740" s="2">
        <v>34695.999999996697</v>
      </c>
      <c r="J1740" s="2">
        <v>2000</v>
      </c>
      <c r="K1740" s="2">
        <v>100</v>
      </c>
      <c r="L1740" s="2">
        <v>0</v>
      </c>
      <c r="M1740" s="2">
        <v>335147.21000000002</v>
      </c>
      <c r="N1740">
        <f t="shared" si="31"/>
        <v>370390.60999999632</v>
      </c>
      <c r="O1740" s="9" t="s">
        <v>5</v>
      </c>
    </row>
    <row r="1741" spans="1:15" x14ac:dyDescent="0.2">
      <c r="A1741">
        <v>30</v>
      </c>
      <c r="B1741">
        <v>5</v>
      </c>
      <c r="C1741">
        <v>5</v>
      </c>
      <c r="D1741" s="2">
        <v>2</v>
      </c>
      <c r="E1741" s="2">
        <v>3</v>
      </c>
      <c r="F1741" s="2" t="s">
        <v>5</v>
      </c>
      <c r="G1741" s="2">
        <v>598.60000000000502</v>
      </c>
      <c r="H1741" s="2" t="s">
        <v>16</v>
      </c>
      <c r="I1741" s="2">
        <v>78614.999999984997</v>
      </c>
      <c r="J1741" s="2">
        <v>2000</v>
      </c>
      <c r="K1741" s="2">
        <v>100</v>
      </c>
      <c r="L1741" s="2">
        <v>0</v>
      </c>
      <c r="M1741" s="2">
        <v>343228.01</v>
      </c>
      <c r="N1741">
        <f t="shared" si="31"/>
        <v>422441.60999998503</v>
      </c>
      <c r="O1741" s="9" t="s">
        <v>5</v>
      </c>
    </row>
    <row r="1742" spans="1:15" x14ac:dyDescent="0.2">
      <c r="A1742">
        <v>31</v>
      </c>
      <c r="B1742">
        <v>5</v>
      </c>
      <c r="C1742">
        <v>5</v>
      </c>
      <c r="D1742" s="2">
        <v>2</v>
      </c>
      <c r="E1742" s="2">
        <v>1</v>
      </c>
      <c r="F1742" s="2" t="s">
        <v>5</v>
      </c>
      <c r="G1742" s="2">
        <v>351.19999999970702</v>
      </c>
      <c r="H1742" s="2" t="s">
        <v>16</v>
      </c>
      <c r="I1742" s="2">
        <v>51963.999999998101</v>
      </c>
      <c r="J1742" s="2">
        <v>2000</v>
      </c>
      <c r="K1742" s="2">
        <v>100</v>
      </c>
      <c r="L1742" s="2">
        <v>0</v>
      </c>
      <c r="M1742" s="2">
        <v>338987.61</v>
      </c>
      <c r="N1742">
        <f t="shared" si="31"/>
        <v>391302.80999999779</v>
      </c>
      <c r="O1742" s="9" t="s">
        <v>5</v>
      </c>
    </row>
    <row r="1743" spans="1:15" x14ac:dyDescent="0.2">
      <c r="A1743">
        <v>32</v>
      </c>
      <c r="B1743">
        <v>5</v>
      </c>
      <c r="C1743">
        <v>5</v>
      </c>
      <c r="D1743" s="2">
        <v>2</v>
      </c>
      <c r="E1743" s="2">
        <v>2</v>
      </c>
      <c r="F1743" s="2" t="s">
        <v>5</v>
      </c>
      <c r="G1743" s="2">
        <v>356.00000000002302</v>
      </c>
      <c r="H1743" s="2" t="s">
        <v>16</v>
      </c>
      <c r="I1743" s="2">
        <v>20672.999999987998</v>
      </c>
      <c r="J1743" s="2">
        <v>2000</v>
      </c>
      <c r="K1743" s="2">
        <v>100</v>
      </c>
      <c r="L1743" s="2">
        <v>0</v>
      </c>
      <c r="M1743" s="2">
        <v>334347.21000000002</v>
      </c>
      <c r="N1743">
        <f t="shared" si="31"/>
        <v>355376.20999998803</v>
      </c>
      <c r="O1743" s="9" t="s">
        <v>5</v>
      </c>
    </row>
    <row r="1744" spans="1:15" x14ac:dyDescent="0.2">
      <c r="A1744">
        <v>33</v>
      </c>
      <c r="B1744">
        <v>5</v>
      </c>
      <c r="C1744">
        <v>5</v>
      </c>
      <c r="D1744" s="2">
        <v>2</v>
      </c>
      <c r="E1744" s="2">
        <v>3</v>
      </c>
      <c r="F1744" s="2" t="s">
        <v>5</v>
      </c>
      <c r="G1744" s="2">
        <v>485.39999999981399</v>
      </c>
      <c r="H1744" s="2" t="s">
        <v>16</v>
      </c>
      <c r="I1744" s="2">
        <v>60222.000000010201</v>
      </c>
      <c r="J1744" s="2">
        <v>2000</v>
      </c>
      <c r="K1744" s="2">
        <v>100</v>
      </c>
      <c r="L1744" s="2">
        <v>0</v>
      </c>
      <c r="M1744" s="2">
        <v>341627.61</v>
      </c>
      <c r="N1744">
        <f t="shared" si="31"/>
        <v>402335.01000001002</v>
      </c>
      <c r="O1744" s="9" t="s">
        <v>5</v>
      </c>
    </row>
    <row r="1745" spans="1:15" x14ac:dyDescent="0.2">
      <c r="A1745">
        <v>34</v>
      </c>
      <c r="B1745">
        <v>5</v>
      </c>
      <c r="C1745">
        <v>5</v>
      </c>
      <c r="D1745" s="2">
        <v>2</v>
      </c>
      <c r="E1745" s="2">
        <v>1</v>
      </c>
      <c r="F1745" s="2" t="s">
        <v>5</v>
      </c>
      <c r="G1745" s="2">
        <v>307.60000000000798</v>
      </c>
      <c r="H1745" s="2" t="s">
        <v>16</v>
      </c>
      <c r="I1745" s="2">
        <v>19947.000000001899</v>
      </c>
      <c r="J1745" s="2">
        <v>2000</v>
      </c>
      <c r="K1745" s="2">
        <v>100</v>
      </c>
      <c r="L1745" s="2">
        <v>0</v>
      </c>
      <c r="M1745" s="2">
        <v>338587.61</v>
      </c>
      <c r="N1745">
        <f t="shared" si="31"/>
        <v>358842.21000000188</v>
      </c>
      <c r="O1745" s="9" t="s">
        <v>5</v>
      </c>
    </row>
    <row r="1746" spans="1:15" x14ac:dyDescent="0.2">
      <c r="A1746">
        <v>35</v>
      </c>
      <c r="B1746">
        <v>5</v>
      </c>
      <c r="C1746">
        <v>6</v>
      </c>
      <c r="D1746" s="2">
        <v>2</v>
      </c>
      <c r="E1746" s="2">
        <v>1</v>
      </c>
      <c r="F1746" s="2" t="s">
        <v>5</v>
      </c>
      <c r="G1746" s="2">
        <v>378.80000000036802</v>
      </c>
      <c r="H1746" s="2" t="s">
        <v>16</v>
      </c>
      <c r="I1746" s="2">
        <v>67833.000000007407</v>
      </c>
      <c r="J1746" s="2">
        <v>2000</v>
      </c>
      <c r="K1746" s="2">
        <v>100</v>
      </c>
      <c r="L1746" s="2">
        <v>0</v>
      </c>
      <c r="M1746" s="2">
        <v>397467.61</v>
      </c>
      <c r="N1746">
        <f t="shared" si="31"/>
        <v>465679.41000000777</v>
      </c>
      <c r="O1746" s="9" t="s">
        <v>5</v>
      </c>
    </row>
    <row r="1747" spans="1:15" x14ac:dyDescent="0.2">
      <c r="A1747">
        <v>36</v>
      </c>
      <c r="B1747">
        <v>5</v>
      </c>
      <c r="C1747">
        <v>6</v>
      </c>
      <c r="D1747" s="2">
        <v>2</v>
      </c>
      <c r="E1747" s="2">
        <v>2</v>
      </c>
      <c r="F1747" s="2" t="s">
        <v>5</v>
      </c>
      <c r="G1747" s="2">
        <v>225.399999999709</v>
      </c>
      <c r="H1747" s="2" t="s">
        <v>16</v>
      </c>
      <c r="I1747" s="2">
        <v>85232.000000019107</v>
      </c>
      <c r="J1747" s="2">
        <v>2000</v>
      </c>
      <c r="K1747" s="2">
        <v>100</v>
      </c>
      <c r="L1747" s="2">
        <v>0</v>
      </c>
      <c r="M1747" s="2">
        <v>367548.01</v>
      </c>
      <c r="N1747">
        <f t="shared" si="31"/>
        <v>453005.41000001883</v>
      </c>
      <c r="O1747" s="9" t="s">
        <v>4</v>
      </c>
    </row>
    <row r="1748" spans="1:15" x14ac:dyDescent="0.2">
      <c r="A1748">
        <v>37</v>
      </c>
      <c r="B1748">
        <v>5</v>
      </c>
      <c r="C1748">
        <v>6</v>
      </c>
      <c r="D1748" s="2">
        <v>2</v>
      </c>
      <c r="E1748" s="2">
        <v>3</v>
      </c>
      <c r="F1748" s="2" t="s">
        <v>5</v>
      </c>
      <c r="G1748" s="2">
        <v>317.40000000049002</v>
      </c>
      <c r="H1748" s="2" t="s">
        <v>16</v>
      </c>
      <c r="I1748" s="2">
        <v>429632.99999999598</v>
      </c>
      <c r="J1748" s="2">
        <v>2000</v>
      </c>
      <c r="K1748" s="2">
        <v>100</v>
      </c>
      <c r="L1748" s="2">
        <v>0</v>
      </c>
      <c r="M1748" s="2">
        <v>391387.61</v>
      </c>
      <c r="N1748">
        <f t="shared" si="31"/>
        <v>821338.00999999652</v>
      </c>
      <c r="O1748" s="9" t="s">
        <v>4</v>
      </c>
    </row>
    <row r="1749" spans="1:15" x14ac:dyDescent="0.2">
      <c r="A1749">
        <v>38</v>
      </c>
      <c r="B1749">
        <v>5</v>
      </c>
      <c r="C1749">
        <v>6</v>
      </c>
      <c r="D1749" s="2">
        <v>2</v>
      </c>
      <c r="E1749" s="2">
        <v>1</v>
      </c>
      <c r="F1749" s="2" t="s">
        <v>5</v>
      </c>
      <c r="G1749" s="2">
        <v>206.39999999971801</v>
      </c>
      <c r="H1749" s="2" t="s">
        <v>16</v>
      </c>
      <c r="I1749" s="2">
        <v>58606.999999995001</v>
      </c>
      <c r="J1749" s="2">
        <v>2000</v>
      </c>
      <c r="K1749" s="2">
        <v>100</v>
      </c>
      <c r="L1749" s="2">
        <v>0</v>
      </c>
      <c r="M1749" s="2">
        <v>397707.21</v>
      </c>
      <c r="N1749">
        <f t="shared" si="31"/>
        <v>456520.60999999475</v>
      </c>
      <c r="O1749" s="9" t="s">
        <v>5</v>
      </c>
    </row>
    <row r="1750" spans="1:15" x14ac:dyDescent="0.2">
      <c r="A1750">
        <v>39</v>
      </c>
      <c r="B1750">
        <v>5</v>
      </c>
      <c r="C1750">
        <v>7</v>
      </c>
      <c r="D1750" s="2">
        <v>2</v>
      </c>
      <c r="E1750" s="2">
        <v>1</v>
      </c>
      <c r="F1750" s="2" t="s">
        <v>5</v>
      </c>
      <c r="G1750" s="2">
        <v>257.600000000124</v>
      </c>
      <c r="H1750" s="2" t="s">
        <v>16</v>
      </c>
      <c r="I1750" s="2">
        <v>172606.00000000201</v>
      </c>
      <c r="J1750" s="2">
        <v>2000</v>
      </c>
      <c r="K1750" s="2">
        <v>100</v>
      </c>
      <c r="L1750" s="2">
        <v>0</v>
      </c>
      <c r="M1750" s="2">
        <v>406428.01</v>
      </c>
      <c r="N1750">
        <f t="shared" si="31"/>
        <v>579291.6100000022</v>
      </c>
      <c r="O1750" s="9" t="s">
        <v>5</v>
      </c>
    </row>
    <row r="1751" spans="1:15" x14ac:dyDescent="0.2">
      <c r="A1751">
        <v>40</v>
      </c>
      <c r="B1751">
        <v>5</v>
      </c>
      <c r="C1751">
        <v>7</v>
      </c>
      <c r="D1751" s="2">
        <v>2</v>
      </c>
      <c r="E1751" s="2">
        <v>2</v>
      </c>
      <c r="F1751" s="2" t="s">
        <v>5</v>
      </c>
      <c r="G1751" s="2">
        <v>242.59999999962599</v>
      </c>
      <c r="H1751" s="2" t="s">
        <v>16</v>
      </c>
      <c r="I1751" s="2">
        <v>100393.999999994</v>
      </c>
      <c r="J1751" s="2">
        <v>2000</v>
      </c>
      <c r="K1751" s="2">
        <v>100</v>
      </c>
      <c r="L1751" s="2">
        <v>0</v>
      </c>
      <c r="M1751" s="2">
        <v>372908.41</v>
      </c>
      <c r="N1751">
        <f t="shared" si="31"/>
        <v>473545.00999999361</v>
      </c>
      <c r="O1751" s="9" t="s">
        <v>4</v>
      </c>
    </row>
    <row r="1752" spans="1:15" x14ac:dyDescent="0.2">
      <c r="A1752">
        <v>41</v>
      </c>
      <c r="B1752">
        <v>5</v>
      </c>
      <c r="C1752">
        <v>7</v>
      </c>
      <c r="D1752" s="2">
        <v>2</v>
      </c>
      <c r="E1752" s="2">
        <v>3</v>
      </c>
      <c r="F1752" s="2" t="s">
        <v>5</v>
      </c>
      <c r="G1752" s="2">
        <v>354.20000000030399</v>
      </c>
      <c r="H1752" s="2" t="s">
        <v>16</v>
      </c>
      <c r="I1752" s="2">
        <v>409392.00000002497</v>
      </c>
      <c r="J1752" s="2">
        <v>2000</v>
      </c>
      <c r="K1752" s="2">
        <v>100</v>
      </c>
      <c r="L1752" s="2">
        <v>0</v>
      </c>
      <c r="M1752" s="2">
        <v>391549.21</v>
      </c>
      <c r="N1752">
        <f t="shared" si="31"/>
        <v>801295.41000002529</v>
      </c>
      <c r="O1752" s="9" t="s">
        <v>4</v>
      </c>
    </row>
    <row r="1753" spans="1:15" x14ac:dyDescent="0.2">
      <c r="A1753">
        <v>42</v>
      </c>
      <c r="B1753">
        <v>5</v>
      </c>
      <c r="C1753">
        <v>4</v>
      </c>
      <c r="D1753" s="2">
        <v>2</v>
      </c>
      <c r="E1753" s="2">
        <v>1</v>
      </c>
      <c r="F1753" s="2" t="s">
        <v>5</v>
      </c>
      <c r="G1753" s="2">
        <v>129.800000000202</v>
      </c>
      <c r="H1753" s="2" t="s">
        <v>16</v>
      </c>
      <c r="I1753" s="2">
        <v>11878.999999993301</v>
      </c>
      <c r="J1753" s="2">
        <v>2000</v>
      </c>
      <c r="K1753" s="2">
        <v>100</v>
      </c>
      <c r="L1753" s="2">
        <v>0</v>
      </c>
      <c r="M1753" s="2">
        <v>336907.61</v>
      </c>
      <c r="N1753">
        <f t="shared" si="31"/>
        <v>348916.40999999351</v>
      </c>
      <c r="O1753" s="9" t="s">
        <v>5</v>
      </c>
    </row>
    <row r="1754" spans="1:15" x14ac:dyDescent="0.2">
      <c r="A1754">
        <v>43</v>
      </c>
      <c r="B1754">
        <v>5</v>
      </c>
      <c r="C1754">
        <v>5</v>
      </c>
      <c r="D1754" s="2">
        <v>2</v>
      </c>
      <c r="E1754" s="2">
        <v>1</v>
      </c>
      <c r="F1754" s="2" t="s">
        <v>5</v>
      </c>
      <c r="G1754" s="2">
        <v>157.00000000009601</v>
      </c>
      <c r="H1754" s="2" t="s">
        <v>16</v>
      </c>
      <c r="I1754" s="2">
        <v>17081.999999987798</v>
      </c>
      <c r="J1754" s="2">
        <v>2000</v>
      </c>
      <c r="K1754" s="2">
        <v>100</v>
      </c>
      <c r="L1754" s="2">
        <v>0</v>
      </c>
      <c r="M1754" s="2">
        <v>341627.61</v>
      </c>
      <c r="N1754">
        <f t="shared" si="31"/>
        <v>358866.60999998788</v>
      </c>
      <c r="O1754" s="9" t="s">
        <v>5</v>
      </c>
    </row>
    <row r="1755" spans="1:15" x14ac:dyDescent="0.2">
      <c r="A1755">
        <v>44</v>
      </c>
      <c r="B1755">
        <v>5</v>
      </c>
      <c r="C1755">
        <v>5</v>
      </c>
      <c r="D1755" s="2">
        <v>2</v>
      </c>
      <c r="E1755" s="2">
        <v>2</v>
      </c>
      <c r="F1755" s="2" t="s">
        <v>5</v>
      </c>
      <c r="G1755" s="2">
        <v>156.599999999685</v>
      </c>
      <c r="H1755" s="2" t="s">
        <v>16</v>
      </c>
      <c r="I1755" s="2">
        <v>24732.0000000002</v>
      </c>
      <c r="J1755" s="2">
        <v>2000</v>
      </c>
      <c r="K1755" s="2">
        <v>100</v>
      </c>
      <c r="L1755" s="2">
        <v>0</v>
      </c>
      <c r="M1755" s="2">
        <v>340508.01</v>
      </c>
      <c r="N1755">
        <f t="shared" si="31"/>
        <v>365396.60999999987</v>
      </c>
      <c r="O1755" s="9" t="s">
        <v>5</v>
      </c>
    </row>
    <row r="1756" spans="1:15" x14ac:dyDescent="0.2">
      <c r="A1756">
        <v>45</v>
      </c>
      <c r="B1756">
        <v>5</v>
      </c>
      <c r="C1756">
        <v>5</v>
      </c>
      <c r="D1756" s="2">
        <v>2</v>
      </c>
      <c r="E1756" s="2">
        <v>3</v>
      </c>
      <c r="F1756" s="2" t="s">
        <v>5</v>
      </c>
      <c r="G1756" s="2">
        <v>211.00000000018301</v>
      </c>
      <c r="H1756" s="2" t="s">
        <v>16</v>
      </c>
      <c r="I1756" s="2">
        <v>56737.9999999957</v>
      </c>
      <c r="J1756" s="2">
        <v>2000</v>
      </c>
      <c r="K1756" s="2">
        <v>100</v>
      </c>
      <c r="L1756" s="2">
        <v>0</v>
      </c>
      <c r="M1756" s="2">
        <v>335628.01</v>
      </c>
      <c r="N1756">
        <f t="shared" si="31"/>
        <v>392577.00999999588</v>
      </c>
      <c r="O1756" s="9" t="s">
        <v>5</v>
      </c>
    </row>
    <row r="1757" spans="1:15" x14ac:dyDescent="0.2">
      <c r="A1757">
        <v>46</v>
      </c>
      <c r="B1757">
        <v>5</v>
      </c>
      <c r="C1757">
        <v>6</v>
      </c>
      <c r="D1757" s="2">
        <v>2</v>
      </c>
      <c r="E1757" s="2">
        <v>1</v>
      </c>
      <c r="F1757" s="2" t="s">
        <v>5</v>
      </c>
      <c r="G1757" s="2">
        <v>189.400000000006</v>
      </c>
      <c r="H1757" s="2" t="s">
        <v>16</v>
      </c>
      <c r="I1757" s="2">
        <v>68061.000000000204</v>
      </c>
      <c r="J1757" s="2">
        <v>2000</v>
      </c>
      <c r="K1757" s="2">
        <v>100</v>
      </c>
      <c r="L1757" s="2">
        <v>0</v>
      </c>
      <c r="M1757" s="2">
        <v>339789.21</v>
      </c>
      <c r="N1757">
        <f t="shared" si="31"/>
        <v>408039.61000000022</v>
      </c>
      <c r="O1757" s="9" t="s">
        <v>5</v>
      </c>
    </row>
    <row r="1758" spans="1:15" x14ac:dyDescent="0.2">
      <c r="A1758">
        <v>47</v>
      </c>
      <c r="B1758">
        <v>5</v>
      </c>
      <c r="C1758">
        <v>6</v>
      </c>
      <c r="D1758" s="2">
        <v>2</v>
      </c>
      <c r="E1758" s="2">
        <v>2</v>
      </c>
      <c r="F1758" s="2" t="s">
        <v>5</v>
      </c>
      <c r="G1758" s="2">
        <v>193.80000000026601</v>
      </c>
      <c r="H1758" s="2" t="s">
        <v>16</v>
      </c>
      <c r="I1758" s="2">
        <v>55103.000000002598</v>
      </c>
      <c r="J1758" s="2">
        <v>2000</v>
      </c>
      <c r="K1758" s="2">
        <v>100</v>
      </c>
      <c r="L1758" s="2">
        <v>0</v>
      </c>
      <c r="M1758" s="2">
        <v>341307.61</v>
      </c>
      <c r="N1758">
        <f t="shared" si="31"/>
        <v>396604.41000000283</v>
      </c>
      <c r="O1758" s="9" t="s">
        <v>5</v>
      </c>
    </row>
    <row r="1759" spans="1:15" x14ac:dyDescent="0.2">
      <c r="A1759">
        <v>48</v>
      </c>
      <c r="B1759">
        <v>5</v>
      </c>
      <c r="C1759">
        <v>6</v>
      </c>
      <c r="D1759" s="2">
        <v>2</v>
      </c>
      <c r="E1759" s="2">
        <v>3</v>
      </c>
      <c r="F1759" s="2" t="s">
        <v>5</v>
      </c>
      <c r="G1759" s="2">
        <v>249.79999999992199</v>
      </c>
      <c r="H1759" s="2" t="s">
        <v>16</v>
      </c>
      <c r="I1759" s="2">
        <v>121555.000000001</v>
      </c>
      <c r="J1759" s="2">
        <v>2000</v>
      </c>
      <c r="K1759" s="2">
        <v>100</v>
      </c>
      <c r="L1759" s="2">
        <v>0</v>
      </c>
      <c r="M1759" s="2">
        <v>399787.61</v>
      </c>
      <c r="N1759">
        <f t="shared" si="31"/>
        <v>521592.41000000091</v>
      </c>
      <c r="O1759" s="9" t="s">
        <v>4</v>
      </c>
    </row>
    <row r="1760" spans="1:15" x14ac:dyDescent="0.2">
      <c r="A1760">
        <v>49</v>
      </c>
      <c r="B1760">
        <v>5</v>
      </c>
      <c r="C1760">
        <v>6</v>
      </c>
      <c r="D1760" s="2">
        <v>2</v>
      </c>
      <c r="E1760" s="2">
        <v>1</v>
      </c>
      <c r="F1760" s="2" t="s">
        <v>5</v>
      </c>
      <c r="G1760" s="2">
        <v>183.19999999931699</v>
      </c>
      <c r="H1760" s="2" t="s">
        <v>16</v>
      </c>
      <c r="I1760" s="2">
        <v>41121.000000004002</v>
      </c>
      <c r="J1760" s="2">
        <v>2000</v>
      </c>
      <c r="K1760" s="2">
        <v>100</v>
      </c>
      <c r="L1760" s="2">
        <v>0</v>
      </c>
      <c r="M1760" s="2">
        <v>332908.81</v>
      </c>
      <c r="N1760">
        <f t="shared" si="31"/>
        <v>374213.01000000333</v>
      </c>
      <c r="O1760" s="9" t="s">
        <v>5</v>
      </c>
    </row>
    <row r="1761" spans="1:15" x14ac:dyDescent="0.2">
      <c r="A1761">
        <v>50</v>
      </c>
      <c r="B1761">
        <v>5</v>
      </c>
      <c r="C1761">
        <v>6</v>
      </c>
      <c r="D1761" s="2">
        <v>2</v>
      </c>
      <c r="E1761" s="2">
        <v>2</v>
      </c>
      <c r="F1761" s="2" t="s">
        <v>5</v>
      </c>
      <c r="G1761" s="2">
        <v>190.800000000024</v>
      </c>
      <c r="H1761" s="2" t="s">
        <v>16</v>
      </c>
      <c r="I1761" s="2">
        <v>50727.999999992302</v>
      </c>
      <c r="J1761" s="2">
        <v>2000</v>
      </c>
      <c r="K1761" s="2">
        <v>100</v>
      </c>
      <c r="L1761" s="2">
        <v>0</v>
      </c>
      <c r="M1761" s="2">
        <v>364268.01</v>
      </c>
      <c r="N1761">
        <f t="shared" si="31"/>
        <v>415186.80999999231</v>
      </c>
      <c r="O1761" s="9" t="s">
        <v>5</v>
      </c>
    </row>
    <row r="1762" spans="1:15" x14ac:dyDescent="0.2">
      <c r="A1762">
        <v>51</v>
      </c>
      <c r="B1762">
        <v>5</v>
      </c>
      <c r="C1762">
        <v>6</v>
      </c>
      <c r="D1762" s="2">
        <v>2</v>
      </c>
      <c r="E1762" s="2">
        <v>3</v>
      </c>
      <c r="F1762" s="2" t="s">
        <v>5</v>
      </c>
      <c r="G1762" s="2">
        <v>252.19999999990301</v>
      </c>
      <c r="H1762" s="2" t="s">
        <v>16</v>
      </c>
      <c r="I1762" s="2">
        <v>139174.99999999499</v>
      </c>
      <c r="J1762" s="2">
        <v>2000</v>
      </c>
      <c r="K1762" s="2">
        <v>100</v>
      </c>
      <c r="L1762" s="2">
        <v>0</v>
      </c>
      <c r="M1762" s="2">
        <v>366908.01</v>
      </c>
      <c r="N1762">
        <f t="shared" si="31"/>
        <v>506335.2099999949</v>
      </c>
      <c r="O1762" s="9" t="s">
        <v>5</v>
      </c>
    </row>
    <row r="1763" spans="1:15" x14ac:dyDescent="0.2">
      <c r="A1763">
        <v>52</v>
      </c>
      <c r="B1763">
        <v>5</v>
      </c>
      <c r="C1763">
        <v>7</v>
      </c>
      <c r="D1763" s="2">
        <v>2</v>
      </c>
      <c r="E1763" s="2">
        <v>1</v>
      </c>
      <c r="F1763" s="2" t="s">
        <v>5</v>
      </c>
      <c r="G1763" s="2">
        <v>219.40000000029201</v>
      </c>
      <c r="H1763" s="2" t="s">
        <v>16</v>
      </c>
      <c r="I1763" s="2">
        <v>49910.000000011198</v>
      </c>
      <c r="J1763" s="2">
        <v>2000</v>
      </c>
      <c r="K1763" s="2">
        <v>100</v>
      </c>
      <c r="L1763" s="2">
        <v>0</v>
      </c>
      <c r="M1763" s="2">
        <v>335628.81</v>
      </c>
      <c r="N1763">
        <f t="shared" si="31"/>
        <v>385758.21000001149</v>
      </c>
      <c r="O1763" s="9" t="s">
        <v>5</v>
      </c>
    </row>
    <row r="1764" spans="1:15" x14ac:dyDescent="0.2">
      <c r="A1764">
        <v>53</v>
      </c>
      <c r="B1764">
        <v>5</v>
      </c>
      <c r="C1764">
        <v>7</v>
      </c>
      <c r="D1764" s="2">
        <v>2</v>
      </c>
      <c r="E1764" s="2">
        <v>2</v>
      </c>
      <c r="F1764" s="2" t="s">
        <v>5</v>
      </c>
      <c r="G1764" s="2">
        <v>218.80000000038501</v>
      </c>
      <c r="H1764" s="2" t="s">
        <v>16</v>
      </c>
      <c r="I1764" s="2">
        <v>113836.99999999</v>
      </c>
      <c r="J1764" s="2">
        <v>2000</v>
      </c>
      <c r="K1764" s="2">
        <v>100</v>
      </c>
      <c r="L1764" s="2">
        <v>0</v>
      </c>
      <c r="M1764" s="2">
        <v>370267.61</v>
      </c>
      <c r="N1764">
        <f t="shared" si="31"/>
        <v>484323.40999999037</v>
      </c>
      <c r="O1764" s="9" t="s">
        <v>5</v>
      </c>
    </row>
    <row r="1765" spans="1:15" x14ac:dyDescent="0.2">
      <c r="A1765">
        <v>54</v>
      </c>
      <c r="B1765">
        <v>5</v>
      </c>
      <c r="C1765">
        <v>7</v>
      </c>
      <c r="D1765" s="2">
        <v>2</v>
      </c>
      <c r="E1765" s="2">
        <v>3</v>
      </c>
      <c r="F1765" s="2" t="s">
        <v>5</v>
      </c>
      <c r="G1765" s="2">
        <v>306.40000000019501</v>
      </c>
      <c r="H1765" s="2" t="s">
        <v>16</v>
      </c>
      <c r="I1765" s="2">
        <v>434876.00000000303</v>
      </c>
      <c r="J1765" s="2">
        <v>2000</v>
      </c>
      <c r="K1765" s="2">
        <v>100</v>
      </c>
      <c r="L1765" s="2">
        <v>0</v>
      </c>
      <c r="M1765" s="2">
        <v>407070.01</v>
      </c>
      <c r="N1765">
        <f t="shared" si="31"/>
        <v>842252.41000000318</v>
      </c>
      <c r="O1765" s="9" t="s">
        <v>4</v>
      </c>
    </row>
    <row r="1766" spans="1:15" x14ac:dyDescent="0.2">
      <c r="A1766">
        <v>55</v>
      </c>
      <c r="B1766">
        <v>5</v>
      </c>
      <c r="C1766">
        <v>5</v>
      </c>
      <c r="D1766" s="2">
        <v>2</v>
      </c>
      <c r="E1766" s="2">
        <v>1</v>
      </c>
      <c r="F1766" s="2" t="s">
        <v>5</v>
      </c>
      <c r="G1766" s="2">
        <v>140.60000000064599</v>
      </c>
      <c r="H1766" s="2" t="s">
        <v>16</v>
      </c>
      <c r="I1766" s="2">
        <v>27028.000000001401</v>
      </c>
      <c r="J1766" s="2">
        <v>2000</v>
      </c>
      <c r="K1766" s="2">
        <v>100</v>
      </c>
      <c r="L1766" s="2">
        <v>0</v>
      </c>
      <c r="M1766" s="2">
        <v>337708.01</v>
      </c>
      <c r="N1766">
        <f t="shared" si="31"/>
        <v>364876.61000000208</v>
      </c>
      <c r="O1766" s="9" t="s">
        <v>5</v>
      </c>
    </row>
    <row r="1767" spans="1:15" x14ac:dyDescent="0.2">
      <c r="A1767">
        <v>56</v>
      </c>
      <c r="B1767">
        <v>5</v>
      </c>
      <c r="C1767">
        <v>5</v>
      </c>
      <c r="D1767" s="2">
        <v>2</v>
      </c>
      <c r="E1767" s="2">
        <v>2</v>
      </c>
      <c r="F1767" s="2" t="s">
        <v>5</v>
      </c>
      <c r="G1767" s="2">
        <v>137.60000000004899</v>
      </c>
      <c r="H1767" s="2" t="s">
        <v>16</v>
      </c>
      <c r="I1767" s="2">
        <v>25397.999999995602</v>
      </c>
      <c r="J1767" s="2">
        <v>2000</v>
      </c>
      <c r="K1767" s="2">
        <v>100</v>
      </c>
      <c r="L1767" s="2">
        <v>0</v>
      </c>
      <c r="M1767" s="2">
        <v>340428.01</v>
      </c>
      <c r="N1767">
        <f t="shared" si="31"/>
        <v>365963.60999999568</v>
      </c>
      <c r="O1767" s="9" t="s">
        <v>5</v>
      </c>
    </row>
    <row r="1768" spans="1:15" x14ac:dyDescent="0.2">
      <c r="A1768">
        <v>57</v>
      </c>
      <c r="B1768">
        <v>5</v>
      </c>
      <c r="C1768">
        <v>5</v>
      </c>
      <c r="D1768" s="2">
        <v>2</v>
      </c>
      <c r="E1768" s="2">
        <v>3</v>
      </c>
      <c r="F1768" s="2" t="s">
        <v>5</v>
      </c>
      <c r="G1768" s="2">
        <v>183.39999999987799</v>
      </c>
      <c r="H1768" s="2" t="s">
        <v>16</v>
      </c>
      <c r="I1768" s="2">
        <v>44558.000000023399</v>
      </c>
      <c r="J1768" s="2">
        <v>2000</v>
      </c>
      <c r="K1768" s="2">
        <v>100</v>
      </c>
      <c r="L1768" s="2">
        <v>0</v>
      </c>
      <c r="M1768" s="2">
        <v>333708.81</v>
      </c>
      <c r="N1768">
        <f t="shared" si="31"/>
        <v>378450.21000002325</v>
      </c>
      <c r="O1768" s="9" t="s">
        <v>5</v>
      </c>
    </row>
    <row r="1769" spans="1:15" x14ac:dyDescent="0.2">
      <c r="A1769">
        <v>58</v>
      </c>
      <c r="B1769">
        <v>5</v>
      </c>
      <c r="C1769">
        <v>6</v>
      </c>
      <c r="D1769" s="2">
        <v>2</v>
      </c>
      <c r="E1769" s="2">
        <v>1</v>
      </c>
      <c r="F1769" s="2" t="s">
        <v>5</v>
      </c>
      <c r="G1769" s="2">
        <v>215.599999999228</v>
      </c>
      <c r="H1769" s="2" t="s">
        <v>16</v>
      </c>
      <c r="I1769" s="2">
        <v>56205.000000005602</v>
      </c>
      <c r="J1769" s="2">
        <v>2000</v>
      </c>
      <c r="K1769" s="2">
        <v>100</v>
      </c>
      <c r="L1769" s="2">
        <v>0</v>
      </c>
      <c r="M1769" s="2">
        <v>342831.21</v>
      </c>
      <c r="N1769">
        <f t="shared" si="31"/>
        <v>399251.81000000483</v>
      </c>
      <c r="O1769" s="9" t="s">
        <v>5</v>
      </c>
    </row>
    <row r="1770" spans="1:15" x14ac:dyDescent="0.2">
      <c r="A1770">
        <v>59</v>
      </c>
      <c r="B1770">
        <v>5</v>
      </c>
      <c r="C1770">
        <v>6</v>
      </c>
      <c r="D1770" s="2">
        <v>2</v>
      </c>
      <c r="E1770" s="2">
        <v>2</v>
      </c>
      <c r="F1770" s="2" t="s">
        <v>5</v>
      </c>
      <c r="G1770" s="2">
        <v>212.39999999984599</v>
      </c>
      <c r="H1770" s="2" t="s">
        <v>16</v>
      </c>
      <c r="I1770" s="2">
        <v>45035.000000012798</v>
      </c>
      <c r="J1770" s="2">
        <v>2000</v>
      </c>
      <c r="K1770" s="2">
        <v>100</v>
      </c>
      <c r="L1770" s="2">
        <v>0</v>
      </c>
      <c r="M1770" s="2">
        <v>339548.01</v>
      </c>
      <c r="N1770">
        <f t="shared" si="31"/>
        <v>384795.41000001266</v>
      </c>
      <c r="O1770" s="9" t="s">
        <v>5</v>
      </c>
    </row>
    <row r="1771" spans="1:15" x14ac:dyDescent="0.2">
      <c r="A1771">
        <v>60</v>
      </c>
      <c r="B1771">
        <v>5</v>
      </c>
      <c r="C1771">
        <v>6</v>
      </c>
      <c r="D1771" s="2">
        <v>2</v>
      </c>
      <c r="E1771" s="2">
        <v>3</v>
      </c>
      <c r="F1771" s="2" t="s">
        <v>5</v>
      </c>
      <c r="G1771" s="2">
        <v>288.40000000016602</v>
      </c>
      <c r="H1771" s="2" t="s">
        <v>16</v>
      </c>
      <c r="I1771" s="2">
        <v>150798.00000000899</v>
      </c>
      <c r="J1771" s="2">
        <v>2000</v>
      </c>
      <c r="K1771" s="2">
        <v>100</v>
      </c>
      <c r="L1771" s="2">
        <v>0</v>
      </c>
      <c r="M1771" s="2">
        <v>343149.61</v>
      </c>
      <c r="N1771">
        <f t="shared" si="31"/>
        <v>494236.01000000915</v>
      </c>
      <c r="O1771" s="9" t="s">
        <v>4</v>
      </c>
    </row>
    <row r="1772" spans="1:15" x14ac:dyDescent="0.2">
      <c r="A1772">
        <v>61</v>
      </c>
      <c r="B1772">
        <v>5</v>
      </c>
      <c r="C1772">
        <v>7</v>
      </c>
      <c r="D1772" s="2">
        <v>2</v>
      </c>
      <c r="E1772" s="2">
        <v>1</v>
      </c>
      <c r="F1772" s="2" t="s">
        <v>5</v>
      </c>
      <c r="G1772" s="2">
        <v>230.60000000043601</v>
      </c>
      <c r="H1772" s="2" t="s">
        <v>16</v>
      </c>
      <c r="I1772" s="2">
        <v>105615.99999999801</v>
      </c>
      <c r="J1772" s="2">
        <v>2000</v>
      </c>
      <c r="K1772" s="2">
        <v>100</v>
      </c>
      <c r="L1772" s="2">
        <v>0</v>
      </c>
      <c r="M1772" s="2">
        <v>382429.21</v>
      </c>
      <c r="N1772">
        <f t="shared" si="31"/>
        <v>488275.80999999848</v>
      </c>
      <c r="O1772" s="9" t="s">
        <v>5</v>
      </c>
    </row>
    <row r="1773" spans="1:15" x14ac:dyDescent="0.2">
      <c r="A1773">
        <v>62</v>
      </c>
      <c r="B1773">
        <v>5</v>
      </c>
      <c r="C1773">
        <v>7</v>
      </c>
      <c r="D1773" s="2">
        <v>2</v>
      </c>
      <c r="E1773" s="2">
        <v>2</v>
      </c>
      <c r="F1773" s="2" t="s">
        <v>5</v>
      </c>
      <c r="G1773" s="2">
        <v>233.80000000017299</v>
      </c>
      <c r="H1773" s="2" t="s">
        <v>16</v>
      </c>
      <c r="I1773" s="2">
        <v>102223.999999978</v>
      </c>
      <c r="J1773" s="2">
        <v>2000</v>
      </c>
      <c r="K1773" s="2">
        <v>100</v>
      </c>
      <c r="L1773" s="2">
        <v>0</v>
      </c>
      <c r="M1773" s="2">
        <v>336187.61</v>
      </c>
      <c r="N1773">
        <f t="shared" ref="N1773:N1780" si="34">G1773+I1773+M1773</f>
        <v>438645.40999997815</v>
      </c>
      <c r="O1773" s="9" t="s">
        <v>5</v>
      </c>
    </row>
    <row r="1774" spans="1:15" x14ac:dyDescent="0.2">
      <c r="A1774">
        <v>63</v>
      </c>
      <c r="B1774">
        <v>5</v>
      </c>
      <c r="C1774">
        <v>7</v>
      </c>
      <c r="D1774" s="2">
        <v>2</v>
      </c>
      <c r="E1774" s="2">
        <v>3</v>
      </c>
      <c r="F1774" s="2" t="s">
        <v>5</v>
      </c>
      <c r="G1774" s="2">
        <v>359.799999999666</v>
      </c>
      <c r="H1774" s="2" t="s">
        <v>16</v>
      </c>
      <c r="I1774" s="2">
        <v>241534.99999999901</v>
      </c>
      <c r="J1774" s="2">
        <v>2000</v>
      </c>
      <c r="K1774" s="2">
        <v>100</v>
      </c>
      <c r="L1774" s="2">
        <v>0</v>
      </c>
      <c r="M1774" s="2">
        <v>347628.41</v>
      </c>
      <c r="N1774">
        <f t="shared" si="34"/>
        <v>589523.20999999868</v>
      </c>
      <c r="O1774" s="9" t="s">
        <v>4</v>
      </c>
    </row>
    <row r="1775" spans="1:15" x14ac:dyDescent="0.2">
      <c r="A1775">
        <v>64</v>
      </c>
      <c r="B1775">
        <v>5</v>
      </c>
      <c r="C1775">
        <v>8</v>
      </c>
      <c r="D1775" s="2">
        <v>2</v>
      </c>
      <c r="E1775" s="2">
        <v>1</v>
      </c>
      <c r="F1775" s="2" t="s">
        <v>5</v>
      </c>
      <c r="G1775" s="2">
        <v>274.00000000028501</v>
      </c>
      <c r="H1775" s="2" t="s">
        <v>16</v>
      </c>
      <c r="I1775" s="2">
        <v>128890.00000001299</v>
      </c>
      <c r="J1775" s="2">
        <v>2000</v>
      </c>
      <c r="K1775" s="2">
        <v>100</v>
      </c>
      <c r="L1775" s="2">
        <v>0</v>
      </c>
      <c r="M1775" s="2">
        <v>350350.41</v>
      </c>
      <c r="N1775">
        <f t="shared" si="34"/>
        <v>479514.41000001325</v>
      </c>
      <c r="O1775" s="9" t="s">
        <v>4</v>
      </c>
    </row>
    <row r="1776" spans="1:15" x14ac:dyDescent="0.2">
      <c r="A1776">
        <v>65</v>
      </c>
      <c r="B1776">
        <v>5</v>
      </c>
      <c r="C1776">
        <v>8</v>
      </c>
      <c r="D1776" s="2">
        <v>2</v>
      </c>
      <c r="E1776" s="2">
        <v>2</v>
      </c>
      <c r="F1776" s="2" t="s">
        <v>5</v>
      </c>
      <c r="G1776" s="2">
        <v>271.20000000024902</v>
      </c>
      <c r="H1776" s="2" t="s">
        <v>16</v>
      </c>
      <c r="I1776" s="2">
        <v>165955.999999994</v>
      </c>
      <c r="J1776" s="2">
        <v>2000</v>
      </c>
      <c r="K1776" s="2">
        <v>100</v>
      </c>
      <c r="L1776" s="2">
        <v>0</v>
      </c>
      <c r="M1776" s="2">
        <v>343068.01</v>
      </c>
      <c r="N1776">
        <f t="shared" si="34"/>
        <v>509295.20999999426</v>
      </c>
      <c r="O1776" s="9" t="s">
        <v>4</v>
      </c>
    </row>
    <row r="1777" spans="1:15" x14ac:dyDescent="0.2">
      <c r="A1777">
        <v>66</v>
      </c>
      <c r="B1777">
        <v>5</v>
      </c>
      <c r="C1777">
        <v>8</v>
      </c>
      <c r="D1777" s="2">
        <v>2</v>
      </c>
      <c r="E1777" s="2">
        <v>3</v>
      </c>
      <c r="F1777" s="2" t="s">
        <v>5</v>
      </c>
      <c r="G1777" s="2">
        <v>390.99999999976399</v>
      </c>
      <c r="H1777" s="2" t="s">
        <v>16</v>
      </c>
      <c r="I1777" s="2">
        <v>603557.99999999197</v>
      </c>
      <c r="J1777" s="2">
        <v>2000</v>
      </c>
      <c r="K1777" s="2">
        <v>100</v>
      </c>
      <c r="L1777" s="2">
        <v>0</v>
      </c>
      <c r="M1777" s="2">
        <v>352429.21</v>
      </c>
      <c r="N1777">
        <f t="shared" si="34"/>
        <v>956378.20999999181</v>
      </c>
      <c r="O1777" s="9" t="s">
        <v>4</v>
      </c>
    </row>
    <row r="1778" spans="1:15" x14ac:dyDescent="0.2">
      <c r="A1778">
        <v>67</v>
      </c>
      <c r="B1778">
        <v>5</v>
      </c>
      <c r="C1778">
        <v>7</v>
      </c>
      <c r="D1778" s="2">
        <v>2</v>
      </c>
      <c r="E1778" s="2">
        <v>1</v>
      </c>
      <c r="F1778" s="2" t="s">
        <v>5</v>
      </c>
      <c r="G1778" s="2">
        <v>210.20000000007099</v>
      </c>
      <c r="H1778" s="2" t="s">
        <v>16</v>
      </c>
      <c r="I1778" s="2">
        <v>119817.999999981</v>
      </c>
      <c r="J1778" s="2">
        <v>2000</v>
      </c>
      <c r="K1778" s="2">
        <v>100</v>
      </c>
      <c r="L1778" s="2">
        <v>0</v>
      </c>
      <c r="M1778" s="2">
        <v>373308.01</v>
      </c>
      <c r="N1778">
        <f t="shared" si="34"/>
        <v>493336.2099999811</v>
      </c>
      <c r="O1778" s="9" t="s">
        <v>5</v>
      </c>
    </row>
    <row r="1779" spans="1:15" x14ac:dyDescent="0.2">
      <c r="A1779">
        <v>68</v>
      </c>
      <c r="B1779">
        <v>5</v>
      </c>
      <c r="C1779">
        <v>7</v>
      </c>
      <c r="D1779" s="2">
        <v>2</v>
      </c>
      <c r="E1779" s="2">
        <v>2</v>
      </c>
      <c r="F1779" s="2" t="s">
        <v>5</v>
      </c>
      <c r="G1779" s="2">
        <v>210.00000000022101</v>
      </c>
      <c r="H1779" s="2" t="s">
        <v>16</v>
      </c>
      <c r="I1779" s="2">
        <v>73575.000000005297</v>
      </c>
      <c r="J1779" s="2">
        <v>2000</v>
      </c>
      <c r="K1779" s="2">
        <v>100</v>
      </c>
      <c r="L1779" s="2">
        <v>0</v>
      </c>
      <c r="M1779" s="2">
        <v>345308.41</v>
      </c>
      <c r="N1779">
        <f t="shared" si="34"/>
        <v>419093.4100000055</v>
      </c>
      <c r="O1779" s="9" t="s">
        <v>5</v>
      </c>
    </row>
    <row r="1780" spans="1:15" x14ac:dyDescent="0.2">
      <c r="A1780">
        <v>69</v>
      </c>
      <c r="B1780">
        <v>5</v>
      </c>
      <c r="C1780">
        <v>7</v>
      </c>
      <c r="D1780" s="2">
        <v>2</v>
      </c>
      <c r="E1780" s="2">
        <v>3</v>
      </c>
      <c r="F1780" s="2" t="s">
        <v>5</v>
      </c>
      <c r="G1780" s="2">
        <v>292.59999999986502</v>
      </c>
      <c r="H1780" s="2" t="s">
        <v>16</v>
      </c>
      <c r="I1780" s="2">
        <v>260648.000000003</v>
      </c>
      <c r="J1780" s="2">
        <v>2000</v>
      </c>
      <c r="K1780" s="2">
        <v>100</v>
      </c>
      <c r="L1780" s="2">
        <v>0</v>
      </c>
      <c r="M1780" s="2">
        <v>337628.81</v>
      </c>
      <c r="N1780">
        <f t="shared" si="34"/>
        <v>598569.41000000283</v>
      </c>
      <c r="O1780" s="9" t="s">
        <v>4</v>
      </c>
    </row>
    <row r="1781" spans="1:15" x14ac:dyDescent="0.2">
      <c r="A1781">
        <v>28</v>
      </c>
      <c r="B1781">
        <v>5</v>
      </c>
      <c r="C1781">
        <v>4</v>
      </c>
      <c r="D1781" s="2">
        <v>2</v>
      </c>
      <c r="E1781" s="2">
        <v>1</v>
      </c>
      <c r="F1781" s="2" t="s">
        <v>5</v>
      </c>
      <c r="G1781" s="2">
        <v>541.19999999961999</v>
      </c>
      <c r="H1781" s="2" t="s">
        <v>20</v>
      </c>
      <c r="I1781" s="2">
        <v>0</v>
      </c>
      <c r="J1781" s="2">
        <v>0</v>
      </c>
      <c r="K1781" s="2">
        <v>0</v>
      </c>
      <c r="L1781" s="2">
        <v>3000000</v>
      </c>
      <c r="M1781" s="2">
        <v>84848</v>
      </c>
      <c r="N1781">
        <f>G1781+L1781</f>
        <v>3000541.1999999997</v>
      </c>
      <c r="O1781" s="9" t="s">
        <v>5</v>
      </c>
    </row>
    <row r="1782" spans="1:15" x14ac:dyDescent="0.2">
      <c r="A1782">
        <v>29</v>
      </c>
      <c r="B1782">
        <v>5</v>
      </c>
      <c r="C1782">
        <v>5</v>
      </c>
      <c r="D1782" s="2">
        <v>2</v>
      </c>
      <c r="E1782" s="2">
        <v>2</v>
      </c>
      <c r="F1782" s="2" t="s">
        <v>5</v>
      </c>
      <c r="G1782" s="2">
        <v>547.39999999959798</v>
      </c>
      <c r="H1782" s="2" t="s">
        <v>20</v>
      </c>
      <c r="I1782" s="2">
        <v>0</v>
      </c>
      <c r="J1782" s="2">
        <v>0</v>
      </c>
      <c r="K1782" s="2">
        <v>0</v>
      </c>
      <c r="L1782" s="2">
        <v>3000000</v>
      </c>
      <c r="M1782" s="2">
        <v>104843</v>
      </c>
      <c r="N1782">
        <f t="shared" ref="N1782:N1822" si="35">G1782+L1782</f>
        <v>3000547.3999999994</v>
      </c>
      <c r="O1782" s="9" t="s">
        <v>5</v>
      </c>
    </row>
    <row r="1783" spans="1:15" x14ac:dyDescent="0.2">
      <c r="A1783">
        <v>30</v>
      </c>
      <c r="B1783">
        <v>5</v>
      </c>
      <c r="C1783">
        <v>5</v>
      </c>
      <c r="D1783" s="2">
        <v>2</v>
      </c>
      <c r="E1783" s="2">
        <v>3</v>
      </c>
      <c r="F1783" s="2" t="s">
        <v>5</v>
      </c>
      <c r="G1783" s="2">
        <v>598.60000000000502</v>
      </c>
      <c r="H1783" s="2" t="s">
        <v>20</v>
      </c>
      <c r="I1783" s="2">
        <v>0</v>
      </c>
      <c r="J1783" s="2">
        <v>0</v>
      </c>
      <c r="K1783" s="2">
        <v>0</v>
      </c>
      <c r="L1783" s="2">
        <v>3000000</v>
      </c>
      <c r="M1783" s="2">
        <v>91295</v>
      </c>
      <c r="N1783">
        <f t="shared" si="35"/>
        <v>3000598.6</v>
      </c>
      <c r="O1783" s="9" t="s">
        <v>5</v>
      </c>
    </row>
    <row r="1784" spans="1:15" x14ac:dyDescent="0.2">
      <c r="A1784">
        <v>31</v>
      </c>
      <c r="B1784">
        <v>5</v>
      </c>
      <c r="C1784">
        <v>5</v>
      </c>
      <c r="D1784" s="2">
        <v>2</v>
      </c>
      <c r="E1784" s="2">
        <v>1</v>
      </c>
      <c r="F1784" s="2" t="s">
        <v>5</v>
      </c>
      <c r="G1784" s="2">
        <v>351.19999999970702</v>
      </c>
      <c r="H1784" s="2" t="s">
        <v>20</v>
      </c>
      <c r="I1784" s="2">
        <v>0</v>
      </c>
      <c r="J1784" s="2">
        <v>0</v>
      </c>
      <c r="K1784" s="2">
        <v>0</v>
      </c>
      <c r="L1784" s="2">
        <v>3000000</v>
      </c>
      <c r="M1784" s="2">
        <v>84814</v>
      </c>
      <c r="N1784">
        <f t="shared" si="35"/>
        <v>3000351.1999999997</v>
      </c>
      <c r="O1784" s="9" t="s">
        <v>5</v>
      </c>
    </row>
    <row r="1785" spans="1:15" x14ac:dyDescent="0.2">
      <c r="A1785">
        <v>32</v>
      </c>
      <c r="B1785">
        <v>5</v>
      </c>
      <c r="C1785">
        <v>5</v>
      </c>
      <c r="D1785" s="2">
        <v>2</v>
      </c>
      <c r="E1785" s="2">
        <v>2</v>
      </c>
      <c r="F1785" s="2" t="s">
        <v>5</v>
      </c>
      <c r="G1785" s="2">
        <v>356.00000000002302</v>
      </c>
      <c r="H1785" s="2" t="s">
        <v>20</v>
      </c>
      <c r="I1785" s="2">
        <v>0</v>
      </c>
      <c r="J1785" s="2">
        <v>0</v>
      </c>
      <c r="K1785" s="2">
        <v>0</v>
      </c>
      <c r="L1785" s="2">
        <v>3000000</v>
      </c>
      <c r="M1785" s="2">
        <v>87500</v>
      </c>
      <c r="N1785">
        <f t="shared" si="35"/>
        <v>3000356</v>
      </c>
      <c r="O1785" s="9" t="s">
        <v>5</v>
      </c>
    </row>
    <row r="1786" spans="1:15" x14ac:dyDescent="0.2">
      <c r="A1786">
        <v>33</v>
      </c>
      <c r="B1786">
        <v>5</v>
      </c>
      <c r="C1786">
        <v>5</v>
      </c>
      <c r="D1786" s="2">
        <v>2</v>
      </c>
      <c r="E1786" s="2">
        <v>3</v>
      </c>
      <c r="F1786" s="2" t="s">
        <v>5</v>
      </c>
      <c r="G1786" s="2">
        <v>485.39999999981399</v>
      </c>
      <c r="H1786" s="2" t="s">
        <v>20</v>
      </c>
      <c r="I1786" s="2">
        <v>0</v>
      </c>
      <c r="J1786" s="2">
        <v>0</v>
      </c>
      <c r="K1786" s="2">
        <v>0</v>
      </c>
      <c r="L1786" s="2">
        <v>3000000</v>
      </c>
      <c r="M1786" s="2">
        <v>18250</v>
      </c>
      <c r="N1786">
        <f t="shared" si="35"/>
        <v>3000485.4</v>
      </c>
      <c r="O1786" s="9" t="s">
        <v>5</v>
      </c>
    </row>
    <row r="1787" spans="1:15" x14ac:dyDescent="0.2">
      <c r="A1787">
        <v>34</v>
      </c>
      <c r="B1787">
        <v>5</v>
      </c>
      <c r="C1787">
        <v>5</v>
      </c>
      <c r="D1787" s="2">
        <v>2</v>
      </c>
      <c r="E1787" s="2">
        <v>1</v>
      </c>
      <c r="F1787" s="2" t="s">
        <v>5</v>
      </c>
      <c r="G1787" s="2">
        <v>307.60000000000798</v>
      </c>
      <c r="H1787" s="2" t="s">
        <v>20</v>
      </c>
      <c r="I1787" s="2">
        <v>0</v>
      </c>
      <c r="J1787" s="2">
        <v>0</v>
      </c>
      <c r="K1787" s="2">
        <v>0</v>
      </c>
      <c r="L1787" s="2">
        <v>3000000</v>
      </c>
      <c r="M1787" s="2">
        <v>68178</v>
      </c>
      <c r="N1787">
        <f t="shared" si="35"/>
        <v>3000307.6</v>
      </c>
      <c r="O1787" s="9" t="s">
        <v>5</v>
      </c>
    </row>
    <row r="1788" spans="1:15" x14ac:dyDescent="0.2">
      <c r="A1788">
        <v>35</v>
      </c>
      <c r="B1788">
        <v>5</v>
      </c>
      <c r="C1788">
        <v>6</v>
      </c>
      <c r="D1788" s="2">
        <v>2</v>
      </c>
      <c r="E1788" s="2">
        <v>1</v>
      </c>
      <c r="F1788" s="2" t="s">
        <v>5</v>
      </c>
      <c r="G1788" s="2">
        <v>378.80000000036802</v>
      </c>
      <c r="H1788" s="2" t="s">
        <v>20</v>
      </c>
      <c r="I1788" s="2">
        <v>0</v>
      </c>
      <c r="J1788" s="2">
        <v>0</v>
      </c>
      <c r="K1788" s="2">
        <v>0</v>
      </c>
      <c r="L1788" s="2">
        <v>3000000</v>
      </c>
      <c r="M1788" s="2">
        <v>89285</v>
      </c>
      <c r="N1788">
        <f t="shared" si="35"/>
        <v>3000378.8000000003</v>
      </c>
      <c r="O1788" s="9" t="s">
        <v>5</v>
      </c>
    </row>
    <row r="1789" spans="1:15" x14ac:dyDescent="0.2">
      <c r="A1789">
        <v>36</v>
      </c>
      <c r="B1789">
        <v>5</v>
      </c>
      <c r="C1789">
        <v>6</v>
      </c>
      <c r="D1789" s="2">
        <v>2</v>
      </c>
      <c r="E1789" s="2">
        <v>2</v>
      </c>
      <c r="F1789" s="2" t="s">
        <v>5</v>
      </c>
      <c r="G1789" s="2">
        <v>225.399999999709</v>
      </c>
      <c r="H1789" s="2" t="s">
        <v>20</v>
      </c>
      <c r="I1789" s="2">
        <v>0</v>
      </c>
      <c r="J1789" s="2">
        <v>0</v>
      </c>
      <c r="K1789" s="2">
        <v>0</v>
      </c>
      <c r="L1789" s="2">
        <v>3000000</v>
      </c>
      <c r="M1789" s="2">
        <v>89601</v>
      </c>
      <c r="N1789">
        <f t="shared" si="35"/>
        <v>3000225.4</v>
      </c>
      <c r="O1789" s="9" t="s">
        <v>5</v>
      </c>
    </row>
    <row r="1790" spans="1:15" x14ac:dyDescent="0.2">
      <c r="A1790">
        <v>37</v>
      </c>
      <c r="B1790">
        <v>5</v>
      </c>
      <c r="C1790">
        <v>6</v>
      </c>
      <c r="D1790" s="2">
        <v>2</v>
      </c>
      <c r="E1790" s="2">
        <v>3</v>
      </c>
      <c r="F1790" s="2" t="s">
        <v>5</v>
      </c>
      <c r="G1790" s="2">
        <v>317.40000000049002</v>
      </c>
      <c r="H1790" s="2" t="s">
        <v>20</v>
      </c>
      <c r="I1790" s="2">
        <v>0</v>
      </c>
      <c r="J1790" s="2">
        <v>0</v>
      </c>
      <c r="K1790" s="2">
        <v>0</v>
      </c>
      <c r="L1790" s="2">
        <v>3000000</v>
      </c>
      <c r="M1790" s="2">
        <v>112563</v>
      </c>
      <c r="N1790">
        <f t="shared" si="35"/>
        <v>3000317.4000000004</v>
      </c>
      <c r="O1790" s="9" t="s">
        <v>5</v>
      </c>
    </row>
    <row r="1791" spans="1:15" x14ac:dyDescent="0.2">
      <c r="A1791">
        <v>38</v>
      </c>
      <c r="B1791">
        <v>5</v>
      </c>
      <c r="C1791">
        <v>6</v>
      </c>
      <c r="D1791" s="2">
        <v>2</v>
      </c>
      <c r="E1791" s="2">
        <v>1</v>
      </c>
      <c r="F1791" s="2" t="s">
        <v>5</v>
      </c>
      <c r="G1791" s="2">
        <v>206.39999999971801</v>
      </c>
      <c r="H1791" s="2" t="s">
        <v>20</v>
      </c>
      <c r="I1791" s="2">
        <v>0</v>
      </c>
      <c r="J1791" s="2">
        <v>0</v>
      </c>
      <c r="K1791" s="2">
        <v>0</v>
      </c>
      <c r="L1791" s="2">
        <v>3000000</v>
      </c>
      <c r="M1791" s="2">
        <v>53956</v>
      </c>
      <c r="N1791">
        <f t="shared" si="35"/>
        <v>3000206.4</v>
      </c>
      <c r="O1791" s="9" t="s">
        <v>5</v>
      </c>
    </row>
    <row r="1792" spans="1:15" x14ac:dyDescent="0.2">
      <c r="A1792">
        <v>39</v>
      </c>
      <c r="B1792">
        <v>5</v>
      </c>
      <c r="C1792">
        <v>7</v>
      </c>
      <c r="D1792" s="2">
        <v>2</v>
      </c>
      <c r="E1792" s="2">
        <v>1</v>
      </c>
      <c r="F1792" s="2" t="s">
        <v>5</v>
      </c>
      <c r="G1792" s="2">
        <v>257.600000000124</v>
      </c>
      <c r="H1792" s="2" t="s">
        <v>20</v>
      </c>
      <c r="I1792" s="2">
        <v>0</v>
      </c>
      <c r="J1792" s="2">
        <v>0</v>
      </c>
      <c r="K1792" s="2">
        <v>0</v>
      </c>
      <c r="L1792" s="2">
        <v>3000000</v>
      </c>
      <c r="M1792" s="2">
        <v>109103</v>
      </c>
      <c r="N1792">
        <f t="shared" si="35"/>
        <v>3000257.6</v>
      </c>
      <c r="O1792" s="9" t="s">
        <v>5</v>
      </c>
    </row>
    <row r="1793" spans="1:15" x14ac:dyDescent="0.2">
      <c r="A1793">
        <v>40</v>
      </c>
      <c r="B1793">
        <v>5</v>
      </c>
      <c r="C1793">
        <v>7</v>
      </c>
      <c r="D1793" s="2">
        <v>2</v>
      </c>
      <c r="E1793" s="2">
        <v>2</v>
      </c>
      <c r="F1793" s="2" t="s">
        <v>5</v>
      </c>
      <c r="G1793" s="2">
        <v>242.59999999962599</v>
      </c>
      <c r="H1793" s="2" t="s">
        <v>20</v>
      </c>
      <c r="I1793" s="2">
        <v>0</v>
      </c>
      <c r="J1793" s="2">
        <v>0</v>
      </c>
      <c r="K1793" s="2">
        <v>0</v>
      </c>
      <c r="L1793" s="2">
        <v>3000000</v>
      </c>
      <c r="M1793" s="2">
        <v>109954</v>
      </c>
      <c r="N1793">
        <f t="shared" si="35"/>
        <v>3000242.5999999996</v>
      </c>
      <c r="O1793" s="9" t="s">
        <v>5</v>
      </c>
    </row>
    <row r="1794" spans="1:15" x14ac:dyDescent="0.2">
      <c r="A1794">
        <v>41</v>
      </c>
      <c r="B1794">
        <v>5</v>
      </c>
      <c r="C1794">
        <v>7</v>
      </c>
      <c r="D1794" s="2">
        <v>2</v>
      </c>
      <c r="E1794" s="2">
        <v>3</v>
      </c>
      <c r="F1794" s="2" t="s">
        <v>5</v>
      </c>
      <c r="G1794" s="2">
        <v>354.20000000030399</v>
      </c>
      <c r="H1794" s="2" t="s">
        <v>20</v>
      </c>
      <c r="I1794" s="2">
        <v>0</v>
      </c>
      <c r="J1794" s="2">
        <v>0</v>
      </c>
      <c r="K1794" s="2">
        <v>0</v>
      </c>
      <c r="L1794" s="2">
        <v>3000000</v>
      </c>
      <c r="M1794" s="2">
        <v>97158</v>
      </c>
      <c r="N1794">
        <f t="shared" si="35"/>
        <v>3000354.2</v>
      </c>
      <c r="O1794" s="9" t="s">
        <v>5</v>
      </c>
    </row>
    <row r="1795" spans="1:15" x14ac:dyDescent="0.2">
      <c r="A1795">
        <v>42</v>
      </c>
      <c r="B1795">
        <v>5</v>
      </c>
      <c r="C1795">
        <v>4</v>
      </c>
      <c r="D1795" s="2">
        <v>2</v>
      </c>
      <c r="E1795" s="2">
        <v>1</v>
      </c>
      <c r="F1795" s="2" t="s">
        <v>5</v>
      </c>
      <c r="G1795" s="2">
        <v>129.800000000202</v>
      </c>
      <c r="H1795" s="2" t="s">
        <v>20</v>
      </c>
      <c r="I1795" s="2">
        <v>0</v>
      </c>
      <c r="J1795" s="2">
        <v>0</v>
      </c>
      <c r="K1795" s="2">
        <v>0</v>
      </c>
      <c r="L1795" s="2">
        <v>3000000</v>
      </c>
      <c r="M1795" s="2">
        <v>99787</v>
      </c>
      <c r="N1795">
        <f t="shared" si="35"/>
        <v>3000129.8000000003</v>
      </c>
      <c r="O1795" s="9" t="s">
        <v>5</v>
      </c>
    </row>
    <row r="1796" spans="1:15" x14ac:dyDescent="0.2">
      <c r="A1796">
        <v>43</v>
      </c>
      <c r="B1796">
        <v>5</v>
      </c>
      <c r="C1796">
        <v>5</v>
      </c>
      <c r="D1796" s="2">
        <v>2</v>
      </c>
      <c r="E1796" s="2">
        <v>1</v>
      </c>
      <c r="F1796" s="2" t="s">
        <v>5</v>
      </c>
      <c r="G1796" s="2">
        <v>157.00000000009601</v>
      </c>
      <c r="H1796" s="2" t="s">
        <v>20</v>
      </c>
      <c r="I1796" s="2">
        <v>0</v>
      </c>
      <c r="J1796" s="2">
        <v>0</v>
      </c>
      <c r="K1796" s="2">
        <v>0</v>
      </c>
      <c r="L1796" s="2">
        <v>3000000</v>
      </c>
      <c r="M1796" s="2">
        <v>169118</v>
      </c>
      <c r="N1796">
        <f t="shared" si="35"/>
        <v>3000157</v>
      </c>
      <c r="O1796" s="9" t="s">
        <v>5</v>
      </c>
    </row>
    <row r="1797" spans="1:15" x14ac:dyDescent="0.2">
      <c r="A1797">
        <v>44</v>
      </c>
      <c r="B1797">
        <v>5</v>
      </c>
      <c r="C1797">
        <v>5</v>
      </c>
      <c r="D1797" s="2">
        <v>2</v>
      </c>
      <c r="E1797" s="2">
        <v>2</v>
      </c>
      <c r="F1797" s="2" t="s">
        <v>5</v>
      </c>
      <c r="G1797" s="2">
        <v>156.599999999685</v>
      </c>
      <c r="H1797" s="2" t="s">
        <v>20</v>
      </c>
      <c r="I1797" s="2">
        <v>0</v>
      </c>
      <c r="J1797" s="2">
        <v>0</v>
      </c>
      <c r="K1797" s="2">
        <v>0</v>
      </c>
      <c r="L1797" s="2">
        <v>3000000</v>
      </c>
      <c r="M1797" s="2">
        <v>86059</v>
      </c>
      <c r="N1797">
        <f t="shared" si="35"/>
        <v>3000156.5999999996</v>
      </c>
      <c r="O1797" s="9" t="s">
        <v>5</v>
      </c>
    </row>
    <row r="1798" spans="1:15" x14ac:dyDescent="0.2">
      <c r="A1798">
        <v>45</v>
      </c>
      <c r="B1798">
        <v>5</v>
      </c>
      <c r="C1798">
        <v>5</v>
      </c>
      <c r="D1798" s="2">
        <v>2</v>
      </c>
      <c r="E1798" s="2">
        <v>3</v>
      </c>
      <c r="F1798" s="2" t="s">
        <v>5</v>
      </c>
      <c r="G1798" s="2">
        <v>211.00000000018301</v>
      </c>
      <c r="H1798" s="2" t="s">
        <v>20</v>
      </c>
      <c r="I1798" s="2">
        <v>0</v>
      </c>
      <c r="J1798" s="2">
        <v>0</v>
      </c>
      <c r="K1798" s="2">
        <v>0</v>
      </c>
      <c r="L1798" s="2">
        <v>3000000</v>
      </c>
      <c r="M1798" s="2">
        <v>90437</v>
      </c>
      <c r="N1798">
        <f t="shared" si="35"/>
        <v>3000211</v>
      </c>
      <c r="O1798" s="9" t="s">
        <v>5</v>
      </c>
    </row>
    <row r="1799" spans="1:15" x14ac:dyDescent="0.2">
      <c r="A1799">
        <v>46</v>
      </c>
      <c r="B1799">
        <v>5</v>
      </c>
      <c r="C1799">
        <v>6</v>
      </c>
      <c r="D1799" s="2">
        <v>2</v>
      </c>
      <c r="E1799" s="2">
        <v>1</v>
      </c>
      <c r="F1799" s="2" t="s">
        <v>5</v>
      </c>
      <c r="G1799" s="2">
        <v>189.400000000006</v>
      </c>
      <c r="H1799" s="2" t="s">
        <v>20</v>
      </c>
      <c r="I1799" s="2">
        <v>0</v>
      </c>
      <c r="J1799" s="2">
        <v>0</v>
      </c>
      <c r="K1799" s="2">
        <v>0</v>
      </c>
      <c r="L1799" s="2">
        <v>3000000</v>
      </c>
      <c r="M1799" s="2">
        <v>105496</v>
      </c>
      <c r="N1799">
        <f t="shared" si="35"/>
        <v>3000189.4</v>
      </c>
      <c r="O1799" s="9" t="s">
        <v>5</v>
      </c>
    </row>
    <row r="1800" spans="1:15" x14ac:dyDescent="0.2">
      <c r="A1800">
        <v>47</v>
      </c>
      <c r="B1800">
        <v>5</v>
      </c>
      <c r="C1800">
        <v>6</v>
      </c>
      <c r="D1800" s="2">
        <v>2</v>
      </c>
      <c r="E1800" s="2">
        <v>2</v>
      </c>
      <c r="F1800" s="2" t="s">
        <v>5</v>
      </c>
      <c r="G1800" s="2">
        <v>193.80000000026601</v>
      </c>
      <c r="H1800" s="2" t="s">
        <v>20</v>
      </c>
      <c r="I1800" s="2">
        <v>0</v>
      </c>
      <c r="J1800" s="2">
        <v>0</v>
      </c>
      <c r="K1800" s="2">
        <v>0</v>
      </c>
      <c r="L1800" s="2">
        <v>3000000</v>
      </c>
      <c r="M1800" s="2">
        <v>107682</v>
      </c>
      <c r="N1800">
        <f t="shared" si="35"/>
        <v>3000193.8000000003</v>
      </c>
      <c r="O1800" s="9" t="s">
        <v>5</v>
      </c>
    </row>
    <row r="1801" spans="1:15" x14ac:dyDescent="0.2">
      <c r="A1801">
        <v>48</v>
      </c>
      <c r="B1801">
        <v>5</v>
      </c>
      <c r="C1801">
        <v>6</v>
      </c>
      <c r="D1801" s="2">
        <v>2</v>
      </c>
      <c r="E1801" s="2">
        <v>3</v>
      </c>
      <c r="F1801" s="2" t="s">
        <v>5</v>
      </c>
      <c r="G1801" s="2">
        <v>249.79999999992199</v>
      </c>
      <c r="H1801" s="2" t="s">
        <v>20</v>
      </c>
      <c r="I1801" s="2">
        <v>0</v>
      </c>
      <c r="J1801" s="2">
        <v>0</v>
      </c>
      <c r="K1801" s="2">
        <v>0</v>
      </c>
      <c r="L1801" s="2">
        <v>3000000</v>
      </c>
      <c r="M1801" s="2">
        <v>56319</v>
      </c>
      <c r="N1801">
        <f t="shared" si="35"/>
        <v>3000249.8</v>
      </c>
      <c r="O1801" s="9" t="s">
        <v>5</v>
      </c>
    </row>
    <row r="1802" spans="1:15" x14ac:dyDescent="0.2">
      <c r="A1802">
        <v>49</v>
      </c>
      <c r="B1802">
        <v>5</v>
      </c>
      <c r="C1802">
        <v>6</v>
      </c>
      <c r="D1802" s="2">
        <v>2</v>
      </c>
      <c r="E1802" s="2">
        <v>1</v>
      </c>
      <c r="F1802" s="2" t="s">
        <v>5</v>
      </c>
      <c r="G1802" s="2">
        <v>183.19999999931699</v>
      </c>
      <c r="H1802" s="2" t="s">
        <v>20</v>
      </c>
      <c r="I1802" s="2">
        <v>0</v>
      </c>
      <c r="J1802" s="2">
        <v>0</v>
      </c>
      <c r="K1802" s="2">
        <v>0</v>
      </c>
      <c r="L1802" s="2">
        <v>3000000</v>
      </c>
      <c r="M1802" s="2">
        <v>71623</v>
      </c>
      <c r="N1802">
        <f t="shared" si="35"/>
        <v>3000183.1999999993</v>
      </c>
      <c r="O1802" s="9" t="s">
        <v>5</v>
      </c>
    </row>
    <row r="1803" spans="1:15" x14ac:dyDescent="0.2">
      <c r="A1803">
        <v>50</v>
      </c>
      <c r="B1803">
        <v>5</v>
      </c>
      <c r="C1803">
        <v>6</v>
      </c>
      <c r="D1803" s="2">
        <v>2</v>
      </c>
      <c r="E1803" s="2">
        <v>2</v>
      </c>
      <c r="F1803" s="2" t="s">
        <v>5</v>
      </c>
      <c r="G1803" s="2">
        <v>190.800000000024</v>
      </c>
      <c r="H1803" s="2" t="s">
        <v>20</v>
      </c>
      <c r="I1803" s="2">
        <v>0</v>
      </c>
      <c r="J1803" s="2">
        <v>0</v>
      </c>
      <c r="K1803" s="2">
        <v>0</v>
      </c>
      <c r="L1803" s="2">
        <v>3000000</v>
      </c>
      <c r="M1803" s="2">
        <v>53994</v>
      </c>
      <c r="N1803">
        <f t="shared" si="35"/>
        <v>3000190.8</v>
      </c>
      <c r="O1803" s="9" t="s">
        <v>5</v>
      </c>
    </row>
    <row r="1804" spans="1:15" x14ac:dyDescent="0.2">
      <c r="A1804">
        <v>51</v>
      </c>
      <c r="B1804">
        <v>5</v>
      </c>
      <c r="C1804">
        <v>6</v>
      </c>
      <c r="D1804" s="2">
        <v>2</v>
      </c>
      <c r="E1804" s="2">
        <v>3</v>
      </c>
      <c r="F1804" s="2" t="s">
        <v>5</v>
      </c>
      <c r="G1804" s="2">
        <v>252.19999999990301</v>
      </c>
      <c r="H1804" s="2" t="s">
        <v>20</v>
      </c>
      <c r="I1804" s="2">
        <v>0</v>
      </c>
      <c r="J1804" s="2">
        <v>0</v>
      </c>
      <c r="K1804" s="2">
        <v>0</v>
      </c>
      <c r="L1804" s="2">
        <v>3000000</v>
      </c>
      <c r="M1804" s="2">
        <v>75156</v>
      </c>
      <c r="N1804">
        <f t="shared" si="35"/>
        <v>3000252.1999999997</v>
      </c>
      <c r="O1804" s="9" t="s">
        <v>5</v>
      </c>
    </row>
    <row r="1805" spans="1:15" x14ac:dyDescent="0.2">
      <c r="A1805">
        <v>52</v>
      </c>
      <c r="B1805">
        <v>5</v>
      </c>
      <c r="C1805">
        <v>7</v>
      </c>
      <c r="D1805" s="2">
        <v>2</v>
      </c>
      <c r="E1805" s="2">
        <v>1</v>
      </c>
      <c r="F1805" s="2" t="s">
        <v>5</v>
      </c>
      <c r="G1805" s="2">
        <v>219.40000000029201</v>
      </c>
      <c r="H1805" s="2" t="s">
        <v>20</v>
      </c>
      <c r="I1805" s="2">
        <v>0</v>
      </c>
      <c r="J1805" s="2">
        <v>0</v>
      </c>
      <c r="K1805" s="2">
        <v>0</v>
      </c>
      <c r="L1805" s="2">
        <v>3000000</v>
      </c>
      <c r="M1805" s="2">
        <v>72732</v>
      </c>
      <c r="N1805">
        <f t="shared" si="35"/>
        <v>3000219.4000000004</v>
      </c>
      <c r="O1805" s="9" t="s">
        <v>5</v>
      </c>
    </row>
    <row r="1806" spans="1:15" x14ac:dyDescent="0.2">
      <c r="A1806">
        <v>53</v>
      </c>
      <c r="B1806">
        <v>5</v>
      </c>
      <c r="C1806">
        <v>7</v>
      </c>
      <c r="D1806" s="2">
        <v>2</v>
      </c>
      <c r="E1806" s="2">
        <v>2</v>
      </c>
      <c r="F1806" s="2" t="s">
        <v>5</v>
      </c>
      <c r="G1806" s="2">
        <v>218.80000000038501</v>
      </c>
      <c r="H1806" s="2" t="s">
        <v>20</v>
      </c>
      <c r="I1806" s="2">
        <v>0</v>
      </c>
      <c r="J1806" s="2">
        <v>0</v>
      </c>
      <c r="K1806" s="2">
        <v>0</v>
      </c>
      <c r="L1806" s="2">
        <v>3000000</v>
      </c>
      <c r="M1806" s="2">
        <v>18374</v>
      </c>
      <c r="N1806">
        <f t="shared" si="35"/>
        <v>3000218.8000000003</v>
      </c>
      <c r="O1806" s="9" t="s">
        <v>5</v>
      </c>
    </row>
    <row r="1807" spans="1:15" x14ac:dyDescent="0.2">
      <c r="A1807">
        <v>54</v>
      </c>
      <c r="B1807">
        <v>5</v>
      </c>
      <c r="C1807">
        <v>7</v>
      </c>
      <c r="D1807" s="2">
        <v>2</v>
      </c>
      <c r="E1807" s="2">
        <v>3</v>
      </c>
      <c r="F1807" s="2" t="s">
        <v>5</v>
      </c>
      <c r="G1807" s="2">
        <v>306.40000000019501</v>
      </c>
      <c r="H1807" s="2" t="s">
        <v>20</v>
      </c>
      <c r="I1807" s="2">
        <v>0</v>
      </c>
      <c r="J1807" s="2">
        <v>0</v>
      </c>
      <c r="K1807" s="2">
        <v>0</v>
      </c>
      <c r="L1807" s="2">
        <v>3000000</v>
      </c>
      <c r="M1807" s="2">
        <v>19278</v>
      </c>
      <c r="N1807">
        <f t="shared" si="35"/>
        <v>3000306.4000000004</v>
      </c>
      <c r="O1807" s="9" t="s">
        <v>5</v>
      </c>
    </row>
    <row r="1808" spans="1:15" x14ac:dyDescent="0.2">
      <c r="A1808">
        <v>55</v>
      </c>
      <c r="B1808">
        <v>5</v>
      </c>
      <c r="C1808">
        <v>5</v>
      </c>
      <c r="D1808" s="2">
        <v>2</v>
      </c>
      <c r="E1808" s="2">
        <v>1</v>
      </c>
      <c r="F1808" s="2" t="s">
        <v>5</v>
      </c>
      <c r="G1808" s="2">
        <v>140.60000000064599</v>
      </c>
      <c r="H1808" s="2" t="s">
        <v>20</v>
      </c>
      <c r="I1808" s="2">
        <v>0</v>
      </c>
      <c r="J1808" s="2">
        <v>0</v>
      </c>
      <c r="K1808" s="2">
        <v>0</v>
      </c>
      <c r="L1808" s="2">
        <v>3000000</v>
      </c>
      <c r="M1808" s="2">
        <v>16745</v>
      </c>
      <c r="N1808">
        <f t="shared" si="35"/>
        <v>3000140.6000000006</v>
      </c>
      <c r="O1808" s="9" t="s">
        <v>5</v>
      </c>
    </row>
    <row r="1809" spans="1:15" x14ac:dyDescent="0.2">
      <c r="A1809">
        <v>56</v>
      </c>
      <c r="B1809">
        <v>5</v>
      </c>
      <c r="C1809">
        <v>5</v>
      </c>
      <c r="D1809" s="2">
        <v>2</v>
      </c>
      <c r="E1809" s="2">
        <v>2</v>
      </c>
      <c r="F1809" s="2" t="s">
        <v>5</v>
      </c>
      <c r="G1809" s="2">
        <v>137.60000000004899</v>
      </c>
      <c r="H1809" s="2" t="s">
        <v>20</v>
      </c>
      <c r="I1809" s="2">
        <v>0</v>
      </c>
      <c r="J1809" s="2">
        <v>0</v>
      </c>
      <c r="K1809" s="2">
        <v>0</v>
      </c>
      <c r="L1809" s="2">
        <v>3000000</v>
      </c>
      <c r="M1809" s="2">
        <v>17321</v>
      </c>
      <c r="N1809">
        <f t="shared" si="35"/>
        <v>3000137.6</v>
      </c>
      <c r="O1809" s="9" t="s">
        <v>5</v>
      </c>
    </row>
    <row r="1810" spans="1:15" x14ac:dyDescent="0.2">
      <c r="A1810">
        <v>57</v>
      </c>
      <c r="B1810">
        <v>5</v>
      </c>
      <c r="C1810">
        <v>5</v>
      </c>
      <c r="D1810" s="2">
        <v>2</v>
      </c>
      <c r="E1810" s="2">
        <v>3</v>
      </c>
      <c r="F1810" s="2" t="s">
        <v>5</v>
      </c>
      <c r="G1810" s="2">
        <v>183.39999999987799</v>
      </c>
      <c r="H1810" s="2" t="s">
        <v>20</v>
      </c>
      <c r="I1810" s="2">
        <v>0</v>
      </c>
      <c r="J1810" s="2">
        <v>0</v>
      </c>
      <c r="K1810" s="2">
        <v>0</v>
      </c>
      <c r="L1810" s="2">
        <v>3000000</v>
      </c>
      <c r="M1810" s="2">
        <v>18250</v>
      </c>
      <c r="N1810">
        <f t="shared" si="35"/>
        <v>3000183.4</v>
      </c>
      <c r="O1810" s="9" t="s">
        <v>5</v>
      </c>
    </row>
    <row r="1811" spans="1:15" x14ac:dyDescent="0.2">
      <c r="A1811">
        <v>58</v>
      </c>
      <c r="B1811">
        <v>5</v>
      </c>
      <c r="C1811">
        <v>6</v>
      </c>
      <c r="D1811" s="2">
        <v>2</v>
      </c>
      <c r="E1811" s="2">
        <v>1</v>
      </c>
      <c r="F1811" s="2" t="s">
        <v>5</v>
      </c>
      <c r="G1811" s="2">
        <v>215.599999999228</v>
      </c>
      <c r="H1811" s="2" t="s">
        <v>20</v>
      </c>
      <c r="I1811" s="2">
        <v>0</v>
      </c>
      <c r="J1811" s="2">
        <v>0</v>
      </c>
      <c r="K1811" s="2">
        <v>0</v>
      </c>
      <c r="L1811" s="2">
        <v>3000000</v>
      </c>
      <c r="M1811" s="2">
        <v>0</v>
      </c>
      <c r="N1811">
        <f t="shared" si="35"/>
        <v>3000215.5999999992</v>
      </c>
      <c r="O1811" s="9" t="s">
        <v>5</v>
      </c>
    </row>
    <row r="1812" spans="1:15" x14ac:dyDescent="0.2">
      <c r="A1812">
        <v>59</v>
      </c>
      <c r="B1812">
        <v>5</v>
      </c>
      <c r="C1812">
        <v>6</v>
      </c>
      <c r="D1812" s="2">
        <v>2</v>
      </c>
      <c r="E1812" s="2">
        <v>2</v>
      </c>
      <c r="F1812" s="2" t="s">
        <v>5</v>
      </c>
      <c r="G1812" s="2">
        <v>212.39999999984599</v>
      </c>
      <c r="H1812" s="2" t="s">
        <v>20</v>
      </c>
      <c r="I1812" s="2">
        <v>0</v>
      </c>
      <c r="J1812" s="2">
        <v>0</v>
      </c>
      <c r="K1812" s="2">
        <v>0</v>
      </c>
      <c r="L1812" s="2">
        <v>3000000</v>
      </c>
      <c r="M1812" s="2">
        <v>17985</v>
      </c>
      <c r="N1812">
        <f t="shared" si="35"/>
        <v>3000212.4</v>
      </c>
      <c r="O1812" s="9" t="s">
        <v>5</v>
      </c>
    </row>
    <row r="1813" spans="1:15" x14ac:dyDescent="0.2">
      <c r="A1813">
        <v>60</v>
      </c>
      <c r="B1813">
        <v>5</v>
      </c>
      <c r="C1813">
        <v>6</v>
      </c>
      <c r="D1813" s="2">
        <v>2</v>
      </c>
      <c r="E1813" s="2">
        <v>3</v>
      </c>
      <c r="F1813" s="2" t="s">
        <v>5</v>
      </c>
      <c r="G1813" s="2">
        <v>288.40000000016602</v>
      </c>
      <c r="H1813" s="2" t="s">
        <v>20</v>
      </c>
      <c r="I1813" s="2">
        <v>0</v>
      </c>
      <c r="J1813" s="2">
        <v>0</v>
      </c>
      <c r="K1813" s="2">
        <v>0</v>
      </c>
      <c r="L1813" s="2">
        <v>3000000</v>
      </c>
      <c r="M1813" s="2">
        <v>0</v>
      </c>
      <c r="N1813">
        <f t="shared" si="35"/>
        <v>3000288.4000000004</v>
      </c>
      <c r="O1813" s="9" t="s">
        <v>5</v>
      </c>
    </row>
    <row r="1814" spans="1:15" x14ac:dyDescent="0.2">
      <c r="A1814">
        <v>61</v>
      </c>
      <c r="B1814">
        <v>5</v>
      </c>
      <c r="C1814">
        <v>7</v>
      </c>
      <c r="D1814" s="2">
        <v>2</v>
      </c>
      <c r="E1814" s="2">
        <v>1</v>
      </c>
      <c r="F1814" s="2" t="s">
        <v>5</v>
      </c>
      <c r="G1814" s="2">
        <v>230.60000000043601</v>
      </c>
      <c r="H1814" s="2" t="s">
        <v>20</v>
      </c>
      <c r="I1814" s="2">
        <v>0</v>
      </c>
      <c r="J1814" s="2">
        <v>0</v>
      </c>
      <c r="K1814" s="2">
        <v>0</v>
      </c>
      <c r="L1814" s="2">
        <v>3000000</v>
      </c>
      <c r="M1814" s="2">
        <v>0</v>
      </c>
      <c r="N1814">
        <f t="shared" si="35"/>
        <v>3000230.6000000006</v>
      </c>
      <c r="O1814" s="9" t="s">
        <v>5</v>
      </c>
    </row>
    <row r="1815" spans="1:15" x14ac:dyDescent="0.2">
      <c r="A1815">
        <v>62</v>
      </c>
      <c r="B1815">
        <v>5</v>
      </c>
      <c r="C1815">
        <v>7</v>
      </c>
      <c r="D1815" s="2">
        <v>2</v>
      </c>
      <c r="E1815" s="2">
        <v>2</v>
      </c>
      <c r="F1815" s="2" t="s">
        <v>5</v>
      </c>
      <c r="G1815" s="2">
        <v>233.80000000017299</v>
      </c>
      <c r="H1815" s="2" t="s">
        <v>20</v>
      </c>
      <c r="I1815" s="2">
        <v>0</v>
      </c>
      <c r="J1815" s="2">
        <v>0</v>
      </c>
      <c r="K1815" s="2">
        <v>0</v>
      </c>
      <c r="L1815" s="2">
        <v>3000000</v>
      </c>
      <c r="M1815" s="2">
        <v>55158</v>
      </c>
      <c r="N1815">
        <f t="shared" si="35"/>
        <v>3000233.8000000003</v>
      </c>
      <c r="O1815" s="9" t="s">
        <v>5</v>
      </c>
    </row>
    <row r="1816" spans="1:15" x14ac:dyDescent="0.2">
      <c r="A1816">
        <v>63</v>
      </c>
      <c r="B1816">
        <v>5</v>
      </c>
      <c r="C1816">
        <v>7</v>
      </c>
      <c r="D1816" s="2">
        <v>2</v>
      </c>
      <c r="E1816" s="2">
        <v>3</v>
      </c>
      <c r="F1816" s="2" t="s">
        <v>5</v>
      </c>
      <c r="G1816" s="2">
        <v>359.799999999666</v>
      </c>
      <c r="H1816" s="2" t="s">
        <v>20</v>
      </c>
      <c r="I1816" s="2">
        <v>0</v>
      </c>
      <c r="J1816" s="2">
        <v>0</v>
      </c>
      <c r="K1816" s="2">
        <v>0</v>
      </c>
      <c r="L1816" s="2">
        <v>3000000</v>
      </c>
      <c r="M1816" s="2">
        <v>78528</v>
      </c>
      <c r="N1816">
        <f t="shared" si="35"/>
        <v>3000359.8</v>
      </c>
      <c r="O1816" s="9" t="s">
        <v>5</v>
      </c>
    </row>
    <row r="1817" spans="1:15" x14ac:dyDescent="0.2">
      <c r="A1817">
        <v>64</v>
      </c>
      <c r="B1817">
        <v>5</v>
      </c>
      <c r="C1817">
        <v>8</v>
      </c>
      <c r="D1817" s="2">
        <v>2</v>
      </c>
      <c r="E1817" s="2">
        <v>1</v>
      </c>
      <c r="F1817" s="2" t="s">
        <v>5</v>
      </c>
      <c r="G1817" s="2">
        <v>274.00000000028501</v>
      </c>
      <c r="H1817" s="2" t="s">
        <v>20</v>
      </c>
      <c r="I1817" s="2">
        <v>0</v>
      </c>
      <c r="J1817" s="2">
        <v>0</v>
      </c>
      <c r="K1817" s="2">
        <v>0</v>
      </c>
      <c r="L1817" s="2">
        <v>3000000</v>
      </c>
      <c r="M1817" s="2">
        <v>17832</v>
      </c>
      <c r="N1817">
        <f t="shared" si="35"/>
        <v>3000274.0000000005</v>
      </c>
      <c r="O1817" s="9" t="s">
        <v>5</v>
      </c>
    </row>
    <row r="1818" spans="1:15" x14ac:dyDescent="0.2">
      <c r="A1818">
        <v>65</v>
      </c>
      <c r="B1818">
        <v>5</v>
      </c>
      <c r="C1818">
        <v>8</v>
      </c>
      <c r="D1818" s="2">
        <v>2</v>
      </c>
      <c r="E1818" s="2">
        <v>2</v>
      </c>
      <c r="F1818" s="2" t="s">
        <v>5</v>
      </c>
      <c r="G1818" s="2">
        <v>271.20000000024902</v>
      </c>
      <c r="H1818" s="2" t="s">
        <v>20</v>
      </c>
      <c r="I1818" s="2">
        <v>0</v>
      </c>
      <c r="J1818" s="2">
        <v>0</v>
      </c>
      <c r="K1818" s="2">
        <v>0</v>
      </c>
      <c r="L1818" s="2">
        <v>3000000</v>
      </c>
      <c r="M1818" s="2">
        <v>37508</v>
      </c>
      <c r="N1818">
        <f t="shared" si="35"/>
        <v>3000271.2</v>
      </c>
      <c r="O1818" s="9" t="s">
        <v>5</v>
      </c>
    </row>
    <row r="1819" spans="1:15" x14ac:dyDescent="0.2">
      <c r="A1819">
        <v>66</v>
      </c>
      <c r="B1819">
        <v>5</v>
      </c>
      <c r="C1819">
        <v>8</v>
      </c>
      <c r="D1819" s="2">
        <v>2</v>
      </c>
      <c r="E1819" s="2">
        <v>3</v>
      </c>
      <c r="F1819" s="2" t="s">
        <v>5</v>
      </c>
      <c r="G1819" s="2">
        <v>390.99999999976399</v>
      </c>
      <c r="H1819" s="2" t="s">
        <v>20</v>
      </c>
      <c r="I1819" s="2">
        <v>0</v>
      </c>
      <c r="J1819" s="2">
        <v>0</v>
      </c>
      <c r="K1819" s="2">
        <v>0</v>
      </c>
      <c r="L1819" s="2">
        <v>3000000</v>
      </c>
      <c r="M1819" s="2">
        <v>87576</v>
      </c>
      <c r="N1819">
        <f t="shared" si="35"/>
        <v>3000390.9999999995</v>
      </c>
      <c r="O1819" s="9" t="s">
        <v>5</v>
      </c>
    </row>
    <row r="1820" spans="1:15" x14ac:dyDescent="0.2">
      <c r="A1820">
        <v>67</v>
      </c>
      <c r="B1820">
        <v>5</v>
      </c>
      <c r="C1820">
        <v>7</v>
      </c>
      <c r="D1820" s="2">
        <v>2</v>
      </c>
      <c r="E1820" s="2">
        <v>1</v>
      </c>
      <c r="F1820" s="2" t="s">
        <v>5</v>
      </c>
      <c r="G1820" s="2">
        <v>210.20000000007099</v>
      </c>
      <c r="H1820" s="2" t="s">
        <v>20</v>
      </c>
      <c r="I1820" s="2">
        <v>0</v>
      </c>
      <c r="J1820" s="2">
        <v>0</v>
      </c>
      <c r="K1820" s="2">
        <v>0</v>
      </c>
      <c r="L1820" s="2">
        <v>3000000</v>
      </c>
      <c r="M1820" s="2">
        <v>180601</v>
      </c>
      <c r="N1820">
        <f t="shared" si="35"/>
        <v>3000210.2</v>
      </c>
      <c r="O1820" s="9" t="s">
        <v>5</v>
      </c>
    </row>
    <row r="1821" spans="1:15" x14ac:dyDescent="0.2">
      <c r="A1821">
        <v>68</v>
      </c>
      <c r="B1821">
        <v>5</v>
      </c>
      <c r="C1821">
        <v>7</v>
      </c>
      <c r="D1821" s="2">
        <v>2</v>
      </c>
      <c r="E1821" s="2">
        <v>2</v>
      </c>
      <c r="F1821" s="2" t="s">
        <v>5</v>
      </c>
      <c r="G1821" s="2">
        <v>210.00000000022101</v>
      </c>
      <c r="H1821" s="2" t="s">
        <v>20</v>
      </c>
      <c r="I1821" s="2">
        <v>0</v>
      </c>
      <c r="J1821" s="2">
        <v>0</v>
      </c>
      <c r="K1821" s="2">
        <v>0</v>
      </c>
      <c r="L1821" s="2">
        <v>3000000</v>
      </c>
      <c r="M1821" s="2">
        <v>110279</v>
      </c>
      <c r="N1821">
        <f t="shared" si="35"/>
        <v>3000210</v>
      </c>
      <c r="O1821" s="9" t="s">
        <v>5</v>
      </c>
    </row>
    <row r="1822" spans="1:15" x14ac:dyDescent="0.2">
      <c r="A1822">
        <v>69</v>
      </c>
      <c r="B1822">
        <v>5</v>
      </c>
      <c r="C1822">
        <v>7</v>
      </c>
      <c r="D1822" s="2">
        <v>2</v>
      </c>
      <c r="E1822" s="2">
        <v>3</v>
      </c>
      <c r="F1822" s="2" t="s">
        <v>5</v>
      </c>
      <c r="G1822" s="2">
        <v>292.59999999986502</v>
      </c>
      <c r="H1822" s="2" t="s">
        <v>20</v>
      </c>
      <c r="I1822" s="2">
        <v>0</v>
      </c>
      <c r="J1822" s="2">
        <v>0</v>
      </c>
      <c r="K1822" s="2">
        <v>0</v>
      </c>
      <c r="L1822" s="2">
        <v>3000000</v>
      </c>
      <c r="M1822" s="2">
        <v>137709</v>
      </c>
      <c r="N1822">
        <f t="shared" si="35"/>
        <v>3000292.6</v>
      </c>
      <c r="O1822" s="9" t="s">
        <v>5</v>
      </c>
    </row>
    <row r="1823" spans="1:15" x14ac:dyDescent="0.2">
      <c r="A1823">
        <v>28</v>
      </c>
      <c r="B1823">
        <v>5</v>
      </c>
      <c r="C1823">
        <v>4</v>
      </c>
      <c r="D1823" s="2">
        <v>2</v>
      </c>
      <c r="E1823" s="2">
        <v>1</v>
      </c>
      <c r="F1823" s="2" t="s">
        <v>4</v>
      </c>
      <c r="G1823" s="2">
        <v>901.80000000010796</v>
      </c>
      <c r="H1823" s="2" t="s">
        <v>8</v>
      </c>
      <c r="I1823" s="2">
        <v>460677</v>
      </c>
      <c r="J1823" s="2">
        <v>3000</v>
      </c>
      <c r="K1823" s="2">
        <v>20</v>
      </c>
      <c r="L1823" s="2">
        <v>0</v>
      </c>
      <c r="M1823" s="2">
        <v>438689.97</v>
      </c>
      <c r="N1823">
        <f>G1823+I1823+M1823</f>
        <v>900268.77</v>
      </c>
      <c r="O1823" s="9" t="s">
        <v>4</v>
      </c>
    </row>
    <row r="1824" spans="1:15" x14ac:dyDescent="0.2">
      <c r="A1824">
        <v>29</v>
      </c>
      <c r="B1824">
        <v>5</v>
      </c>
      <c r="C1824">
        <v>5</v>
      </c>
      <c r="D1824" s="2">
        <v>2</v>
      </c>
      <c r="E1824" s="2">
        <v>2</v>
      </c>
      <c r="F1824" s="2" t="s">
        <v>4</v>
      </c>
      <c r="G1824" s="2">
        <v>926.20000000032098</v>
      </c>
      <c r="H1824" s="2" t="s">
        <v>8</v>
      </c>
      <c r="I1824" s="2">
        <v>770229.00000000105</v>
      </c>
      <c r="J1824" s="2">
        <v>3000</v>
      </c>
      <c r="K1824" s="2">
        <v>20</v>
      </c>
      <c r="L1824" s="2">
        <v>0</v>
      </c>
      <c r="M1824" s="2">
        <v>452249.17</v>
      </c>
      <c r="N1824">
        <f t="shared" ref="N1824:N2055" si="36">G1824+I1824+M1824</f>
        <v>1223404.3700000013</v>
      </c>
      <c r="O1824" s="9" t="s">
        <v>4</v>
      </c>
    </row>
    <row r="1825" spans="1:15" x14ac:dyDescent="0.2">
      <c r="A1825">
        <v>30</v>
      </c>
      <c r="B1825">
        <v>5</v>
      </c>
      <c r="C1825">
        <v>5</v>
      </c>
      <c r="D1825" s="2">
        <v>2</v>
      </c>
      <c r="E1825" s="2">
        <v>3</v>
      </c>
      <c r="F1825" s="2" t="s">
        <v>4</v>
      </c>
      <c r="G1825" s="2">
        <v>922.99999999951899</v>
      </c>
      <c r="H1825" s="2" t="s">
        <v>8</v>
      </c>
      <c r="I1825" s="2">
        <v>1785648</v>
      </c>
      <c r="J1825" s="2">
        <v>3000</v>
      </c>
      <c r="K1825" s="2">
        <v>20</v>
      </c>
      <c r="L1825" s="2">
        <v>0</v>
      </c>
      <c r="M1825" s="2">
        <v>366087.57</v>
      </c>
      <c r="N1825">
        <f t="shared" si="36"/>
        <v>2152658.5699999994</v>
      </c>
      <c r="O1825" s="9" t="s">
        <v>4</v>
      </c>
    </row>
    <row r="1826" spans="1:15" x14ac:dyDescent="0.2">
      <c r="A1826">
        <v>31</v>
      </c>
      <c r="B1826">
        <v>5</v>
      </c>
      <c r="C1826">
        <v>5</v>
      </c>
      <c r="D1826" s="2">
        <v>2</v>
      </c>
      <c r="E1826" s="2">
        <v>1</v>
      </c>
      <c r="F1826" s="2" t="s">
        <v>4</v>
      </c>
      <c r="G1826" s="2">
        <v>780.99999999920999</v>
      </c>
      <c r="H1826" s="2" t="s">
        <v>8</v>
      </c>
      <c r="I1826" s="2">
        <v>634705.99999999802</v>
      </c>
      <c r="J1826" s="2">
        <v>3000</v>
      </c>
      <c r="K1826" s="2">
        <v>20</v>
      </c>
      <c r="L1826" s="2">
        <v>0</v>
      </c>
      <c r="M1826" s="2">
        <v>309447.57</v>
      </c>
      <c r="N1826">
        <f t="shared" si="36"/>
        <v>944934.56999999727</v>
      </c>
      <c r="O1826" s="9" t="s">
        <v>4</v>
      </c>
    </row>
    <row r="1827" spans="1:15" x14ac:dyDescent="0.2">
      <c r="A1827">
        <v>32</v>
      </c>
      <c r="B1827">
        <v>5</v>
      </c>
      <c r="C1827">
        <v>5</v>
      </c>
      <c r="D1827" s="2">
        <v>2</v>
      </c>
      <c r="E1827" s="2">
        <v>2</v>
      </c>
      <c r="F1827" s="2" t="s">
        <v>4</v>
      </c>
      <c r="G1827" s="2">
        <v>720.199999999949</v>
      </c>
      <c r="H1827" s="2" t="s">
        <v>8</v>
      </c>
      <c r="I1827" s="2">
        <v>1699059</v>
      </c>
      <c r="J1827" s="2">
        <v>3000</v>
      </c>
      <c r="K1827" s="2">
        <v>20</v>
      </c>
      <c r="L1827" s="2">
        <v>0</v>
      </c>
      <c r="M1827" s="2">
        <v>350128.77</v>
      </c>
      <c r="N1827">
        <f t="shared" si="36"/>
        <v>2049907.97</v>
      </c>
      <c r="O1827" s="9" t="s">
        <v>4</v>
      </c>
    </row>
    <row r="1828" spans="1:15" x14ac:dyDescent="0.2">
      <c r="A1828">
        <v>33</v>
      </c>
      <c r="B1828">
        <v>5</v>
      </c>
      <c r="C1828">
        <v>5</v>
      </c>
      <c r="D1828" s="2">
        <v>2</v>
      </c>
      <c r="E1828" s="2">
        <v>3</v>
      </c>
      <c r="F1828" s="2" t="s">
        <v>4</v>
      </c>
      <c r="G1828" s="2">
        <v>762.79999999968595</v>
      </c>
      <c r="H1828" s="2" t="s">
        <v>8</v>
      </c>
      <c r="I1828" s="2">
        <v>1760464</v>
      </c>
      <c r="J1828" s="2">
        <v>3000</v>
      </c>
      <c r="K1828" s="2">
        <v>20</v>
      </c>
      <c r="L1828" s="2">
        <v>0</v>
      </c>
      <c r="M1828" s="2">
        <v>414449.17</v>
      </c>
      <c r="N1828">
        <f t="shared" si="36"/>
        <v>2175675.9699999997</v>
      </c>
      <c r="O1828" s="9" t="s">
        <v>4</v>
      </c>
    </row>
    <row r="1829" spans="1:15" x14ac:dyDescent="0.2">
      <c r="A1829">
        <v>34</v>
      </c>
      <c r="B1829">
        <v>5</v>
      </c>
      <c r="C1829">
        <v>5</v>
      </c>
      <c r="D1829" s="2">
        <v>2</v>
      </c>
      <c r="E1829" s="2">
        <v>1</v>
      </c>
      <c r="F1829" s="2" t="s">
        <v>4</v>
      </c>
      <c r="G1829" s="2">
        <v>563.600000000264</v>
      </c>
      <c r="H1829" s="2" t="s">
        <v>8</v>
      </c>
      <c r="I1829" s="2">
        <v>567174.00000000105</v>
      </c>
      <c r="J1829" s="2">
        <v>3000</v>
      </c>
      <c r="K1829" s="2">
        <v>20</v>
      </c>
      <c r="L1829" s="2">
        <v>0</v>
      </c>
      <c r="M1829" s="2">
        <v>450807.97</v>
      </c>
      <c r="N1829">
        <f t="shared" si="36"/>
        <v>1018545.5700000012</v>
      </c>
      <c r="O1829" s="9" t="s">
        <v>4</v>
      </c>
    </row>
    <row r="1830" spans="1:15" x14ac:dyDescent="0.2">
      <c r="A1830">
        <v>35</v>
      </c>
      <c r="B1830">
        <v>5</v>
      </c>
      <c r="C1830">
        <v>6</v>
      </c>
      <c r="D1830" s="2">
        <v>2</v>
      </c>
      <c r="E1830" s="2">
        <v>1</v>
      </c>
      <c r="F1830" s="2" t="s">
        <v>4</v>
      </c>
      <c r="G1830" s="2">
        <v>467.000000000439</v>
      </c>
      <c r="H1830" s="2" t="s">
        <v>8</v>
      </c>
      <c r="I1830" s="2">
        <v>1291090</v>
      </c>
      <c r="J1830" s="2">
        <v>3000</v>
      </c>
      <c r="K1830" s="2">
        <v>20</v>
      </c>
      <c r="L1830" s="2">
        <v>0</v>
      </c>
      <c r="M1830" s="2">
        <v>312989.17</v>
      </c>
      <c r="N1830">
        <f t="shared" si="36"/>
        <v>1604546.1700000004</v>
      </c>
      <c r="O1830" s="9" t="s">
        <v>4</v>
      </c>
    </row>
    <row r="1831" spans="1:15" x14ac:dyDescent="0.2">
      <c r="A1831">
        <v>36</v>
      </c>
      <c r="B1831">
        <v>5</v>
      </c>
      <c r="C1831">
        <v>6</v>
      </c>
      <c r="D1831" s="2">
        <v>2</v>
      </c>
      <c r="E1831" s="2">
        <v>2</v>
      </c>
      <c r="F1831" s="2" t="s">
        <v>4</v>
      </c>
      <c r="G1831" s="2">
        <v>432.59999999953902</v>
      </c>
      <c r="H1831" s="2" t="s">
        <v>8</v>
      </c>
      <c r="I1831" s="2">
        <v>884944.99999999499</v>
      </c>
      <c r="J1831" s="2">
        <v>3000</v>
      </c>
      <c r="K1831" s="2">
        <v>20</v>
      </c>
      <c r="L1831" s="2">
        <v>0</v>
      </c>
      <c r="M1831" s="2">
        <v>478589.57</v>
      </c>
      <c r="N1831">
        <f t="shared" si="36"/>
        <v>1363967.1699999946</v>
      </c>
      <c r="O1831" s="9" t="s">
        <v>4</v>
      </c>
    </row>
    <row r="1832" spans="1:15" x14ac:dyDescent="0.2">
      <c r="A1832">
        <v>37</v>
      </c>
      <c r="B1832">
        <v>5</v>
      </c>
      <c r="C1832">
        <v>6</v>
      </c>
      <c r="D1832" s="2">
        <v>2</v>
      </c>
      <c r="E1832" s="2">
        <v>3</v>
      </c>
      <c r="F1832" s="2" t="s">
        <v>4</v>
      </c>
      <c r="G1832" s="2">
        <v>535.40000000005296</v>
      </c>
      <c r="H1832" s="2" t="s">
        <v>8</v>
      </c>
      <c r="I1832" s="2">
        <v>1563006</v>
      </c>
      <c r="J1832" s="2">
        <v>3000</v>
      </c>
      <c r="K1832" s="2">
        <v>20</v>
      </c>
      <c r="L1832" s="2">
        <v>0</v>
      </c>
      <c r="M1832" s="2">
        <v>369329.57</v>
      </c>
      <c r="N1832">
        <f t="shared" si="36"/>
        <v>1932870.9700000002</v>
      </c>
      <c r="O1832" s="9" t="s">
        <v>4</v>
      </c>
    </row>
    <row r="1833" spans="1:15" x14ac:dyDescent="0.2">
      <c r="A1833">
        <v>38</v>
      </c>
      <c r="B1833">
        <v>5</v>
      </c>
      <c r="C1833">
        <v>6</v>
      </c>
      <c r="D1833" s="2">
        <v>2</v>
      </c>
      <c r="E1833" s="2">
        <v>1</v>
      </c>
      <c r="F1833" s="2" t="s">
        <v>4</v>
      </c>
      <c r="G1833" s="2">
        <v>394.79999999976201</v>
      </c>
      <c r="H1833" s="2" t="s">
        <v>8</v>
      </c>
      <c r="I1833" s="2">
        <v>686184.00000000396</v>
      </c>
      <c r="J1833" s="2">
        <v>3000</v>
      </c>
      <c r="K1833" s="2">
        <v>20</v>
      </c>
      <c r="L1833" s="2">
        <v>0</v>
      </c>
      <c r="M1833" s="2">
        <v>359968.77</v>
      </c>
      <c r="N1833">
        <f t="shared" si="36"/>
        <v>1046547.5700000038</v>
      </c>
      <c r="O1833" s="9" t="s">
        <v>4</v>
      </c>
    </row>
    <row r="1834" spans="1:15" x14ac:dyDescent="0.2">
      <c r="A1834">
        <v>39</v>
      </c>
      <c r="B1834">
        <v>5</v>
      </c>
      <c r="C1834">
        <v>7</v>
      </c>
      <c r="D1834" s="2">
        <v>2</v>
      </c>
      <c r="E1834" s="2">
        <v>1</v>
      </c>
      <c r="F1834" s="2" t="s">
        <v>4</v>
      </c>
      <c r="G1834" s="2">
        <v>470.600000000232</v>
      </c>
      <c r="H1834" s="2" t="s">
        <v>8</v>
      </c>
      <c r="I1834" s="2">
        <v>1346969</v>
      </c>
      <c r="J1834" s="2">
        <v>3000</v>
      </c>
      <c r="K1834" s="2">
        <v>20</v>
      </c>
      <c r="L1834" s="2">
        <v>0</v>
      </c>
      <c r="M1834" s="2">
        <v>377068.77</v>
      </c>
      <c r="N1834">
        <f t="shared" si="36"/>
        <v>1724508.3700000003</v>
      </c>
      <c r="O1834" s="9" t="s">
        <v>4</v>
      </c>
    </row>
    <row r="1835" spans="1:15" x14ac:dyDescent="0.2">
      <c r="A1835">
        <v>40</v>
      </c>
      <c r="B1835">
        <v>5</v>
      </c>
      <c r="C1835">
        <v>7</v>
      </c>
      <c r="D1835" s="2">
        <v>2</v>
      </c>
      <c r="E1835" s="2">
        <v>2</v>
      </c>
      <c r="F1835" s="2" t="s">
        <v>4</v>
      </c>
      <c r="G1835" s="2">
        <v>455.20000000074401</v>
      </c>
      <c r="H1835" s="2" t="s">
        <v>8</v>
      </c>
      <c r="I1835" s="2">
        <v>2734535</v>
      </c>
      <c r="J1835" s="2">
        <v>3000</v>
      </c>
      <c r="K1835" s="2">
        <v>20</v>
      </c>
      <c r="L1835" s="2">
        <v>0</v>
      </c>
      <c r="M1835" s="2">
        <v>474867.17</v>
      </c>
      <c r="N1835">
        <f t="shared" si="36"/>
        <v>3209857.3700000006</v>
      </c>
      <c r="O1835" s="9" t="s">
        <v>4</v>
      </c>
    </row>
    <row r="1836" spans="1:15" x14ac:dyDescent="0.2">
      <c r="A1836">
        <v>41</v>
      </c>
      <c r="B1836">
        <v>5</v>
      </c>
      <c r="C1836">
        <v>7</v>
      </c>
      <c r="D1836" s="2">
        <v>2</v>
      </c>
      <c r="E1836" s="2">
        <v>3</v>
      </c>
      <c r="F1836" s="2" t="s">
        <v>4</v>
      </c>
      <c r="G1836" s="2">
        <v>556.20000000047298</v>
      </c>
      <c r="H1836" s="2" t="s">
        <v>8</v>
      </c>
      <c r="I1836" s="2">
        <v>2185385</v>
      </c>
      <c r="J1836" s="2">
        <v>3000</v>
      </c>
      <c r="K1836" s="2">
        <v>20</v>
      </c>
      <c r="L1836" s="2">
        <v>0</v>
      </c>
      <c r="M1836" s="2">
        <v>384750.37</v>
      </c>
      <c r="N1836">
        <f t="shared" si="36"/>
        <v>2570691.5700000008</v>
      </c>
      <c r="O1836" s="9" t="s">
        <v>4</v>
      </c>
    </row>
    <row r="1837" spans="1:15" x14ac:dyDescent="0.2">
      <c r="A1837">
        <v>42</v>
      </c>
      <c r="B1837">
        <v>5</v>
      </c>
      <c r="C1837">
        <v>4</v>
      </c>
      <c r="D1837" s="2">
        <v>2</v>
      </c>
      <c r="E1837" s="2">
        <v>1</v>
      </c>
      <c r="F1837" s="2" t="s">
        <v>4</v>
      </c>
      <c r="G1837" s="2">
        <v>288.80000000022198</v>
      </c>
      <c r="H1837" s="2" t="s">
        <v>8</v>
      </c>
      <c r="I1837" s="2">
        <v>329124</v>
      </c>
      <c r="J1837" s="2">
        <v>3000</v>
      </c>
      <c r="K1837" s="2">
        <v>20</v>
      </c>
      <c r="L1837" s="2">
        <v>0</v>
      </c>
      <c r="M1837" s="2">
        <v>315927.57</v>
      </c>
      <c r="N1837">
        <f t="shared" si="36"/>
        <v>645340.37000000023</v>
      </c>
      <c r="O1837" s="9" t="s">
        <v>4</v>
      </c>
    </row>
    <row r="1838" spans="1:15" x14ac:dyDescent="0.2">
      <c r="A1838">
        <v>43</v>
      </c>
      <c r="B1838">
        <v>5</v>
      </c>
      <c r="C1838">
        <v>5</v>
      </c>
      <c r="D1838" s="2">
        <v>2</v>
      </c>
      <c r="E1838" s="2">
        <v>1</v>
      </c>
      <c r="F1838" s="2" t="s">
        <v>4</v>
      </c>
      <c r="G1838" s="2">
        <v>340.19999999976801</v>
      </c>
      <c r="H1838" s="2" t="s">
        <v>8</v>
      </c>
      <c r="I1838" s="2">
        <v>626666</v>
      </c>
      <c r="J1838" s="2">
        <v>3000</v>
      </c>
      <c r="K1838" s="2">
        <v>20</v>
      </c>
      <c r="L1838" s="2">
        <v>0</v>
      </c>
      <c r="M1838" s="2">
        <v>317248.37</v>
      </c>
      <c r="N1838">
        <f t="shared" si="36"/>
        <v>944254.56999999972</v>
      </c>
      <c r="O1838" s="9" t="s">
        <v>4</v>
      </c>
    </row>
    <row r="1839" spans="1:15" x14ac:dyDescent="0.2">
      <c r="A1839">
        <v>44</v>
      </c>
      <c r="B1839">
        <v>5</v>
      </c>
      <c r="C1839">
        <v>5</v>
      </c>
      <c r="D1839" s="2">
        <v>2</v>
      </c>
      <c r="E1839" s="2">
        <v>2</v>
      </c>
      <c r="F1839" s="2" t="s">
        <v>4</v>
      </c>
      <c r="G1839" s="2">
        <v>325.80000000024302</v>
      </c>
      <c r="H1839" s="2" t="s">
        <v>8</v>
      </c>
      <c r="I1839" s="2">
        <v>625314.00000000303</v>
      </c>
      <c r="J1839" s="2">
        <v>3000</v>
      </c>
      <c r="K1839" s="2">
        <v>20</v>
      </c>
      <c r="L1839" s="2">
        <v>0</v>
      </c>
      <c r="M1839" s="2">
        <v>332011.57</v>
      </c>
      <c r="N1839">
        <f t="shared" si="36"/>
        <v>957651.37000000337</v>
      </c>
      <c r="O1839" s="9" t="s">
        <v>4</v>
      </c>
    </row>
    <row r="1840" spans="1:15" x14ac:dyDescent="0.2">
      <c r="A1840">
        <v>45</v>
      </c>
      <c r="B1840">
        <v>5</v>
      </c>
      <c r="C1840">
        <v>5</v>
      </c>
      <c r="D1840" s="2">
        <v>2</v>
      </c>
      <c r="E1840" s="2">
        <v>3</v>
      </c>
      <c r="F1840" s="2" t="s">
        <v>4</v>
      </c>
      <c r="G1840" s="2">
        <v>420.79999999948802</v>
      </c>
      <c r="H1840" s="2" t="s">
        <v>8</v>
      </c>
      <c r="I1840" s="2">
        <v>1579966</v>
      </c>
      <c r="J1840" s="2">
        <v>3000</v>
      </c>
      <c r="K1840" s="2">
        <v>20</v>
      </c>
      <c r="L1840" s="2">
        <v>0</v>
      </c>
      <c r="M1840" s="2">
        <v>453627.97</v>
      </c>
      <c r="N1840">
        <f t="shared" si="36"/>
        <v>2034014.7699999996</v>
      </c>
      <c r="O1840" s="9" t="s">
        <v>4</v>
      </c>
    </row>
    <row r="1841" spans="1:15" x14ac:dyDescent="0.2">
      <c r="A1841">
        <v>46</v>
      </c>
      <c r="B1841">
        <v>5</v>
      </c>
      <c r="C1841">
        <v>6</v>
      </c>
      <c r="D1841" s="2">
        <v>2</v>
      </c>
      <c r="E1841" s="2">
        <v>1</v>
      </c>
      <c r="F1841" s="2" t="s">
        <v>4</v>
      </c>
      <c r="G1841" s="2">
        <v>431.79999999978202</v>
      </c>
      <c r="H1841" s="2" t="s">
        <v>8</v>
      </c>
      <c r="I1841" s="2">
        <v>908150.99999999697</v>
      </c>
      <c r="J1841" s="2">
        <v>3000</v>
      </c>
      <c r="K1841" s="2">
        <v>20</v>
      </c>
      <c r="L1841" s="2">
        <v>0</v>
      </c>
      <c r="M1841" s="2">
        <v>283767.96999999997</v>
      </c>
      <c r="N1841">
        <f t="shared" si="36"/>
        <v>1192350.7699999968</v>
      </c>
      <c r="O1841" s="9" t="s">
        <v>4</v>
      </c>
    </row>
    <row r="1842" spans="1:15" x14ac:dyDescent="0.2">
      <c r="A1842">
        <v>47</v>
      </c>
      <c r="B1842">
        <v>5</v>
      </c>
      <c r="C1842">
        <v>6</v>
      </c>
      <c r="D1842" s="2">
        <v>2</v>
      </c>
      <c r="E1842" s="2">
        <v>2</v>
      </c>
      <c r="F1842" s="2" t="s">
        <v>4</v>
      </c>
      <c r="G1842" s="2">
        <v>392.80000000019299</v>
      </c>
      <c r="H1842" s="2" t="s">
        <v>8</v>
      </c>
      <c r="I1842" s="2">
        <v>835637.99999999604</v>
      </c>
      <c r="J1842" s="2">
        <v>3000</v>
      </c>
      <c r="K1842" s="2">
        <v>20</v>
      </c>
      <c r="L1842" s="2">
        <v>0</v>
      </c>
      <c r="M1842" s="2">
        <v>448709.57</v>
      </c>
      <c r="N1842">
        <f t="shared" si="36"/>
        <v>1284740.3699999962</v>
      </c>
      <c r="O1842" s="9" t="s">
        <v>4</v>
      </c>
    </row>
    <row r="1843" spans="1:15" x14ac:dyDescent="0.2">
      <c r="A1843">
        <v>48</v>
      </c>
      <c r="B1843">
        <v>5</v>
      </c>
      <c r="C1843">
        <v>6</v>
      </c>
      <c r="D1843" s="2">
        <v>2</v>
      </c>
      <c r="E1843" s="2">
        <v>3</v>
      </c>
      <c r="F1843" s="2" t="s">
        <v>4</v>
      </c>
      <c r="G1843" s="2">
        <v>479.99999999994702</v>
      </c>
      <c r="H1843" s="2" t="s">
        <v>8</v>
      </c>
      <c r="I1843" s="2">
        <v>1313722.00000001</v>
      </c>
      <c r="J1843" s="2">
        <v>3000</v>
      </c>
      <c r="K1843" s="2">
        <v>20</v>
      </c>
      <c r="L1843" s="2">
        <v>0</v>
      </c>
      <c r="M1843" s="2">
        <v>494069.57</v>
      </c>
      <c r="N1843">
        <f t="shared" si="36"/>
        <v>1808271.5700000101</v>
      </c>
      <c r="O1843" s="9" t="s">
        <v>4</v>
      </c>
    </row>
    <row r="1844" spans="1:15" x14ac:dyDescent="0.2">
      <c r="A1844">
        <v>49</v>
      </c>
      <c r="B1844">
        <v>5</v>
      </c>
      <c r="C1844">
        <v>6</v>
      </c>
      <c r="D1844" s="2">
        <v>2</v>
      </c>
      <c r="E1844" s="2">
        <v>1</v>
      </c>
      <c r="F1844" s="2" t="s">
        <v>4</v>
      </c>
      <c r="G1844" s="2">
        <v>379.40000000027402</v>
      </c>
      <c r="H1844" s="2" t="s">
        <v>8</v>
      </c>
      <c r="I1844" s="2">
        <v>1132380</v>
      </c>
      <c r="J1844" s="2">
        <v>3000</v>
      </c>
      <c r="K1844" s="2">
        <v>20</v>
      </c>
      <c r="L1844" s="2">
        <v>0</v>
      </c>
      <c r="M1844" s="2">
        <v>307529.17</v>
      </c>
      <c r="N1844">
        <f t="shared" si="36"/>
        <v>1440288.5700000003</v>
      </c>
      <c r="O1844" s="9" t="s">
        <v>4</v>
      </c>
    </row>
    <row r="1845" spans="1:15" x14ac:dyDescent="0.2">
      <c r="A1845">
        <v>50</v>
      </c>
      <c r="B1845">
        <v>5</v>
      </c>
      <c r="C1845">
        <v>6</v>
      </c>
      <c r="D1845" s="2">
        <v>2</v>
      </c>
      <c r="E1845" s="2">
        <v>2</v>
      </c>
      <c r="F1845" s="2" t="s">
        <v>4</v>
      </c>
      <c r="G1845" s="2">
        <v>387.60000000017698</v>
      </c>
      <c r="H1845" s="2" t="s">
        <v>8</v>
      </c>
      <c r="I1845" s="2">
        <v>809797.00000000303</v>
      </c>
      <c r="J1845" s="2">
        <v>3000</v>
      </c>
      <c r="K1845" s="2">
        <v>20</v>
      </c>
      <c r="L1845" s="2">
        <v>0</v>
      </c>
      <c r="M1845" s="2">
        <v>343769.97</v>
      </c>
      <c r="N1845">
        <f t="shared" si="36"/>
        <v>1153954.5700000031</v>
      </c>
      <c r="O1845" s="9" t="s">
        <v>4</v>
      </c>
    </row>
    <row r="1846" spans="1:15" x14ac:dyDescent="0.2">
      <c r="A1846">
        <v>51</v>
      </c>
      <c r="B1846">
        <v>5</v>
      </c>
      <c r="C1846">
        <v>6</v>
      </c>
      <c r="D1846" s="2">
        <v>2</v>
      </c>
      <c r="E1846" s="2">
        <v>3</v>
      </c>
      <c r="F1846" s="2" t="s">
        <v>4</v>
      </c>
      <c r="G1846" s="2">
        <v>476.39999999944399</v>
      </c>
      <c r="H1846" s="2" t="s">
        <v>8</v>
      </c>
      <c r="I1846" s="2">
        <v>1191722</v>
      </c>
      <c r="J1846" s="2">
        <v>3000</v>
      </c>
      <c r="K1846" s="2">
        <v>20</v>
      </c>
      <c r="L1846" s="2">
        <v>0</v>
      </c>
      <c r="M1846" s="2">
        <v>348446.77</v>
      </c>
      <c r="N1846">
        <f t="shared" si="36"/>
        <v>1540645.1699999995</v>
      </c>
      <c r="O1846" s="9" t="s">
        <v>4</v>
      </c>
    </row>
    <row r="1847" spans="1:15" x14ac:dyDescent="0.2">
      <c r="A1847">
        <v>52</v>
      </c>
      <c r="B1847">
        <v>5</v>
      </c>
      <c r="C1847">
        <v>7</v>
      </c>
      <c r="D1847" s="2">
        <v>2</v>
      </c>
      <c r="E1847" s="2">
        <v>1</v>
      </c>
      <c r="F1847" s="2" t="s">
        <v>4</v>
      </c>
      <c r="G1847" s="2">
        <v>407.79999999998</v>
      </c>
      <c r="H1847" s="2" t="s">
        <v>8</v>
      </c>
      <c r="I1847" s="2">
        <v>1069360</v>
      </c>
      <c r="J1847" s="2">
        <v>3000</v>
      </c>
      <c r="K1847" s="2">
        <v>20</v>
      </c>
      <c r="L1847" s="2">
        <v>0</v>
      </c>
      <c r="M1847" s="2">
        <v>370831.57</v>
      </c>
      <c r="N1847">
        <f t="shared" si="36"/>
        <v>1440599.37</v>
      </c>
      <c r="O1847" s="9" t="s">
        <v>4</v>
      </c>
    </row>
    <row r="1848" spans="1:15" x14ac:dyDescent="0.2">
      <c r="A1848">
        <v>53</v>
      </c>
      <c r="B1848">
        <v>5</v>
      </c>
      <c r="C1848">
        <v>7</v>
      </c>
      <c r="D1848" s="2">
        <v>2</v>
      </c>
      <c r="E1848" s="2">
        <v>2</v>
      </c>
      <c r="F1848" s="2" t="s">
        <v>4</v>
      </c>
      <c r="G1848" s="2">
        <v>396.99999999953701</v>
      </c>
      <c r="H1848" s="2" t="s">
        <v>8</v>
      </c>
      <c r="I1848" s="2">
        <v>2505793</v>
      </c>
      <c r="J1848" s="2">
        <v>3000</v>
      </c>
      <c r="K1848" s="2">
        <v>20</v>
      </c>
      <c r="L1848" s="2">
        <v>0</v>
      </c>
      <c r="M1848" s="2">
        <v>344970.37</v>
      </c>
      <c r="N1848">
        <f t="shared" si="36"/>
        <v>2851160.3699999996</v>
      </c>
      <c r="O1848" s="9" t="s">
        <v>4</v>
      </c>
    </row>
    <row r="1849" spans="1:15" x14ac:dyDescent="0.2">
      <c r="A1849">
        <v>54</v>
      </c>
      <c r="B1849">
        <v>5</v>
      </c>
      <c r="C1849">
        <v>7</v>
      </c>
      <c r="D1849" s="2">
        <v>2</v>
      </c>
      <c r="E1849" s="2">
        <v>3</v>
      </c>
      <c r="F1849" s="2" t="s">
        <v>4</v>
      </c>
      <c r="G1849" s="2">
        <v>497.99999999997601</v>
      </c>
      <c r="H1849" s="2" t="s">
        <v>8</v>
      </c>
      <c r="I1849" s="2">
        <v>3244514</v>
      </c>
      <c r="J1849" s="2">
        <v>3000</v>
      </c>
      <c r="K1849" s="2">
        <v>20</v>
      </c>
      <c r="L1849" s="2">
        <v>0</v>
      </c>
      <c r="M1849" s="2">
        <v>310649.17</v>
      </c>
      <c r="N1849">
        <f t="shared" si="36"/>
        <v>3555661.17</v>
      </c>
      <c r="O1849" s="9" t="s">
        <v>4</v>
      </c>
    </row>
    <row r="1850" spans="1:15" x14ac:dyDescent="0.2">
      <c r="A1850">
        <v>55</v>
      </c>
      <c r="B1850">
        <v>5</v>
      </c>
      <c r="C1850">
        <v>5</v>
      </c>
      <c r="D1850" s="2">
        <v>2</v>
      </c>
      <c r="E1850" s="2">
        <v>1</v>
      </c>
      <c r="F1850" s="2" t="s">
        <v>4</v>
      </c>
      <c r="G1850" s="2">
        <v>289.40000000012799</v>
      </c>
      <c r="H1850" s="2" t="s">
        <v>8</v>
      </c>
      <c r="I1850" s="2">
        <v>783248</v>
      </c>
      <c r="J1850" s="2">
        <v>3000</v>
      </c>
      <c r="K1850" s="2">
        <v>20</v>
      </c>
      <c r="L1850" s="2">
        <v>0</v>
      </c>
      <c r="M1850" s="2">
        <v>302369.17</v>
      </c>
      <c r="N1850">
        <f t="shared" si="36"/>
        <v>1085906.57</v>
      </c>
      <c r="O1850" s="9" t="s">
        <v>4</v>
      </c>
    </row>
    <row r="1851" spans="1:15" x14ac:dyDescent="0.2">
      <c r="A1851">
        <v>56</v>
      </c>
      <c r="B1851">
        <v>5</v>
      </c>
      <c r="C1851">
        <v>5</v>
      </c>
      <c r="D1851" s="2">
        <v>2</v>
      </c>
      <c r="E1851" s="2">
        <v>2</v>
      </c>
      <c r="F1851" s="2" t="s">
        <v>4</v>
      </c>
      <c r="G1851" s="2">
        <v>287.00000000014802</v>
      </c>
      <c r="H1851" s="2" t="s">
        <v>8</v>
      </c>
      <c r="I1851" s="2">
        <v>544256.00000000396</v>
      </c>
      <c r="J1851" s="2">
        <v>3000</v>
      </c>
      <c r="K1851" s="2">
        <v>20</v>
      </c>
      <c r="L1851" s="2">
        <v>0</v>
      </c>
      <c r="M1851" s="2">
        <v>331469.17</v>
      </c>
      <c r="N1851">
        <f t="shared" si="36"/>
        <v>876012.17000000412</v>
      </c>
      <c r="O1851" s="9" t="s">
        <v>4</v>
      </c>
    </row>
    <row r="1852" spans="1:15" x14ac:dyDescent="0.2">
      <c r="A1852">
        <v>57</v>
      </c>
      <c r="B1852">
        <v>5</v>
      </c>
      <c r="C1852">
        <v>5</v>
      </c>
      <c r="D1852" s="2">
        <v>2</v>
      </c>
      <c r="E1852" s="2">
        <v>3</v>
      </c>
      <c r="F1852" s="2" t="s">
        <v>4</v>
      </c>
      <c r="G1852" s="2">
        <v>362.39999999949703</v>
      </c>
      <c r="H1852" s="2" t="s">
        <v>8</v>
      </c>
      <c r="I1852" s="2">
        <v>801326.00000000303</v>
      </c>
      <c r="J1852" s="2">
        <v>3000</v>
      </c>
      <c r="K1852" s="2">
        <v>20</v>
      </c>
      <c r="L1852" s="2">
        <v>0</v>
      </c>
      <c r="M1852" s="2">
        <v>470009.17</v>
      </c>
      <c r="N1852">
        <f t="shared" si="36"/>
        <v>1271697.5700000024</v>
      </c>
      <c r="O1852" s="9" t="s">
        <v>4</v>
      </c>
    </row>
    <row r="1853" spans="1:15" x14ac:dyDescent="0.2">
      <c r="A1853">
        <v>58</v>
      </c>
      <c r="B1853">
        <v>5</v>
      </c>
      <c r="C1853">
        <v>6</v>
      </c>
      <c r="D1853" s="2">
        <v>2</v>
      </c>
      <c r="E1853" s="2">
        <v>1</v>
      </c>
      <c r="F1853" s="2" t="s">
        <v>4</v>
      </c>
      <c r="G1853" s="2">
        <v>340.79999999967498</v>
      </c>
      <c r="H1853" s="2" t="s">
        <v>8</v>
      </c>
      <c r="I1853" s="2">
        <v>868777.00000000198</v>
      </c>
      <c r="J1853" s="2">
        <v>3000</v>
      </c>
      <c r="K1853" s="2">
        <v>20</v>
      </c>
      <c r="L1853" s="2">
        <v>0</v>
      </c>
      <c r="M1853" s="2">
        <v>459929.17</v>
      </c>
      <c r="N1853">
        <f t="shared" si="36"/>
        <v>1329046.9700000016</v>
      </c>
      <c r="O1853" s="9" t="s">
        <v>4</v>
      </c>
    </row>
    <row r="1854" spans="1:15" x14ac:dyDescent="0.2">
      <c r="A1854">
        <v>59</v>
      </c>
      <c r="B1854">
        <v>5</v>
      </c>
      <c r="C1854">
        <v>6</v>
      </c>
      <c r="D1854" s="2">
        <v>2</v>
      </c>
      <c r="E1854" s="2">
        <v>2</v>
      </c>
      <c r="F1854" s="2" t="s">
        <v>4</v>
      </c>
      <c r="G1854" s="2">
        <v>334.19999999999601</v>
      </c>
      <c r="H1854" s="2" t="s">
        <v>8</v>
      </c>
      <c r="I1854" s="2">
        <v>583774.00000000501</v>
      </c>
      <c r="J1854" s="2">
        <v>3000</v>
      </c>
      <c r="K1854" s="2">
        <v>20</v>
      </c>
      <c r="L1854" s="2">
        <v>0</v>
      </c>
      <c r="M1854" s="2">
        <v>364108.37</v>
      </c>
      <c r="N1854">
        <f t="shared" si="36"/>
        <v>948216.57000000495</v>
      </c>
      <c r="O1854" s="9" t="s">
        <v>4</v>
      </c>
    </row>
    <row r="1855" spans="1:15" x14ac:dyDescent="0.2">
      <c r="A1855">
        <v>60</v>
      </c>
      <c r="B1855">
        <v>5</v>
      </c>
      <c r="C1855">
        <v>6</v>
      </c>
      <c r="D1855" s="2">
        <v>2</v>
      </c>
      <c r="E1855" s="2">
        <v>3</v>
      </c>
      <c r="F1855" s="2" t="s">
        <v>4</v>
      </c>
      <c r="G1855" s="2">
        <v>401.39999999979602</v>
      </c>
      <c r="H1855" s="2" t="s">
        <v>8</v>
      </c>
      <c r="I1855" s="2">
        <v>2144212.9999999902</v>
      </c>
      <c r="J1855" s="2">
        <v>3000</v>
      </c>
      <c r="K1855" s="2">
        <v>20</v>
      </c>
      <c r="L1855" s="2">
        <v>0</v>
      </c>
      <c r="M1855" s="2">
        <v>475469.17</v>
      </c>
      <c r="N1855">
        <f t="shared" si="36"/>
        <v>2620083.5699999901</v>
      </c>
      <c r="O1855" s="9" t="s">
        <v>4</v>
      </c>
    </row>
    <row r="1856" spans="1:15" x14ac:dyDescent="0.2">
      <c r="A1856">
        <v>61</v>
      </c>
      <c r="B1856">
        <v>5</v>
      </c>
      <c r="C1856">
        <v>7</v>
      </c>
      <c r="D1856" s="2">
        <v>2</v>
      </c>
      <c r="E1856" s="2">
        <v>1</v>
      </c>
      <c r="F1856" s="2" t="s">
        <v>4</v>
      </c>
      <c r="G1856" s="2">
        <v>364.79999999983198</v>
      </c>
      <c r="H1856" s="2" t="s">
        <v>8</v>
      </c>
      <c r="I1856" s="2">
        <v>2195942</v>
      </c>
      <c r="J1856" s="2">
        <v>3000</v>
      </c>
      <c r="K1856" s="2">
        <v>20</v>
      </c>
      <c r="L1856" s="2">
        <v>0</v>
      </c>
      <c r="M1856" s="2">
        <v>468687.57</v>
      </c>
      <c r="N1856">
        <f t="shared" si="36"/>
        <v>2664994.3699999996</v>
      </c>
      <c r="O1856" s="9" t="s">
        <v>4</v>
      </c>
    </row>
    <row r="1857" spans="1:15" x14ac:dyDescent="0.2">
      <c r="A1857">
        <v>62</v>
      </c>
      <c r="B1857">
        <v>5</v>
      </c>
      <c r="C1857">
        <v>7</v>
      </c>
      <c r="D1857" s="2">
        <v>2</v>
      </c>
      <c r="E1857" s="2">
        <v>2</v>
      </c>
      <c r="F1857" s="2" t="s">
        <v>4</v>
      </c>
      <c r="G1857" s="2">
        <v>382.79999999950599</v>
      </c>
      <c r="H1857" s="2" t="s">
        <v>8</v>
      </c>
      <c r="I1857" s="2">
        <v>1972765</v>
      </c>
      <c r="J1857" s="2">
        <v>3000</v>
      </c>
      <c r="K1857" s="2">
        <v>20</v>
      </c>
      <c r="L1857" s="2">
        <v>0</v>
      </c>
      <c r="M1857" s="2">
        <v>352590.37</v>
      </c>
      <c r="N1857">
        <f t="shared" si="36"/>
        <v>2325738.1699999995</v>
      </c>
      <c r="O1857" s="9" t="s">
        <v>4</v>
      </c>
    </row>
    <row r="1858" spans="1:15" x14ac:dyDescent="0.2">
      <c r="A1858">
        <v>63</v>
      </c>
      <c r="B1858">
        <v>5</v>
      </c>
      <c r="C1858">
        <v>7</v>
      </c>
      <c r="D1858" s="2">
        <v>2</v>
      </c>
      <c r="E1858" s="2">
        <v>3</v>
      </c>
      <c r="F1858" s="2" t="s">
        <v>4</v>
      </c>
      <c r="G1858" s="2">
        <v>469.999999999615</v>
      </c>
      <c r="H1858" s="2" t="s">
        <v>8</v>
      </c>
      <c r="I1858" s="2">
        <v>2183012.0000000098</v>
      </c>
      <c r="J1858" s="2">
        <v>3000</v>
      </c>
      <c r="K1858" s="2">
        <v>20</v>
      </c>
      <c r="L1858" s="2">
        <v>0</v>
      </c>
      <c r="M1858" s="2">
        <v>387327.97</v>
      </c>
      <c r="N1858">
        <f t="shared" si="36"/>
        <v>2570809.9700000091</v>
      </c>
      <c r="O1858" s="9" t="s">
        <v>4</v>
      </c>
    </row>
    <row r="1859" spans="1:15" x14ac:dyDescent="0.2">
      <c r="A1859">
        <v>64</v>
      </c>
      <c r="B1859">
        <v>5</v>
      </c>
      <c r="C1859">
        <v>8</v>
      </c>
      <c r="D1859" s="2">
        <v>2</v>
      </c>
      <c r="E1859" s="2">
        <v>1</v>
      </c>
      <c r="F1859" s="2" t="s">
        <v>4</v>
      </c>
      <c r="G1859" s="2">
        <v>408.600000000092</v>
      </c>
      <c r="H1859" s="2" t="s">
        <v>8</v>
      </c>
      <c r="I1859" s="2">
        <v>1707695</v>
      </c>
      <c r="J1859" s="2">
        <v>3000</v>
      </c>
      <c r="K1859" s="2">
        <v>20</v>
      </c>
      <c r="L1859" s="2">
        <v>0</v>
      </c>
      <c r="M1859" s="2">
        <v>295587.57</v>
      </c>
      <c r="N1859">
        <f t="shared" si="36"/>
        <v>2003691.1700000002</v>
      </c>
      <c r="O1859" s="9" t="s">
        <v>4</v>
      </c>
    </row>
    <row r="1860" spans="1:15" x14ac:dyDescent="0.2">
      <c r="A1860">
        <v>65</v>
      </c>
      <c r="B1860">
        <v>5</v>
      </c>
      <c r="C1860">
        <v>8</v>
      </c>
      <c r="D1860" s="2">
        <v>2</v>
      </c>
      <c r="E1860" s="2">
        <v>2</v>
      </c>
      <c r="F1860" s="2" t="s">
        <v>4</v>
      </c>
      <c r="G1860" s="2">
        <v>427.200000000383</v>
      </c>
      <c r="H1860" s="2" t="s">
        <v>8</v>
      </c>
      <c r="I1860" s="2">
        <v>1389962.99999999</v>
      </c>
      <c r="J1860" s="2">
        <v>3000</v>
      </c>
      <c r="K1860" s="2">
        <v>20</v>
      </c>
      <c r="L1860" s="2">
        <v>0</v>
      </c>
      <c r="M1860" s="2">
        <v>372149.57</v>
      </c>
      <c r="N1860">
        <f t="shared" si="36"/>
        <v>1762539.7699999905</v>
      </c>
      <c r="O1860" s="9" t="s">
        <v>4</v>
      </c>
    </row>
    <row r="1861" spans="1:15" x14ac:dyDescent="0.2">
      <c r="A1861">
        <v>66</v>
      </c>
      <c r="B1861">
        <v>5</v>
      </c>
      <c r="C1861">
        <v>8</v>
      </c>
      <c r="D1861" s="2">
        <v>2</v>
      </c>
      <c r="E1861" s="2">
        <v>3</v>
      </c>
      <c r="F1861" s="2" t="s">
        <v>4</v>
      </c>
      <c r="G1861" s="2">
        <v>553.79999999942697</v>
      </c>
      <c r="H1861" s="2" t="s">
        <v>8</v>
      </c>
      <c r="I1861" s="2">
        <v>1964170.00000001</v>
      </c>
      <c r="J1861" s="2">
        <v>3000</v>
      </c>
      <c r="K1861" s="2">
        <v>20</v>
      </c>
      <c r="L1861" s="2">
        <v>0</v>
      </c>
      <c r="M1861" s="2">
        <v>397467.57</v>
      </c>
      <c r="N1861">
        <f t="shared" si="36"/>
        <v>2362191.3700000094</v>
      </c>
      <c r="O1861" s="9" t="s">
        <v>4</v>
      </c>
    </row>
    <row r="1862" spans="1:15" x14ac:dyDescent="0.2">
      <c r="A1862">
        <v>67</v>
      </c>
      <c r="B1862">
        <v>5</v>
      </c>
      <c r="C1862">
        <v>7</v>
      </c>
      <c r="D1862" s="2">
        <v>2</v>
      </c>
      <c r="E1862" s="2">
        <v>1</v>
      </c>
      <c r="F1862" s="2" t="s">
        <v>4</v>
      </c>
      <c r="G1862" s="2">
        <v>358.99999999990899</v>
      </c>
      <c r="H1862" s="2" t="s">
        <v>8</v>
      </c>
      <c r="I1862" s="2">
        <v>937139.00000000198</v>
      </c>
      <c r="J1862" s="2">
        <v>3000</v>
      </c>
      <c r="K1862" s="2">
        <v>20</v>
      </c>
      <c r="L1862" s="2">
        <v>0</v>
      </c>
      <c r="M1862" s="2">
        <v>286348.77</v>
      </c>
      <c r="N1862">
        <f t="shared" si="36"/>
        <v>1223846.7700000019</v>
      </c>
      <c r="O1862" s="9" t="s">
        <v>4</v>
      </c>
    </row>
    <row r="1863" spans="1:15" x14ac:dyDescent="0.2">
      <c r="A1863">
        <v>68</v>
      </c>
      <c r="B1863">
        <v>5</v>
      </c>
      <c r="C1863">
        <v>7</v>
      </c>
      <c r="D1863" s="2">
        <v>2</v>
      </c>
      <c r="E1863" s="2">
        <v>2</v>
      </c>
      <c r="F1863" s="2" t="s">
        <v>4</v>
      </c>
      <c r="G1863" s="2">
        <v>373.80000000055702</v>
      </c>
      <c r="H1863" s="2" t="s">
        <v>8</v>
      </c>
      <c r="I1863" s="2">
        <v>1556484</v>
      </c>
      <c r="J1863" s="2">
        <v>3000</v>
      </c>
      <c r="K1863" s="2">
        <v>20</v>
      </c>
      <c r="L1863" s="2">
        <v>0</v>
      </c>
      <c r="M1863" s="2">
        <v>356008.77</v>
      </c>
      <c r="N1863">
        <f t="shared" si="36"/>
        <v>1912866.5700000005</v>
      </c>
      <c r="O1863" s="9" t="s">
        <v>4</v>
      </c>
    </row>
    <row r="1864" spans="1:15" x14ac:dyDescent="0.2">
      <c r="A1864">
        <v>69</v>
      </c>
      <c r="B1864">
        <v>5</v>
      </c>
      <c r="C1864">
        <v>7</v>
      </c>
      <c r="D1864" s="2">
        <v>2</v>
      </c>
      <c r="E1864" s="2">
        <v>3</v>
      </c>
      <c r="F1864" s="2" t="s">
        <v>4</v>
      </c>
      <c r="G1864" s="2">
        <v>458.79999999947103</v>
      </c>
      <c r="H1864" s="2" t="s">
        <v>8</v>
      </c>
      <c r="I1864" s="2">
        <v>1994440.99999999</v>
      </c>
      <c r="J1864" s="2">
        <v>3000</v>
      </c>
      <c r="K1864" s="2">
        <v>20</v>
      </c>
      <c r="L1864" s="2">
        <v>0</v>
      </c>
      <c r="M1864" s="2">
        <v>374548.37</v>
      </c>
      <c r="N1864">
        <f t="shared" si="36"/>
        <v>2369448.1699999897</v>
      </c>
      <c r="O1864" s="9" t="s">
        <v>4</v>
      </c>
    </row>
    <row r="1865" spans="1:15" x14ac:dyDescent="0.2">
      <c r="A1865">
        <v>28</v>
      </c>
      <c r="B1865">
        <v>5</v>
      </c>
      <c r="C1865">
        <v>4</v>
      </c>
      <c r="D1865" s="2">
        <v>2</v>
      </c>
      <c r="E1865" s="2">
        <v>1</v>
      </c>
      <c r="F1865" s="2" t="s">
        <v>4</v>
      </c>
      <c r="G1865" s="2">
        <v>901.80000000010796</v>
      </c>
      <c r="H1865" s="2" t="s">
        <v>8</v>
      </c>
      <c r="I1865" s="2">
        <v>460677</v>
      </c>
      <c r="J1865" s="2">
        <v>5000</v>
      </c>
      <c r="K1865" s="2">
        <v>20</v>
      </c>
      <c r="L1865" s="2">
        <v>0</v>
      </c>
      <c r="M1865" s="2">
        <v>720529.97</v>
      </c>
      <c r="N1865">
        <f>G1865+I1865+M1865</f>
        <v>1182108.77</v>
      </c>
      <c r="O1865" s="9" t="s">
        <v>4</v>
      </c>
    </row>
    <row r="1866" spans="1:15" x14ac:dyDescent="0.2">
      <c r="A1866">
        <v>29</v>
      </c>
      <c r="B1866">
        <v>5</v>
      </c>
      <c r="C1866">
        <v>5</v>
      </c>
      <c r="D1866" s="2">
        <v>2</v>
      </c>
      <c r="E1866" s="2">
        <v>2</v>
      </c>
      <c r="F1866" s="2" t="s">
        <v>4</v>
      </c>
      <c r="G1866" s="2">
        <v>926.20000000032098</v>
      </c>
      <c r="H1866" s="2" t="s">
        <v>8</v>
      </c>
      <c r="I1866" s="2">
        <v>770229.00000000105</v>
      </c>
      <c r="J1866" s="2">
        <v>5000</v>
      </c>
      <c r="K1866" s="2">
        <v>20</v>
      </c>
      <c r="L1866" s="2">
        <v>0</v>
      </c>
      <c r="M1866" s="2">
        <v>743128.77</v>
      </c>
      <c r="N1866">
        <f t="shared" ref="N1866:N1929" si="37">G1866+I1866+M1866</f>
        <v>1514283.9700000014</v>
      </c>
      <c r="O1866" s="9" t="s">
        <v>4</v>
      </c>
    </row>
    <row r="1867" spans="1:15" x14ac:dyDescent="0.2">
      <c r="A1867">
        <v>30</v>
      </c>
      <c r="B1867">
        <v>5</v>
      </c>
      <c r="C1867">
        <v>5</v>
      </c>
      <c r="D1867" s="2">
        <v>2</v>
      </c>
      <c r="E1867" s="2">
        <v>3</v>
      </c>
      <c r="F1867" s="2" t="s">
        <v>4</v>
      </c>
      <c r="G1867" s="2">
        <v>922.99999999951899</v>
      </c>
      <c r="H1867" s="2" t="s">
        <v>8</v>
      </c>
      <c r="I1867" s="2">
        <v>1785648</v>
      </c>
      <c r="J1867" s="2">
        <v>5000</v>
      </c>
      <c r="K1867" s="2">
        <v>20</v>
      </c>
      <c r="L1867" s="2">
        <v>0</v>
      </c>
      <c r="M1867" s="2">
        <v>599527.56999999995</v>
      </c>
      <c r="N1867">
        <f t="shared" si="37"/>
        <v>2386098.5699999994</v>
      </c>
      <c r="O1867" s="9" t="s">
        <v>4</v>
      </c>
    </row>
    <row r="1868" spans="1:15" x14ac:dyDescent="0.2">
      <c r="A1868">
        <v>31</v>
      </c>
      <c r="B1868">
        <v>5</v>
      </c>
      <c r="C1868">
        <v>5</v>
      </c>
      <c r="D1868" s="2">
        <v>2</v>
      </c>
      <c r="E1868" s="2">
        <v>1</v>
      </c>
      <c r="F1868" s="2" t="s">
        <v>4</v>
      </c>
      <c r="G1868" s="2">
        <v>780.99999999920999</v>
      </c>
      <c r="H1868" s="2" t="s">
        <v>8</v>
      </c>
      <c r="I1868" s="2">
        <v>634705.99999999802</v>
      </c>
      <c r="J1868" s="2">
        <v>5000</v>
      </c>
      <c r="K1868" s="2">
        <v>20</v>
      </c>
      <c r="L1868" s="2">
        <v>0</v>
      </c>
      <c r="M1868" s="2">
        <v>505127.17</v>
      </c>
      <c r="N1868">
        <f t="shared" si="37"/>
        <v>1140614.1699999971</v>
      </c>
      <c r="O1868" s="9" t="s">
        <v>4</v>
      </c>
    </row>
    <row r="1869" spans="1:15" x14ac:dyDescent="0.2">
      <c r="A1869">
        <v>32</v>
      </c>
      <c r="B1869">
        <v>5</v>
      </c>
      <c r="C1869">
        <v>5</v>
      </c>
      <c r="D1869" s="2">
        <v>2</v>
      </c>
      <c r="E1869" s="2">
        <v>2</v>
      </c>
      <c r="F1869" s="2" t="s">
        <v>4</v>
      </c>
      <c r="G1869" s="2">
        <v>720.199999999949</v>
      </c>
      <c r="H1869" s="2" t="s">
        <v>8</v>
      </c>
      <c r="I1869" s="2">
        <v>1699059</v>
      </c>
      <c r="J1869" s="2">
        <v>5000</v>
      </c>
      <c r="K1869" s="2">
        <v>20</v>
      </c>
      <c r="L1869" s="2">
        <v>0</v>
      </c>
      <c r="M1869" s="2">
        <v>572927.56999999995</v>
      </c>
      <c r="N1869">
        <f t="shared" si="37"/>
        <v>2272706.77</v>
      </c>
      <c r="O1869" s="9" t="s">
        <v>4</v>
      </c>
    </row>
    <row r="1870" spans="1:15" x14ac:dyDescent="0.2">
      <c r="A1870">
        <v>33</v>
      </c>
      <c r="B1870">
        <v>5</v>
      </c>
      <c r="C1870">
        <v>5</v>
      </c>
      <c r="D1870" s="2">
        <v>2</v>
      </c>
      <c r="E1870" s="2">
        <v>3</v>
      </c>
      <c r="F1870" s="2" t="s">
        <v>4</v>
      </c>
      <c r="G1870" s="2">
        <v>762.79999999968595</v>
      </c>
      <c r="H1870" s="2" t="s">
        <v>8</v>
      </c>
      <c r="I1870" s="2">
        <v>1760464</v>
      </c>
      <c r="J1870" s="2">
        <v>5000</v>
      </c>
      <c r="K1870" s="2">
        <v>20</v>
      </c>
      <c r="L1870" s="2">
        <v>0</v>
      </c>
      <c r="M1870" s="2">
        <v>680127.97</v>
      </c>
      <c r="N1870">
        <f t="shared" si="37"/>
        <v>2441354.7699999996</v>
      </c>
      <c r="O1870" s="9" t="s">
        <v>4</v>
      </c>
    </row>
    <row r="1871" spans="1:15" x14ac:dyDescent="0.2">
      <c r="A1871">
        <v>34</v>
      </c>
      <c r="B1871">
        <v>5</v>
      </c>
      <c r="C1871">
        <v>5</v>
      </c>
      <c r="D1871" s="2">
        <v>2</v>
      </c>
      <c r="E1871" s="2">
        <v>1</v>
      </c>
      <c r="F1871" s="2" t="s">
        <v>4</v>
      </c>
      <c r="G1871" s="2">
        <v>563.600000000264</v>
      </c>
      <c r="H1871" s="2" t="s">
        <v>8</v>
      </c>
      <c r="I1871" s="2">
        <v>567174.00000000105</v>
      </c>
      <c r="J1871" s="2">
        <v>5000</v>
      </c>
      <c r="K1871" s="2">
        <v>20</v>
      </c>
      <c r="L1871" s="2">
        <v>0</v>
      </c>
      <c r="M1871" s="2">
        <v>740728.37</v>
      </c>
      <c r="N1871">
        <f t="shared" si="37"/>
        <v>1308465.9700000011</v>
      </c>
      <c r="O1871" s="9" t="s">
        <v>4</v>
      </c>
    </row>
    <row r="1872" spans="1:15" x14ac:dyDescent="0.2">
      <c r="A1872">
        <v>35</v>
      </c>
      <c r="B1872">
        <v>5</v>
      </c>
      <c r="C1872">
        <v>6</v>
      </c>
      <c r="D1872" s="2">
        <v>2</v>
      </c>
      <c r="E1872" s="2">
        <v>1</v>
      </c>
      <c r="F1872" s="2" t="s">
        <v>4</v>
      </c>
      <c r="G1872" s="2">
        <v>467.000000000439</v>
      </c>
      <c r="H1872" s="2" t="s">
        <v>8</v>
      </c>
      <c r="I1872" s="2">
        <v>1291090</v>
      </c>
      <c r="J1872" s="2">
        <v>5000</v>
      </c>
      <c r="K1872" s="2">
        <v>20</v>
      </c>
      <c r="L1872" s="2">
        <v>0</v>
      </c>
      <c r="M1872" s="2">
        <v>511027.57</v>
      </c>
      <c r="N1872">
        <f t="shared" si="37"/>
        <v>1802584.5700000005</v>
      </c>
      <c r="O1872" s="9" t="s">
        <v>4</v>
      </c>
    </row>
    <row r="1873" spans="1:15" x14ac:dyDescent="0.2">
      <c r="A1873">
        <v>36</v>
      </c>
      <c r="B1873">
        <v>5</v>
      </c>
      <c r="C1873">
        <v>6</v>
      </c>
      <c r="D1873" s="2">
        <v>2</v>
      </c>
      <c r="E1873" s="2">
        <v>2</v>
      </c>
      <c r="F1873" s="2" t="s">
        <v>4</v>
      </c>
      <c r="G1873" s="2">
        <v>432.59999999953902</v>
      </c>
      <c r="H1873" s="2" t="s">
        <v>8</v>
      </c>
      <c r="I1873" s="2">
        <v>884944.99999999499</v>
      </c>
      <c r="J1873" s="2">
        <v>5000</v>
      </c>
      <c r="K1873" s="2">
        <v>20</v>
      </c>
      <c r="L1873" s="2">
        <v>0</v>
      </c>
      <c r="M1873" s="2">
        <v>787028.37</v>
      </c>
      <c r="N1873">
        <f t="shared" si="37"/>
        <v>1672405.9699999946</v>
      </c>
      <c r="O1873" s="9" t="s">
        <v>4</v>
      </c>
    </row>
    <row r="1874" spans="1:15" x14ac:dyDescent="0.2">
      <c r="A1874">
        <v>37</v>
      </c>
      <c r="B1874">
        <v>5</v>
      </c>
      <c r="C1874">
        <v>6</v>
      </c>
      <c r="D1874" s="2">
        <v>2</v>
      </c>
      <c r="E1874" s="2">
        <v>3</v>
      </c>
      <c r="F1874" s="2" t="s">
        <v>4</v>
      </c>
      <c r="G1874" s="2">
        <v>535.40000000005296</v>
      </c>
      <c r="H1874" s="2" t="s">
        <v>8</v>
      </c>
      <c r="I1874" s="2">
        <v>1563006</v>
      </c>
      <c r="J1874" s="2">
        <v>5000</v>
      </c>
      <c r="K1874" s="2">
        <v>20</v>
      </c>
      <c r="L1874" s="2">
        <v>0</v>
      </c>
      <c r="M1874" s="2">
        <v>604927.97</v>
      </c>
      <c r="N1874">
        <f t="shared" si="37"/>
        <v>2168469.37</v>
      </c>
      <c r="O1874" s="9" t="s">
        <v>4</v>
      </c>
    </row>
    <row r="1875" spans="1:15" x14ac:dyDescent="0.2">
      <c r="A1875">
        <v>38</v>
      </c>
      <c r="B1875">
        <v>5</v>
      </c>
      <c r="C1875">
        <v>6</v>
      </c>
      <c r="D1875" s="2">
        <v>2</v>
      </c>
      <c r="E1875" s="2">
        <v>1</v>
      </c>
      <c r="F1875" s="2" t="s">
        <v>4</v>
      </c>
      <c r="G1875" s="2">
        <v>394.79999999976201</v>
      </c>
      <c r="H1875" s="2" t="s">
        <v>8</v>
      </c>
      <c r="I1875" s="2">
        <v>686184.00000000396</v>
      </c>
      <c r="J1875" s="2">
        <v>5000</v>
      </c>
      <c r="K1875" s="2">
        <v>20</v>
      </c>
      <c r="L1875" s="2">
        <v>0</v>
      </c>
      <c r="M1875" s="2">
        <v>589327.97</v>
      </c>
      <c r="N1875">
        <f t="shared" si="37"/>
        <v>1275906.7700000037</v>
      </c>
      <c r="O1875" s="9" t="s">
        <v>4</v>
      </c>
    </row>
    <row r="1876" spans="1:15" x14ac:dyDescent="0.2">
      <c r="A1876">
        <v>39</v>
      </c>
      <c r="B1876">
        <v>5</v>
      </c>
      <c r="C1876">
        <v>7</v>
      </c>
      <c r="D1876" s="2">
        <v>2</v>
      </c>
      <c r="E1876" s="2">
        <v>1</v>
      </c>
      <c r="F1876" s="2" t="s">
        <v>4</v>
      </c>
      <c r="G1876" s="2">
        <v>470.600000000232</v>
      </c>
      <c r="H1876" s="2" t="s">
        <v>8</v>
      </c>
      <c r="I1876" s="2">
        <v>1346969</v>
      </c>
      <c r="J1876" s="2">
        <v>5000</v>
      </c>
      <c r="K1876" s="2">
        <v>20</v>
      </c>
      <c r="L1876" s="2">
        <v>0</v>
      </c>
      <c r="M1876" s="2">
        <v>617827.17000000004</v>
      </c>
      <c r="N1876">
        <f t="shared" si="37"/>
        <v>1965266.7700000005</v>
      </c>
      <c r="O1876" s="9" t="s">
        <v>4</v>
      </c>
    </row>
    <row r="1877" spans="1:15" x14ac:dyDescent="0.2">
      <c r="A1877">
        <v>40</v>
      </c>
      <c r="B1877">
        <v>5</v>
      </c>
      <c r="C1877">
        <v>7</v>
      </c>
      <c r="D1877" s="2">
        <v>2</v>
      </c>
      <c r="E1877" s="2">
        <v>2</v>
      </c>
      <c r="F1877" s="2" t="s">
        <v>4</v>
      </c>
      <c r="G1877" s="2">
        <v>455.20000000074401</v>
      </c>
      <c r="H1877" s="2" t="s">
        <v>8</v>
      </c>
      <c r="I1877" s="2">
        <v>2734535</v>
      </c>
      <c r="J1877" s="2">
        <v>5000</v>
      </c>
      <c r="K1877" s="2">
        <v>20</v>
      </c>
      <c r="L1877" s="2">
        <v>0</v>
      </c>
      <c r="M1877" s="2">
        <v>780827.57</v>
      </c>
      <c r="N1877">
        <f t="shared" si="37"/>
        <v>3515817.7700000005</v>
      </c>
      <c r="O1877" s="9" t="s">
        <v>4</v>
      </c>
    </row>
    <row r="1878" spans="1:15" x14ac:dyDescent="0.2">
      <c r="A1878">
        <v>41</v>
      </c>
      <c r="B1878">
        <v>5</v>
      </c>
      <c r="C1878">
        <v>7</v>
      </c>
      <c r="D1878" s="2">
        <v>2</v>
      </c>
      <c r="E1878" s="2">
        <v>3</v>
      </c>
      <c r="F1878" s="2" t="s">
        <v>4</v>
      </c>
      <c r="G1878" s="2">
        <v>556.20000000047298</v>
      </c>
      <c r="H1878" s="2" t="s">
        <v>8</v>
      </c>
      <c r="I1878" s="2">
        <v>2185385</v>
      </c>
      <c r="J1878" s="2">
        <v>5000</v>
      </c>
      <c r="K1878" s="2">
        <v>20</v>
      </c>
      <c r="L1878" s="2">
        <v>0</v>
      </c>
      <c r="M1878" s="2">
        <v>630628.37</v>
      </c>
      <c r="N1878">
        <f t="shared" si="37"/>
        <v>2816569.5700000008</v>
      </c>
      <c r="O1878" s="9" t="s">
        <v>4</v>
      </c>
    </row>
    <row r="1879" spans="1:15" x14ac:dyDescent="0.2">
      <c r="A1879">
        <v>42</v>
      </c>
      <c r="B1879">
        <v>5</v>
      </c>
      <c r="C1879">
        <v>4</v>
      </c>
      <c r="D1879" s="2">
        <v>2</v>
      </c>
      <c r="E1879" s="2">
        <v>1</v>
      </c>
      <c r="F1879" s="2" t="s">
        <v>4</v>
      </c>
      <c r="G1879" s="2">
        <v>288.80000000022198</v>
      </c>
      <c r="H1879" s="2" t="s">
        <v>8</v>
      </c>
      <c r="I1879" s="2">
        <v>329124</v>
      </c>
      <c r="J1879" s="2">
        <v>5000</v>
      </c>
      <c r="K1879" s="2">
        <v>20</v>
      </c>
      <c r="L1879" s="2">
        <v>0</v>
      </c>
      <c r="M1879" s="2">
        <v>515926.77</v>
      </c>
      <c r="N1879">
        <f t="shared" si="37"/>
        <v>845339.5700000003</v>
      </c>
      <c r="O1879" s="9" t="s">
        <v>4</v>
      </c>
    </row>
    <row r="1880" spans="1:15" x14ac:dyDescent="0.2">
      <c r="A1880">
        <v>43</v>
      </c>
      <c r="B1880">
        <v>5</v>
      </c>
      <c r="C1880">
        <v>5</v>
      </c>
      <c r="D1880" s="2">
        <v>2</v>
      </c>
      <c r="E1880" s="2">
        <v>1</v>
      </c>
      <c r="F1880" s="2" t="s">
        <v>4</v>
      </c>
      <c r="G1880" s="2">
        <v>340.19999999976801</v>
      </c>
      <c r="H1880" s="2" t="s">
        <v>8</v>
      </c>
      <c r="I1880" s="2">
        <v>626666</v>
      </c>
      <c r="J1880" s="2">
        <v>5000</v>
      </c>
      <c r="K1880" s="2">
        <v>20</v>
      </c>
      <c r="L1880" s="2">
        <v>0</v>
      </c>
      <c r="M1880" s="2">
        <v>518127.17</v>
      </c>
      <c r="N1880">
        <f t="shared" si="37"/>
        <v>1145133.3699999996</v>
      </c>
      <c r="O1880" s="9" t="s">
        <v>4</v>
      </c>
    </row>
    <row r="1881" spans="1:15" x14ac:dyDescent="0.2">
      <c r="A1881">
        <v>44</v>
      </c>
      <c r="B1881">
        <v>5</v>
      </c>
      <c r="C1881">
        <v>5</v>
      </c>
      <c r="D1881" s="2">
        <v>2</v>
      </c>
      <c r="E1881" s="2">
        <v>2</v>
      </c>
      <c r="F1881" s="2" t="s">
        <v>4</v>
      </c>
      <c r="G1881" s="2">
        <v>325.80000000024302</v>
      </c>
      <c r="H1881" s="2" t="s">
        <v>8</v>
      </c>
      <c r="I1881" s="2">
        <v>625314.00000000303</v>
      </c>
      <c r="J1881" s="2">
        <v>5000</v>
      </c>
      <c r="K1881" s="2">
        <v>20</v>
      </c>
      <c r="L1881" s="2">
        <v>0</v>
      </c>
      <c r="M1881" s="2">
        <v>542729.97</v>
      </c>
      <c r="N1881">
        <f t="shared" si="37"/>
        <v>1168369.7700000033</v>
      </c>
      <c r="O1881" s="9" t="s">
        <v>4</v>
      </c>
    </row>
    <row r="1882" spans="1:15" x14ac:dyDescent="0.2">
      <c r="A1882">
        <v>45</v>
      </c>
      <c r="B1882">
        <v>5</v>
      </c>
      <c r="C1882">
        <v>5</v>
      </c>
      <c r="D1882" s="2">
        <v>2</v>
      </c>
      <c r="E1882" s="2">
        <v>3</v>
      </c>
      <c r="F1882" s="2" t="s">
        <v>4</v>
      </c>
      <c r="G1882" s="2">
        <v>420.79999999948802</v>
      </c>
      <c r="H1882" s="2" t="s">
        <v>8</v>
      </c>
      <c r="I1882" s="2">
        <v>1579966</v>
      </c>
      <c r="J1882" s="2">
        <v>5000</v>
      </c>
      <c r="K1882" s="2">
        <v>20</v>
      </c>
      <c r="L1882" s="2">
        <v>0</v>
      </c>
      <c r="M1882" s="2">
        <v>745427.17</v>
      </c>
      <c r="N1882">
        <f t="shared" si="37"/>
        <v>2325813.9699999997</v>
      </c>
      <c r="O1882" s="9" t="s">
        <v>4</v>
      </c>
    </row>
    <row r="1883" spans="1:15" x14ac:dyDescent="0.2">
      <c r="A1883">
        <v>46</v>
      </c>
      <c r="B1883">
        <v>5</v>
      </c>
      <c r="C1883">
        <v>6</v>
      </c>
      <c r="D1883" s="2">
        <v>2</v>
      </c>
      <c r="E1883" s="2">
        <v>1</v>
      </c>
      <c r="F1883" s="2" t="s">
        <v>4</v>
      </c>
      <c r="G1883" s="2">
        <v>431.79999999978202</v>
      </c>
      <c r="H1883" s="2" t="s">
        <v>8</v>
      </c>
      <c r="I1883" s="2">
        <v>908150.99999999697</v>
      </c>
      <c r="J1883" s="2">
        <v>5000</v>
      </c>
      <c r="K1883" s="2">
        <v>20</v>
      </c>
      <c r="L1883" s="2">
        <v>0</v>
      </c>
      <c r="M1883" s="2">
        <v>462326.77</v>
      </c>
      <c r="N1883">
        <f t="shared" si="37"/>
        <v>1370909.5699999968</v>
      </c>
      <c r="O1883" s="9" t="s">
        <v>4</v>
      </c>
    </row>
    <row r="1884" spans="1:15" x14ac:dyDescent="0.2">
      <c r="A1884">
        <v>47</v>
      </c>
      <c r="B1884">
        <v>5</v>
      </c>
      <c r="C1884">
        <v>6</v>
      </c>
      <c r="D1884" s="2">
        <v>2</v>
      </c>
      <c r="E1884" s="2">
        <v>2</v>
      </c>
      <c r="F1884" s="2" t="s">
        <v>4</v>
      </c>
      <c r="G1884" s="2">
        <v>392.80000000019299</v>
      </c>
      <c r="H1884" s="2" t="s">
        <v>8</v>
      </c>
      <c r="I1884" s="2">
        <v>835637.99999999604</v>
      </c>
      <c r="J1884" s="2">
        <v>5000</v>
      </c>
      <c r="K1884" s="2">
        <v>20</v>
      </c>
      <c r="L1884" s="2">
        <v>0</v>
      </c>
      <c r="M1884" s="2">
        <v>737229.97</v>
      </c>
      <c r="N1884">
        <f t="shared" si="37"/>
        <v>1573260.7699999963</v>
      </c>
      <c r="O1884" s="9" t="s">
        <v>4</v>
      </c>
    </row>
    <row r="1885" spans="1:15" x14ac:dyDescent="0.2">
      <c r="A1885">
        <v>48</v>
      </c>
      <c r="B1885">
        <v>5</v>
      </c>
      <c r="C1885">
        <v>6</v>
      </c>
      <c r="D1885" s="2">
        <v>2</v>
      </c>
      <c r="E1885" s="2">
        <v>3</v>
      </c>
      <c r="F1885" s="2" t="s">
        <v>4</v>
      </c>
      <c r="G1885" s="2">
        <v>479.99999999994702</v>
      </c>
      <c r="H1885" s="2" t="s">
        <v>8</v>
      </c>
      <c r="I1885" s="2">
        <v>1313722.00000001</v>
      </c>
      <c r="J1885" s="2">
        <v>5000</v>
      </c>
      <c r="K1885" s="2">
        <v>20</v>
      </c>
      <c r="L1885" s="2">
        <v>0</v>
      </c>
      <c r="M1885" s="2">
        <v>812828.77</v>
      </c>
      <c r="N1885">
        <f t="shared" si="37"/>
        <v>2127030.7700000098</v>
      </c>
      <c r="O1885" s="9" t="s">
        <v>4</v>
      </c>
    </row>
    <row r="1886" spans="1:15" x14ac:dyDescent="0.2">
      <c r="A1886">
        <v>49</v>
      </c>
      <c r="B1886">
        <v>5</v>
      </c>
      <c r="C1886">
        <v>6</v>
      </c>
      <c r="D1886" s="2">
        <v>2</v>
      </c>
      <c r="E1886" s="2">
        <v>1</v>
      </c>
      <c r="F1886" s="2" t="s">
        <v>4</v>
      </c>
      <c r="G1886" s="2">
        <v>379.40000000027402</v>
      </c>
      <c r="H1886" s="2" t="s">
        <v>8</v>
      </c>
      <c r="I1886" s="2">
        <v>1132380</v>
      </c>
      <c r="J1886" s="2">
        <v>5000</v>
      </c>
      <c r="K1886" s="2">
        <v>20</v>
      </c>
      <c r="L1886" s="2">
        <v>0</v>
      </c>
      <c r="M1886" s="2">
        <v>501927.97</v>
      </c>
      <c r="N1886">
        <f t="shared" si="37"/>
        <v>1634687.3700000003</v>
      </c>
      <c r="O1886" s="9" t="s">
        <v>4</v>
      </c>
    </row>
    <row r="1887" spans="1:15" x14ac:dyDescent="0.2">
      <c r="A1887">
        <v>50</v>
      </c>
      <c r="B1887">
        <v>5</v>
      </c>
      <c r="C1887">
        <v>6</v>
      </c>
      <c r="D1887" s="2">
        <v>2</v>
      </c>
      <c r="E1887" s="2">
        <v>2</v>
      </c>
      <c r="F1887" s="2" t="s">
        <v>4</v>
      </c>
      <c r="G1887" s="2">
        <v>387.60000000017698</v>
      </c>
      <c r="H1887" s="2" t="s">
        <v>8</v>
      </c>
      <c r="I1887" s="2">
        <v>809797.00000000303</v>
      </c>
      <c r="J1887" s="2">
        <v>5000</v>
      </c>
      <c r="K1887" s="2">
        <v>20</v>
      </c>
      <c r="L1887" s="2">
        <v>0</v>
      </c>
      <c r="M1887" s="2">
        <v>562328.37</v>
      </c>
      <c r="N1887">
        <f t="shared" si="37"/>
        <v>1372512.9700000032</v>
      </c>
      <c r="O1887" s="9" t="s">
        <v>4</v>
      </c>
    </row>
    <row r="1888" spans="1:15" x14ac:dyDescent="0.2">
      <c r="A1888">
        <v>51</v>
      </c>
      <c r="B1888">
        <v>5</v>
      </c>
      <c r="C1888">
        <v>6</v>
      </c>
      <c r="D1888" s="2">
        <v>2</v>
      </c>
      <c r="E1888" s="2">
        <v>3</v>
      </c>
      <c r="F1888" s="2" t="s">
        <v>4</v>
      </c>
      <c r="G1888" s="2">
        <v>476.39999999944399</v>
      </c>
      <c r="H1888" s="2" t="s">
        <v>8</v>
      </c>
      <c r="I1888" s="2">
        <v>1191722</v>
      </c>
      <c r="J1888" s="2">
        <v>5000</v>
      </c>
      <c r="K1888" s="2">
        <v>20</v>
      </c>
      <c r="L1888" s="2">
        <v>0</v>
      </c>
      <c r="M1888" s="2">
        <v>570125.17000000004</v>
      </c>
      <c r="N1888">
        <f t="shared" si="37"/>
        <v>1762323.5699999994</v>
      </c>
      <c r="O1888" s="9" t="s">
        <v>4</v>
      </c>
    </row>
    <row r="1889" spans="1:15" x14ac:dyDescent="0.2">
      <c r="A1889">
        <v>52</v>
      </c>
      <c r="B1889">
        <v>5</v>
      </c>
      <c r="C1889">
        <v>7</v>
      </c>
      <c r="D1889" s="2">
        <v>2</v>
      </c>
      <c r="E1889" s="2">
        <v>1</v>
      </c>
      <c r="F1889" s="2" t="s">
        <v>4</v>
      </c>
      <c r="G1889" s="2">
        <v>407.79999999998</v>
      </c>
      <c r="H1889" s="2" t="s">
        <v>8</v>
      </c>
      <c r="I1889" s="2">
        <v>1069360</v>
      </c>
      <c r="J1889" s="2">
        <v>5000</v>
      </c>
      <c r="K1889" s="2">
        <v>20</v>
      </c>
      <c r="L1889" s="2">
        <v>0</v>
      </c>
      <c r="M1889" s="2">
        <v>607430.77</v>
      </c>
      <c r="N1889">
        <f t="shared" si="37"/>
        <v>1677198.57</v>
      </c>
      <c r="O1889" s="9" t="s">
        <v>4</v>
      </c>
    </row>
    <row r="1890" spans="1:15" x14ac:dyDescent="0.2">
      <c r="A1890">
        <v>53</v>
      </c>
      <c r="B1890">
        <v>5</v>
      </c>
      <c r="C1890">
        <v>7</v>
      </c>
      <c r="D1890" s="2">
        <v>2</v>
      </c>
      <c r="E1890" s="2">
        <v>2</v>
      </c>
      <c r="F1890" s="2" t="s">
        <v>4</v>
      </c>
      <c r="G1890" s="2">
        <v>396.99999999953701</v>
      </c>
      <c r="H1890" s="2" t="s">
        <v>8</v>
      </c>
      <c r="I1890" s="2">
        <v>2505793</v>
      </c>
      <c r="J1890" s="2">
        <v>5000</v>
      </c>
      <c r="K1890" s="2">
        <v>20</v>
      </c>
      <c r="L1890" s="2">
        <v>0</v>
      </c>
      <c r="M1890" s="2">
        <v>564328.77</v>
      </c>
      <c r="N1890">
        <f t="shared" si="37"/>
        <v>3070518.7699999996</v>
      </c>
      <c r="O1890" s="9" t="s">
        <v>4</v>
      </c>
    </row>
    <row r="1891" spans="1:15" x14ac:dyDescent="0.2">
      <c r="A1891">
        <v>54</v>
      </c>
      <c r="B1891">
        <v>5</v>
      </c>
      <c r="C1891">
        <v>7</v>
      </c>
      <c r="D1891" s="2">
        <v>2</v>
      </c>
      <c r="E1891" s="2">
        <v>3</v>
      </c>
      <c r="F1891" s="2" t="s">
        <v>4</v>
      </c>
      <c r="G1891" s="2">
        <v>497.99999999997601</v>
      </c>
      <c r="H1891" s="2" t="s">
        <v>8</v>
      </c>
      <c r="I1891" s="2">
        <v>3244514</v>
      </c>
      <c r="J1891" s="2">
        <v>5000</v>
      </c>
      <c r="K1891" s="2">
        <v>20</v>
      </c>
      <c r="L1891" s="2">
        <v>0</v>
      </c>
      <c r="M1891" s="2">
        <v>507127.17</v>
      </c>
      <c r="N1891">
        <f t="shared" si="37"/>
        <v>3752139.17</v>
      </c>
      <c r="O1891" s="9" t="s">
        <v>4</v>
      </c>
    </row>
    <row r="1892" spans="1:15" x14ac:dyDescent="0.2">
      <c r="A1892">
        <v>55</v>
      </c>
      <c r="B1892">
        <v>5</v>
      </c>
      <c r="C1892">
        <v>5</v>
      </c>
      <c r="D1892" s="2">
        <v>2</v>
      </c>
      <c r="E1892" s="2">
        <v>1</v>
      </c>
      <c r="F1892" s="2" t="s">
        <v>4</v>
      </c>
      <c r="G1892" s="2">
        <v>289.40000000012799</v>
      </c>
      <c r="H1892" s="2" t="s">
        <v>8</v>
      </c>
      <c r="I1892" s="2">
        <v>783248</v>
      </c>
      <c r="J1892" s="2">
        <v>5000</v>
      </c>
      <c r="K1892" s="2">
        <v>20</v>
      </c>
      <c r="L1892" s="2">
        <v>0</v>
      </c>
      <c r="M1892" s="2">
        <v>493328.37</v>
      </c>
      <c r="N1892">
        <f t="shared" si="37"/>
        <v>1276865.77</v>
      </c>
      <c r="O1892" s="9" t="s">
        <v>4</v>
      </c>
    </row>
    <row r="1893" spans="1:15" x14ac:dyDescent="0.2">
      <c r="A1893">
        <v>56</v>
      </c>
      <c r="B1893">
        <v>5</v>
      </c>
      <c r="C1893">
        <v>5</v>
      </c>
      <c r="D1893" s="2">
        <v>2</v>
      </c>
      <c r="E1893" s="2">
        <v>2</v>
      </c>
      <c r="F1893" s="2" t="s">
        <v>4</v>
      </c>
      <c r="G1893" s="2">
        <v>287.00000000014802</v>
      </c>
      <c r="H1893" s="2" t="s">
        <v>8</v>
      </c>
      <c r="I1893" s="2">
        <v>544256.00000000396</v>
      </c>
      <c r="J1893" s="2">
        <v>5000</v>
      </c>
      <c r="K1893" s="2">
        <v>20</v>
      </c>
      <c r="L1893" s="2">
        <v>0</v>
      </c>
      <c r="M1893" s="2">
        <v>541827.97</v>
      </c>
      <c r="N1893">
        <f t="shared" si="37"/>
        <v>1086370.9700000039</v>
      </c>
      <c r="O1893" s="9" t="s">
        <v>4</v>
      </c>
    </row>
    <row r="1894" spans="1:15" x14ac:dyDescent="0.2">
      <c r="A1894">
        <v>57</v>
      </c>
      <c r="B1894">
        <v>5</v>
      </c>
      <c r="C1894">
        <v>5</v>
      </c>
      <c r="D1894" s="2">
        <v>2</v>
      </c>
      <c r="E1894" s="2">
        <v>3</v>
      </c>
      <c r="F1894" s="2" t="s">
        <v>4</v>
      </c>
      <c r="G1894" s="2">
        <v>362.39999999949703</v>
      </c>
      <c r="H1894" s="2" t="s">
        <v>8</v>
      </c>
      <c r="I1894" s="2">
        <v>801326.00000000303</v>
      </c>
      <c r="J1894" s="2">
        <v>5000</v>
      </c>
      <c r="K1894" s="2">
        <v>20</v>
      </c>
      <c r="L1894" s="2">
        <v>0</v>
      </c>
      <c r="M1894" s="2">
        <v>772729.17</v>
      </c>
      <c r="N1894">
        <f t="shared" si="37"/>
        <v>1574417.5700000026</v>
      </c>
      <c r="O1894" s="9" t="s">
        <v>4</v>
      </c>
    </row>
    <row r="1895" spans="1:15" x14ac:dyDescent="0.2">
      <c r="A1895">
        <v>58</v>
      </c>
      <c r="B1895">
        <v>5</v>
      </c>
      <c r="C1895">
        <v>6</v>
      </c>
      <c r="D1895" s="2">
        <v>2</v>
      </c>
      <c r="E1895" s="2">
        <v>1</v>
      </c>
      <c r="F1895" s="2" t="s">
        <v>4</v>
      </c>
      <c r="G1895" s="2">
        <v>340.79999999967498</v>
      </c>
      <c r="H1895" s="2" t="s">
        <v>8</v>
      </c>
      <c r="I1895" s="2">
        <v>868777.00000000198</v>
      </c>
      <c r="J1895" s="2">
        <v>5000</v>
      </c>
      <c r="K1895" s="2">
        <v>20</v>
      </c>
      <c r="L1895" s="2">
        <v>0</v>
      </c>
      <c r="M1895" s="2">
        <v>755929.17</v>
      </c>
      <c r="N1895">
        <f t="shared" si="37"/>
        <v>1625046.9700000016</v>
      </c>
      <c r="O1895" s="9" t="s">
        <v>4</v>
      </c>
    </row>
    <row r="1896" spans="1:15" x14ac:dyDescent="0.2">
      <c r="A1896">
        <v>59</v>
      </c>
      <c r="B1896">
        <v>5</v>
      </c>
      <c r="C1896">
        <v>6</v>
      </c>
      <c r="D1896" s="2">
        <v>2</v>
      </c>
      <c r="E1896" s="2">
        <v>2</v>
      </c>
      <c r="F1896" s="2" t="s">
        <v>4</v>
      </c>
      <c r="G1896" s="2">
        <v>334.19999999999601</v>
      </c>
      <c r="H1896" s="2" t="s">
        <v>8</v>
      </c>
      <c r="I1896" s="2">
        <v>583774.00000000501</v>
      </c>
      <c r="J1896" s="2">
        <v>5000</v>
      </c>
      <c r="K1896" s="2">
        <v>20</v>
      </c>
      <c r="L1896" s="2">
        <v>0</v>
      </c>
      <c r="M1896" s="2">
        <v>596227.97</v>
      </c>
      <c r="N1896">
        <f t="shared" si="37"/>
        <v>1180336.170000005</v>
      </c>
      <c r="O1896" s="9" t="s">
        <v>4</v>
      </c>
    </row>
    <row r="1897" spans="1:15" x14ac:dyDescent="0.2">
      <c r="A1897">
        <v>60</v>
      </c>
      <c r="B1897">
        <v>5</v>
      </c>
      <c r="C1897">
        <v>6</v>
      </c>
      <c r="D1897" s="2">
        <v>2</v>
      </c>
      <c r="E1897" s="2">
        <v>3</v>
      </c>
      <c r="F1897" s="2" t="s">
        <v>4</v>
      </c>
      <c r="G1897" s="2">
        <v>401.39999999979602</v>
      </c>
      <c r="H1897" s="2" t="s">
        <v>8</v>
      </c>
      <c r="I1897" s="2">
        <v>2144212.9999999902</v>
      </c>
      <c r="J1897" s="2">
        <v>5000</v>
      </c>
      <c r="K1897" s="2">
        <v>20</v>
      </c>
      <c r="L1897" s="2">
        <v>0</v>
      </c>
      <c r="M1897" s="2">
        <v>781827.97</v>
      </c>
      <c r="N1897">
        <f t="shared" si="37"/>
        <v>2926442.3699999899</v>
      </c>
      <c r="O1897" s="9" t="s">
        <v>4</v>
      </c>
    </row>
    <row r="1898" spans="1:15" x14ac:dyDescent="0.2">
      <c r="A1898">
        <v>61</v>
      </c>
      <c r="B1898">
        <v>5</v>
      </c>
      <c r="C1898">
        <v>7</v>
      </c>
      <c r="D1898" s="2">
        <v>2</v>
      </c>
      <c r="E1898" s="2">
        <v>1</v>
      </c>
      <c r="F1898" s="2" t="s">
        <v>4</v>
      </c>
      <c r="G1898" s="2">
        <v>364.79999999983198</v>
      </c>
      <c r="H1898" s="2" t="s">
        <v>8</v>
      </c>
      <c r="I1898" s="2">
        <v>2195942</v>
      </c>
      <c r="J1898" s="2">
        <v>5000</v>
      </c>
      <c r="K1898" s="2">
        <v>20</v>
      </c>
      <c r="L1898" s="2">
        <v>0</v>
      </c>
      <c r="M1898" s="2">
        <v>770527.57</v>
      </c>
      <c r="N1898">
        <f t="shared" si="37"/>
        <v>2966834.3699999996</v>
      </c>
      <c r="O1898" s="9" t="s">
        <v>4</v>
      </c>
    </row>
    <row r="1899" spans="1:15" x14ac:dyDescent="0.2">
      <c r="A1899">
        <v>62</v>
      </c>
      <c r="B1899">
        <v>5</v>
      </c>
      <c r="C1899">
        <v>7</v>
      </c>
      <c r="D1899" s="2">
        <v>2</v>
      </c>
      <c r="E1899" s="2">
        <v>2</v>
      </c>
      <c r="F1899" s="2" t="s">
        <v>4</v>
      </c>
      <c r="G1899" s="2">
        <v>382.79999999950599</v>
      </c>
      <c r="H1899" s="2" t="s">
        <v>8</v>
      </c>
      <c r="I1899" s="2">
        <v>1972765</v>
      </c>
      <c r="J1899" s="2">
        <v>5000</v>
      </c>
      <c r="K1899" s="2">
        <v>20</v>
      </c>
      <c r="L1899" s="2">
        <v>0</v>
      </c>
      <c r="M1899" s="2">
        <v>577028.77</v>
      </c>
      <c r="N1899">
        <f t="shared" si="37"/>
        <v>2550176.5699999994</v>
      </c>
      <c r="O1899" s="9" t="s">
        <v>4</v>
      </c>
    </row>
    <row r="1900" spans="1:15" x14ac:dyDescent="0.2">
      <c r="A1900">
        <v>63</v>
      </c>
      <c r="B1900">
        <v>5</v>
      </c>
      <c r="C1900">
        <v>7</v>
      </c>
      <c r="D1900" s="2">
        <v>2</v>
      </c>
      <c r="E1900" s="2">
        <v>3</v>
      </c>
      <c r="F1900" s="2" t="s">
        <v>4</v>
      </c>
      <c r="G1900" s="2">
        <v>469.999999999615</v>
      </c>
      <c r="H1900" s="2" t="s">
        <v>8</v>
      </c>
      <c r="I1900" s="2">
        <v>2183012.0000000098</v>
      </c>
      <c r="J1900" s="2">
        <v>5000</v>
      </c>
      <c r="K1900" s="2">
        <v>20</v>
      </c>
      <c r="L1900" s="2">
        <v>0</v>
      </c>
      <c r="M1900" s="2">
        <v>634926.37</v>
      </c>
      <c r="N1900">
        <f t="shared" si="37"/>
        <v>2818408.3700000094</v>
      </c>
      <c r="O1900" s="9" t="s">
        <v>4</v>
      </c>
    </row>
    <row r="1901" spans="1:15" x14ac:dyDescent="0.2">
      <c r="A1901">
        <v>64</v>
      </c>
      <c r="B1901">
        <v>5</v>
      </c>
      <c r="C1901">
        <v>8</v>
      </c>
      <c r="D1901" s="2">
        <v>2</v>
      </c>
      <c r="E1901" s="2">
        <v>1</v>
      </c>
      <c r="F1901" s="2" t="s">
        <v>4</v>
      </c>
      <c r="G1901" s="2">
        <v>408.600000000092</v>
      </c>
      <c r="H1901" s="2" t="s">
        <v>8</v>
      </c>
      <c r="I1901" s="2">
        <v>1707695</v>
      </c>
      <c r="J1901" s="2">
        <v>5000</v>
      </c>
      <c r="K1901" s="2">
        <v>20</v>
      </c>
      <c r="L1901" s="2">
        <v>0</v>
      </c>
      <c r="M1901" s="2">
        <v>482026.77</v>
      </c>
      <c r="N1901">
        <f t="shared" si="37"/>
        <v>2190130.37</v>
      </c>
      <c r="O1901" s="9" t="s">
        <v>4</v>
      </c>
    </row>
    <row r="1902" spans="1:15" x14ac:dyDescent="0.2">
      <c r="A1902">
        <v>65</v>
      </c>
      <c r="B1902">
        <v>5</v>
      </c>
      <c r="C1902">
        <v>8</v>
      </c>
      <c r="D1902" s="2">
        <v>2</v>
      </c>
      <c r="E1902" s="2">
        <v>2</v>
      </c>
      <c r="F1902" s="2" t="s">
        <v>4</v>
      </c>
      <c r="G1902" s="2">
        <v>427.200000000383</v>
      </c>
      <c r="H1902" s="2" t="s">
        <v>8</v>
      </c>
      <c r="I1902" s="2">
        <v>1389962.99999999</v>
      </c>
      <c r="J1902" s="2">
        <v>5000</v>
      </c>
      <c r="K1902" s="2">
        <v>20</v>
      </c>
      <c r="L1902" s="2">
        <v>0</v>
      </c>
      <c r="M1902" s="2">
        <v>609626.77</v>
      </c>
      <c r="N1902">
        <f t="shared" si="37"/>
        <v>2000016.9699999904</v>
      </c>
      <c r="O1902" s="9" t="s">
        <v>4</v>
      </c>
    </row>
    <row r="1903" spans="1:15" x14ac:dyDescent="0.2">
      <c r="A1903">
        <v>66</v>
      </c>
      <c r="B1903">
        <v>5</v>
      </c>
      <c r="C1903">
        <v>8</v>
      </c>
      <c r="D1903" s="2">
        <v>2</v>
      </c>
      <c r="E1903" s="2">
        <v>3</v>
      </c>
      <c r="F1903" s="2" t="s">
        <v>4</v>
      </c>
      <c r="G1903" s="2">
        <v>553.79999999942697</v>
      </c>
      <c r="H1903" s="2" t="s">
        <v>8</v>
      </c>
      <c r="I1903" s="2">
        <v>1964170.00000001</v>
      </c>
      <c r="J1903" s="2">
        <v>5000</v>
      </c>
      <c r="K1903" s="2">
        <v>20</v>
      </c>
      <c r="L1903" s="2">
        <v>0</v>
      </c>
      <c r="M1903" s="2">
        <v>651827.17000000004</v>
      </c>
      <c r="N1903">
        <f t="shared" si="37"/>
        <v>2616550.9700000095</v>
      </c>
      <c r="O1903" s="9" t="s">
        <v>4</v>
      </c>
    </row>
    <row r="1904" spans="1:15" x14ac:dyDescent="0.2">
      <c r="A1904">
        <v>67</v>
      </c>
      <c r="B1904">
        <v>5</v>
      </c>
      <c r="C1904">
        <v>7</v>
      </c>
      <c r="D1904" s="2">
        <v>2</v>
      </c>
      <c r="E1904" s="2">
        <v>1</v>
      </c>
      <c r="F1904" s="2" t="s">
        <v>4</v>
      </c>
      <c r="G1904" s="2">
        <v>358.99999999990899</v>
      </c>
      <c r="H1904" s="2" t="s">
        <v>8</v>
      </c>
      <c r="I1904" s="2">
        <v>937139.00000000198</v>
      </c>
      <c r="J1904" s="2">
        <v>5000</v>
      </c>
      <c r="K1904" s="2">
        <v>20</v>
      </c>
      <c r="L1904" s="2">
        <v>0</v>
      </c>
      <c r="M1904" s="2">
        <v>466628.37</v>
      </c>
      <c r="N1904">
        <f t="shared" si="37"/>
        <v>1404126.370000002</v>
      </c>
      <c r="O1904" s="9" t="s">
        <v>4</v>
      </c>
    </row>
    <row r="1905" spans="1:15" x14ac:dyDescent="0.2">
      <c r="A1905">
        <v>68</v>
      </c>
      <c r="B1905">
        <v>5</v>
      </c>
      <c r="C1905">
        <v>7</v>
      </c>
      <c r="D1905" s="2">
        <v>2</v>
      </c>
      <c r="E1905" s="2">
        <v>2</v>
      </c>
      <c r="F1905" s="2" t="s">
        <v>4</v>
      </c>
      <c r="G1905" s="2">
        <v>373.80000000055702</v>
      </c>
      <c r="H1905" s="2" t="s">
        <v>8</v>
      </c>
      <c r="I1905" s="2">
        <v>1556484</v>
      </c>
      <c r="J1905" s="2">
        <v>5000</v>
      </c>
      <c r="K1905" s="2">
        <v>20</v>
      </c>
      <c r="L1905" s="2">
        <v>0</v>
      </c>
      <c r="M1905" s="2">
        <v>582728.37</v>
      </c>
      <c r="N1905">
        <f t="shared" si="37"/>
        <v>2139586.1700000004</v>
      </c>
      <c r="O1905" s="9" t="s">
        <v>4</v>
      </c>
    </row>
    <row r="1906" spans="1:15" x14ac:dyDescent="0.2">
      <c r="A1906">
        <v>69</v>
      </c>
      <c r="B1906">
        <v>5</v>
      </c>
      <c r="C1906">
        <v>7</v>
      </c>
      <c r="D1906" s="2">
        <v>2</v>
      </c>
      <c r="E1906" s="2">
        <v>3</v>
      </c>
      <c r="F1906" s="2" t="s">
        <v>4</v>
      </c>
      <c r="G1906" s="2">
        <v>458.79999999947103</v>
      </c>
      <c r="H1906" s="2" t="s">
        <v>8</v>
      </c>
      <c r="I1906" s="2">
        <v>1994440.99999999</v>
      </c>
      <c r="J1906" s="2">
        <v>5000</v>
      </c>
      <c r="K1906" s="2">
        <v>20</v>
      </c>
      <c r="L1906" s="2">
        <v>0</v>
      </c>
      <c r="M1906" s="2">
        <v>613627.56999999995</v>
      </c>
      <c r="N1906">
        <f t="shared" si="37"/>
        <v>2608527.3699999894</v>
      </c>
      <c r="O1906" s="9" t="s">
        <v>4</v>
      </c>
    </row>
    <row r="1907" spans="1:15" x14ac:dyDescent="0.2">
      <c r="A1907">
        <v>28</v>
      </c>
      <c r="B1907">
        <v>5</v>
      </c>
      <c r="C1907">
        <v>4</v>
      </c>
      <c r="D1907" s="2">
        <v>2</v>
      </c>
      <c r="E1907" s="2">
        <v>1</v>
      </c>
      <c r="F1907" s="2" t="s">
        <v>4</v>
      </c>
      <c r="G1907" s="2">
        <v>901.80000000010796</v>
      </c>
      <c r="H1907" s="2" t="s">
        <v>8</v>
      </c>
      <c r="I1907" s="2">
        <v>460677</v>
      </c>
      <c r="J1907" s="2">
        <v>1000</v>
      </c>
      <c r="K1907" s="2">
        <v>500</v>
      </c>
      <c r="L1907" s="2">
        <v>0</v>
      </c>
      <c r="M1907" s="2">
        <v>636847.97</v>
      </c>
      <c r="N1907">
        <f t="shared" si="37"/>
        <v>1098426.77</v>
      </c>
      <c r="O1907" s="2" t="s">
        <v>4</v>
      </c>
    </row>
    <row r="1908" spans="1:15" x14ac:dyDescent="0.2">
      <c r="A1908">
        <v>29</v>
      </c>
      <c r="B1908">
        <v>5</v>
      </c>
      <c r="C1908">
        <v>5</v>
      </c>
      <c r="D1908" s="2">
        <v>2</v>
      </c>
      <c r="E1908" s="2">
        <v>2</v>
      </c>
      <c r="F1908" s="2" t="s">
        <v>4</v>
      </c>
      <c r="G1908" s="2">
        <v>926.20000000032098</v>
      </c>
      <c r="H1908" s="2" t="s">
        <v>8</v>
      </c>
      <c r="I1908" s="2">
        <v>770229.00000000105</v>
      </c>
      <c r="J1908" s="2">
        <v>1000</v>
      </c>
      <c r="K1908" s="2">
        <v>500</v>
      </c>
      <c r="L1908" s="2">
        <v>0</v>
      </c>
      <c r="M1908" s="2">
        <v>641367.56999999995</v>
      </c>
      <c r="N1908">
        <f t="shared" si="37"/>
        <v>1412522.7700000014</v>
      </c>
      <c r="O1908" s="2" t="s">
        <v>4</v>
      </c>
    </row>
    <row r="1909" spans="1:15" x14ac:dyDescent="0.2">
      <c r="A1909">
        <v>30</v>
      </c>
      <c r="B1909">
        <v>5</v>
      </c>
      <c r="C1909">
        <v>5</v>
      </c>
      <c r="D1909" s="2">
        <v>2</v>
      </c>
      <c r="E1909" s="2">
        <v>3</v>
      </c>
      <c r="F1909" s="2" t="s">
        <v>4</v>
      </c>
      <c r="G1909" s="2">
        <v>922.99999999951899</v>
      </c>
      <c r="H1909" s="2" t="s">
        <v>8</v>
      </c>
      <c r="I1909" s="2">
        <v>1785648</v>
      </c>
      <c r="J1909" s="2">
        <v>1000</v>
      </c>
      <c r="K1909" s="2">
        <v>500</v>
      </c>
      <c r="L1909" s="2">
        <v>0</v>
      </c>
      <c r="M1909" s="2">
        <v>612645.56999999995</v>
      </c>
      <c r="N1909">
        <f t="shared" si="37"/>
        <v>2399216.5699999994</v>
      </c>
      <c r="O1909" s="2" t="s">
        <v>4</v>
      </c>
    </row>
    <row r="1910" spans="1:15" x14ac:dyDescent="0.2">
      <c r="A1910">
        <v>31</v>
      </c>
      <c r="B1910">
        <v>5</v>
      </c>
      <c r="C1910">
        <v>5</v>
      </c>
      <c r="D1910" s="2">
        <v>2</v>
      </c>
      <c r="E1910" s="2">
        <v>1</v>
      </c>
      <c r="F1910" s="2" t="s">
        <v>4</v>
      </c>
      <c r="G1910" s="2">
        <v>780.99999999920999</v>
      </c>
      <c r="H1910" s="2" t="s">
        <v>8</v>
      </c>
      <c r="I1910" s="2">
        <v>634705.99999999802</v>
      </c>
      <c r="J1910" s="2">
        <v>1000</v>
      </c>
      <c r="K1910" s="2">
        <v>500</v>
      </c>
      <c r="L1910" s="2">
        <v>0</v>
      </c>
      <c r="M1910" s="2">
        <v>593766.37</v>
      </c>
      <c r="N1910">
        <f t="shared" si="37"/>
        <v>1229253.3699999973</v>
      </c>
      <c r="O1910" s="2" t="s">
        <v>4</v>
      </c>
    </row>
    <row r="1911" spans="1:15" x14ac:dyDescent="0.2">
      <c r="A1911">
        <v>32</v>
      </c>
      <c r="B1911">
        <v>5</v>
      </c>
      <c r="C1911">
        <v>5</v>
      </c>
      <c r="D1911" s="2">
        <v>2</v>
      </c>
      <c r="E1911" s="2">
        <v>2</v>
      </c>
      <c r="F1911" s="2" t="s">
        <v>4</v>
      </c>
      <c r="G1911" s="2">
        <v>720.199999999949</v>
      </c>
      <c r="H1911" s="2" t="s">
        <v>8</v>
      </c>
      <c r="I1911" s="2">
        <v>1699059</v>
      </c>
      <c r="J1911" s="2">
        <v>1000</v>
      </c>
      <c r="K1911" s="2">
        <v>500</v>
      </c>
      <c r="L1911" s="2">
        <v>0</v>
      </c>
      <c r="M1911" s="2">
        <v>607326.77</v>
      </c>
      <c r="N1911">
        <f t="shared" si="37"/>
        <v>2307105.9699999997</v>
      </c>
      <c r="O1911" s="2" t="s">
        <v>4</v>
      </c>
    </row>
    <row r="1912" spans="1:15" x14ac:dyDescent="0.2">
      <c r="A1912">
        <v>33</v>
      </c>
      <c r="B1912">
        <v>5</v>
      </c>
      <c r="C1912">
        <v>5</v>
      </c>
      <c r="D1912" s="2">
        <v>2</v>
      </c>
      <c r="E1912" s="2">
        <v>3</v>
      </c>
      <c r="F1912" s="2" t="s">
        <v>4</v>
      </c>
      <c r="G1912" s="2">
        <v>762.79999999968595</v>
      </c>
      <c r="H1912" s="2" t="s">
        <v>8</v>
      </c>
      <c r="I1912" s="2">
        <v>1760464</v>
      </c>
      <c r="J1912" s="2">
        <v>1000</v>
      </c>
      <c r="K1912" s="2">
        <v>500</v>
      </c>
      <c r="L1912" s="2">
        <v>0</v>
      </c>
      <c r="M1912" s="2">
        <v>628766.77</v>
      </c>
      <c r="N1912">
        <f t="shared" si="37"/>
        <v>2389993.5699999994</v>
      </c>
      <c r="O1912" s="2" t="s">
        <v>4</v>
      </c>
    </row>
    <row r="1913" spans="1:15" x14ac:dyDescent="0.2">
      <c r="A1913">
        <v>34</v>
      </c>
      <c r="B1913">
        <v>5</v>
      </c>
      <c r="C1913">
        <v>5</v>
      </c>
      <c r="D1913" s="2">
        <v>2</v>
      </c>
      <c r="E1913" s="2">
        <v>1</v>
      </c>
      <c r="F1913" s="2" t="s">
        <v>4</v>
      </c>
      <c r="G1913" s="2">
        <v>563.600000000264</v>
      </c>
      <c r="H1913" s="2" t="s">
        <v>8</v>
      </c>
      <c r="I1913" s="2">
        <v>567174.00000000105</v>
      </c>
      <c r="J1913" s="2">
        <v>1000</v>
      </c>
      <c r="K1913" s="2">
        <v>500</v>
      </c>
      <c r="L1913" s="2">
        <v>0</v>
      </c>
      <c r="M1913" s="2">
        <v>640886.77</v>
      </c>
      <c r="N1913">
        <f t="shared" si="37"/>
        <v>1208624.3700000013</v>
      </c>
      <c r="O1913" s="2" t="s">
        <v>4</v>
      </c>
    </row>
    <row r="1914" spans="1:15" x14ac:dyDescent="0.2">
      <c r="A1914">
        <v>35</v>
      </c>
      <c r="B1914">
        <v>5</v>
      </c>
      <c r="C1914">
        <v>6</v>
      </c>
      <c r="D1914" s="2">
        <v>2</v>
      </c>
      <c r="E1914" s="2">
        <v>1</v>
      </c>
      <c r="F1914" s="2" t="s">
        <v>4</v>
      </c>
      <c r="G1914" s="2">
        <v>467.000000000439</v>
      </c>
      <c r="H1914" s="2" t="s">
        <v>8</v>
      </c>
      <c r="I1914" s="2">
        <v>1291090</v>
      </c>
      <c r="J1914" s="2">
        <v>1000</v>
      </c>
      <c r="K1914" s="2">
        <v>500</v>
      </c>
      <c r="L1914" s="2">
        <v>0</v>
      </c>
      <c r="M1914" s="2">
        <v>594945.97</v>
      </c>
      <c r="N1914">
        <f t="shared" si="37"/>
        <v>1886502.9700000004</v>
      </c>
      <c r="O1914" s="2" t="s">
        <v>4</v>
      </c>
    </row>
    <row r="1915" spans="1:15" x14ac:dyDescent="0.2">
      <c r="A1915">
        <v>36</v>
      </c>
      <c r="B1915">
        <v>5</v>
      </c>
      <c r="C1915">
        <v>6</v>
      </c>
      <c r="D1915" s="2">
        <v>2</v>
      </c>
      <c r="E1915" s="2">
        <v>2</v>
      </c>
      <c r="F1915" s="2" t="s">
        <v>4</v>
      </c>
      <c r="G1915" s="2">
        <v>432.59999999953902</v>
      </c>
      <c r="H1915" s="2" t="s">
        <v>8</v>
      </c>
      <c r="I1915" s="2">
        <v>884944.99999999499</v>
      </c>
      <c r="J1915" s="2">
        <v>1000</v>
      </c>
      <c r="K1915" s="2">
        <v>500</v>
      </c>
      <c r="L1915" s="2">
        <v>0</v>
      </c>
      <c r="M1915" s="2">
        <v>650145.97</v>
      </c>
      <c r="N1915">
        <f t="shared" si="37"/>
        <v>1535523.5699999945</v>
      </c>
      <c r="O1915" s="2" t="s">
        <v>4</v>
      </c>
    </row>
    <row r="1916" spans="1:15" x14ac:dyDescent="0.2">
      <c r="A1916">
        <v>37</v>
      </c>
      <c r="B1916">
        <v>5</v>
      </c>
      <c r="C1916">
        <v>6</v>
      </c>
      <c r="D1916" s="2">
        <v>2</v>
      </c>
      <c r="E1916" s="2">
        <v>3</v>
      </c>
      <c r="F1916" s="2" t="s">
        <v>4</v>
      </c>
      <c r="G1916" s="2">
        <v>535.40000000005296</v>
      </c>
      <c r="H1916" s="2" t="s">
        <v>8</v>
      </c>
      <c r="I1916" s="2">
        <v>1563006</v>
      </c>
      <c r="J1916" s="2">
        <v>1000</v>
      </c>
      <c r="K1916" s="2">
        <v>500</v>
      </c>
      <c r="L1916" s="2">
        <v>0</v>
      </c>
      <c r="M1916" s="2">
        <v>613727.97</v>
      </c>
      <c r="N1916">
        <f t="shared" si="37"/>
        <v>2177269.37</v>
      </c>
      <c r="O1916" s="2" t="s">
        <v>4</v>
      </c>
    </row>
    <row r="1917" spans="1:15" x14ac:dyDescent="0.2">
      <c r="A1917">
        <v>38</v>
      </c>
      <c r="B1917">
        <v>5</v>
      </c>
      <c r="C1917">
        <v>6</v>
      </c>
      <c r="D1917" s="2">
        <v>2</v>
      </c>
      <c r="E1917" s="2">
        <v>1</v>
      </c>
      <c r="F1917" s="2" t="s">
        <v>4</v>
      </c>
      <c r="G1917" s="2">
        <v>394.79999999976201</v>
      </c>
      <c r="H1917" s="2" t="s">
        <v>8</v>
      </c>
      <c r="I1917" s="2">
        <v>686184.00000000396</v>
      </c>
      <c r="J1917" s="2">
        <v>1000</v>
      </c>
      <c r="K1917" s="2">
        <v>500</v>
      </c>
      <c r="L1917" s="2">
        <v>0</v>
      </c>
      <c r="M1917" s="2">
        <v>610607.17000000004</v>
      </c>
      <c r="N1917">
        <f t="shared" si="37"/>
        <v>1297185.9700000039</v>
      </c>
      <c r="O1917" s="2" t="s">
        <v>4</v>
      </c>
    </row>
    <row r="1918" spans="1:15" x14ac:dyDescent="0.2">
      <c r="A1918">
        <v>39</v>
      </c>
      <c r="B1918">
        <v>5</v>
      </c>
      <c r="C1918">
        <v>7</v>
      </c>
      <c r="D1918" s="2">
        <v>2</v>
      </c>
      <c r="E1918" s="2">
        <v>1</v>
      </c>
      <c r="F1918" s="2" t="s">
        <v>4</v>
      </c>
      <c r="G1918" s="2">
        <v>470.600000000232</v>
      </c>
      <c r="H1918" s="2" t="s">
        <v>8</v>
      </c>
      <c r="I1918" s="2">
        <v>1346969</v>
      </c>
      <c r="J1918" s="2">
        <v>1000</v>
      </c>
      <c r="K1918" s="2">
        <v>500</v>
      </c>
      <c r="L1918" s="2">
        <v>0</v>
      </c>
      <c r="M1918" s="2">
        <v>616307.17000000004</v>
      </c>
      <c r="N1918">
        <f t="shared" si="37"/>
        <v>1963746.7700000005</v>
      </c>
      <c r="O1918" s="2" t="s">
        <v>4</v>
      </c>
    </row>
    <row r="1919" spans="1:15" x14ac:dyDescent="0.2">
      <c r="A1919">
        <v>40</v>
      </c>
      <c r="B1919">
        <v>5</v>
      </c>
      <c r="C1919">
        <v>7</v>
      </c>
      <c r="D1919" s="2">
        <v>2</v>
      </c>
      <c r="E1919" s="2">
        <v>2</v>
      </c>
      <c r="F1919" s="2" t="s">
        <v>4</v>
      </c>
      <c r="G1919" s="2">
        <v>455.20000000074401</v>
      </c>
      <c r="H1919" s="2" t="s">
        <v>8</v>
      </c>
      <c r="I1919" s="2">
        <v>2734535</v>
      </c>
      <c r="J1919" s="2">
        <v>1000</v>
      </c>
      <c r="K1919" s="2">
        <v>500</v>
      </c>
      <c r="L1919" s="2">
        <v>0</v>
      </c>
      <c r="M1919" s="2">
        <v>648905.56999999995</v>
      </c>
      <c r="N1919">
        <f t="shared" si="37"/>
        <v>3383895.7700000005</v>
      </c>
      <c r="O1919" s="2" t="s">
        <v>4</v>
      </c>
    </row>
    <row r="1920" spans="1:15" x14ac:dyDescent="0.2">
      <c r="A1920">
        <v>41</v>
      </c>
      <c r="B1920">
        <v>5</v>
      </c>
      <c r="C1920">
        <v>7</v>
      </c>
      <c r="D1920" s="2">
        <v>2</v>
      </c>
      <c r="E1920" s="2">
        <v>3</v>
      </c>
      <c r="F1920" s="2" t="s">
        <v>4</v>
      </c>
      <c r="G1920" s="2">
        <v>556.20000000047298</v>
      </c>
      <c r="H1920" s="2" t="s">
        <v>8</v>
      </c>
      <c r="I1920" s="2">
        <v>2185385</v>
      </c>
      <c r="J1920" s="2">
        <v>1000</v>
      </c>
      <c r="K1920" s="2">
        <v>500</v>
      </c>
      <c r="L1920" s="2">
        <v>0</v>
      </c>
      <c r="M1920" s="2">
        <v>618867.56999999995</v>
      </c>
      <c r="N1920">
        <f t="shared" si="37"/>
        <v>2804808.7700000005</v>
      </c>
      <c r="O1920" s="2" t="s">
        <v>4</v>
      </c>
    </row>
    <row r="1921" spans="1:15" x14ac:dyDescent="0.2">
      <c r="A1921">
        <v>42</v>
      </c>
      <c r="B1921">
        <v>5</v>
      </c>
      <c r="C1921">
        <v>4</v>
      </c>
      <c r="D1921" s="2">
        <v>2</v>
      </c>
      <c r="E1921" s="2">
        <v>1</v>
      </c>
      <c r="F1921" s="2" t="s">
        <v>4</v>
      </c>
      <c r="G1921" s="2">
        <v>288.80000000022198</v>
      </c>
      <c r="H1921" s="2" t="s">
        <v>8</v>
      </c>
      <c r="I1921" s="2">
        <v>329124</v>
      </c>
      <c r="J1921" s="2">
        <v>1000</v>
      </c>
      <c r="K1921" s="2">
        <v>500</v>
      </c>
      <c r="L1921" s="2">
        <v>0</v>
      </c>
      <c r="M1921" s="2">
        <v>595924.77</v>
      </c>
      <c r="N1921">
        <f t="shared" si="37"/>
        <v>925337.5700000003</v>
      </c>
      <c r="O1921" s="2" t="s">
        <v>4</v>
      </c>
    </row>
    <row r="1922" spans="1:15" x14ac:dyDescent="0.2">
      <c r="A1922">
        <v>43</v>
      </c>
      <c r="B1922">
        <v>5</v>
      </c>
      <c r="C1922">
        <v>5</v>
      </c>
      <c r="D1922" s="2">
        <v>2</v>
      </c>
      <c r="E1922" s="2">
        <v>1</v>
      </c>
      <c r="F1922" s="2" t="s">
        <v>4</v>
      </c>
      <c r="G1922" s="2">
        <v>340.19999999976801</v>
      </c>
      <c r="H1922" s="2" t="s">
        <v>8</v>
      </c>
      <c r="I1922" s="2">
        <v>626666</v>
      </c>
      <c r="J1922" s="2">
        <v>1000</v>
      </c>
      <c r="K1922" s="2">
        <v>500</v>
      </c>
      <c r="L1922" s="2">
        <v>0</v>
      </c>
      <c r="M1922" s="2">
        <v>596365.56999999995</v>
      </c>
      <c r="N1922">
        <f t="shared" si="37"/>
        <v>1223371.7699999996</v>
      </c>
      <c r="O1922" s="2" t="s">
        <v>4</v>
      </c>
    </row>
    <row r="1923" spans="1:15" x14ac:dyDescent="0.2">
      <c r="A1923">
        <v>44</v>
      </c>
      <c r="B1923">
        <v>5</v>
      </c>
      <c r="C1923">
        <v>5</v>
      </c>
      <c r="D1923" s="2">
        <v>2</v>
      </c>
      <c r="E1923" s="2">
        <v>2</v>
      </c>
      <c r="F1923" s="2" t="s">
        <v>4</v>
      </c>
      <c r="G1923" s="2">
        <v>325.80000000024302</v>
      </c>
      <c r="H1923" s="2" t="s">
        <v>8</v>
      </c>
      <c r="I1923" s="2">
        <v>625314.00000000303</v>
      </c>
      <c r="J1923" s="2">
        <v>1000</v>
      </c>
      <c r="K1923" s="2">
        <v>500</v>
      </c>
      <c r="L1923" s="2">
        <v>0</v>
      </c>
      <c r="M1923" s="2">
        <v>601288.77</v>
      </c>
      <c r="N1923">
        <f t="shared" si="37"/>
        <v>1226928.5700000033</v>
      </c>
      <c r="O1923" s="2" t="s">
        <v>4</v>
      </c>
    </row>
    <row r="1924" spans="1:15" x14ac:dyDescent="0.2">
      <c r="A1924">
        <v>45</v>
      </c>
      <c r="B1924">
        <v>5</v>
      </c>
      <c r="C1924">
        <v>5</v>
      </c>
      <c r="D1924" s="2">
        <v>2</v>
      </c>
      <c r="E1924" s="2">
        <v>3</v>
      </c>
      <c r="F1924" s="2" t="s">
        <v>4</v>
      </c>
      <c r="G1924" s="2">
        <v>420.79999999948802</v>
      </c>
      <c r="H1924" s="2" t="s">
        <v>8</v>
      </c>
      <c r="I1924" s="2">
        <v>1579966</v>
      </c>
      <c r="J1924" s="2">
        <v>1000</v>
      </c>
      <c r="K1924" s="2">
        <v>500</v>
      </c>
      <c r="L1924" s="2">
        <v>0</v>
      </c>
      <c r="M1924" s="2">
        <v>641824.77</v>
      </c>
      <c r="N1924">
        <f t="shared" si="37"/>
        <v>2222211.5699999994</v>
      </c>
      <c r="O1924" s="2" t="s">
        <v>4</v>
      </c>
    </row>
    <row r="1925" spans="1:15" x14ac:dyDescent="0.2">
      <c r="A1925">
        <v>46</v>
      </c>
      <c r="B1925">
        <v>5</v>
      </c>
      <c r="C1925">
        <v>6</v>
      </c>
      <c r="D1925" s="2">
        <v>2</v>
      </c>
      <c r="E1925" s="2">
        <v>1</v>
      </c>
      <c r="F1925" s="2" t="s">
        <v>4</v>
      </c>
      <c r="G1925" s="2">
        <v>431.79999999978202</v>
      </c>
      <c r="H1925" s="2" t="s">
        <v>8</v>
      </c>
      <c r="I1925" s="2">
        <v>908150.99999999697</v>
      </c>
      <c r="J1925" s="2">
        <v>1000</v>
      </c>
      <c r="K1925" s="2">
        <v>500</v>
      </c>
      <c r="L1925" s="2">
        <v>0</v>
      </c>
      <c r="M1925" s="2">
        <v>585206.37</v>
      </c>
      <c r="N1925">
        <f t="shared" si="37"/>
        <v>1493789.1699999967</v>
      </c>
      <c r="O1925" s="2" t="s">
        <v>4</v>
      </c>
    </row>
    <row r="1926" spans="1:15" x14ac:dyDescent="0.2">
      <c r="A1926">
        <v>47</v>
      </c>
      <c r="B1926">
        <v>5</v>
      </c>
      <c r="C1926">
        <v>6</v>
      </c>
      <c r="D1926" s="2">
        <v>2</v>
      </c>
      <c r="E1926" s="2">
        <v>2</v>
      </c>
      <c r="F1926" s="2" t="s">
        <v>4</v>
      </c>
      <c r="G1926" s="2">
        <v>392.80000000019299</v>
      </c>
      <c r="H1926" s="2" t="s">
        <v>8</v>
      </c>
      <c r="I1926" s="2">
        <v>835637.99999999604</v>
      </c>
      <c r="J1926" s="2">
        <v>1000</v>
      </c>
      <c r="K1926" s="2">
        <v>500</v>
      </c>
      <c r="L1926" s="2">
        <v>0</v>
      </c>
      <c r="M1926" s="2">
        <v>640187.56999999995</v>
      </c>
      <c r="N1926">
        <f t="shared" si="37"/>
        <v>1476218.3699999962</v>
      </c>
      <c r="O1926" s="2" t="s">
        <v>4</v>
      </c>
    </row>
    <row r="1927" spans="1:15" x14ac:dyDescent="0.2">
      <c r="A1927">
        <v>48</v>
      </c>
      <c r="B1927">
        <v>5</v>
      </c>
      <c r="C1927">
        <v>6</v>
      </c>
      <c r="D1927" s="2">
        <v>2</v>
      </c>
      <c r="E1927" s="2">
        <v>3</v>
      </c>
      <c r="F1927" s="2" t="s">
        <v>4</v>
      </c>
      <c r="G1927" s="2">
        <v>479.99999999994702</v>
      </c>
      <c r="H1927" s="2" t="s">
        <v>8</v>
      </c>
      <c r="I1927" s="2">
        <v>1313722.00000001</v>
      </c>
      <c r="J1927" s="2">
        <v>1000</v>
      </c>
      <c r="K1927" s="2">
        <v>500</v>
      </c>
      <c r="L1927" s="2">
        <v>0</v>
      </c>
      <c r="M1927" s="2">
        <v>655307.56999999995</v>
      </c>
      <c r="N1927">
        <f t="shared" si="37"/>
        <v>1969509.5700000101</v>
      </c>
      <c r="O1927" s="2" t="s">
        <v>4</v>
      </c>
    </row>
    <row r="1928" spans="1:15" x14ac:dyDescent="0.2">
      <c r="A1928">
        <v>49</v>
      </c>
      <c r="B1928">
        <v>5</v>
      </c>
      <c r="C1928">
        <v>6</v>
      </c>
      <c r="D1928" s="2">
        <v>2</v>
      </c>
      <c r="E1928" s="2">
        <v>1</v>
      </c>
      <c r="F1928" s="2" t="s">
        <v>4</v>
      </c>
      <c r="G1928" s="2">
        <v>379.40000000027402</v>
      </c>
      <c r="H1928" s="2" t="s">
        <v>8</v>
      </c>
      <c r="I1928" s="2">
        <v>1132380</v>
      </c>
      <c r="J1928" s="2">
        <v>1000</v>
      </c>
      <c r="K1928" s="2">
        <v>500</v>
      </c>
      <c r="L1928" s="2">
        <v>0</v>
      </c>
      <c r="M1928" s="2">
        <v>593125.17000000004</v>
      </c>
      <c r="N1928">
        <f t="shared" si="37"/>
        <v>1725884.5700000003</v>
      </c>
      <c r="O1928" s="2" t="s">
        <v>4</v>
      </c>
    </row>
    <row r="1929" spans="1:15" x14ac:dyDescent="0.2">
      <c r="A1929">
        <v>50</v>
      </c>
      <c r="B1929">
        <v>5</v>
      </c>
      <c r="C1929">
        <v>6</v>
      </c>
      <c r="D1929" s="2">
        <v>2</v>
      </c>
      <c r="E1929" s="2">
        <v>2</v>
      </c>
      <c r="F1929" s="2" t="s">
        <v>4</v>
      </c>
      <c r="G1929" s="2">
        <v>387.60000000017698</v>
      </c>
      <c r="H1929" s="2" t="s">
        <v>8</v>
      </c>
      <c r="I1929" s="2">
        <v>809797.00000000303</v>
      </c>
      <c r="J1929" s="2">
        <v>1000</v>
      </c>
      <c r="K1929" s="2">
        <v>500</v>
      </c>
      <c r="L1929" s="2">
        <v>0</v>
      </c>
      <c r="M1929" s="2">
        <v>605207.17000000004</v>
      </c>
      <c r="N1929">
        <f t="shared" si="37"/>
        <v>1415391.7700000033</v>
      </c>
      <c r="O1929" s="2" t="s">
        <v>4</v>
      </c>
    </row>
    <row r="1930" spans="1:15" x14ac:dyDescent="0.2">
      <c r="A1930">
        <v>51</v>
      </c>
      <c r="B1930">
        <v>5</v>
      </c>
      <c r="C1930">
        <v>6</v>
      </c>
      <c r="D1930" s="2">
        <v>2</v>
      </c>
      <c r="E1930" s="2">
        <v>3</v>
      </c>
      <c r="F1930" s="2" t="s">
        <v>4</v>
      </c>
      <c r="G1930" s="2">
        <v>476.39999999944399</v>
      </c>
      <c r="H1930" s="2" t="s">
        <v>8</v>
      </c>
      <c r="I1930" s="2">
        <v>1191722</v>
      </c>
      <c r="J1930" s="2">
        <v>1000</v>
      </c>
      <c r="K1930" s="2">
        <v>500</v>
      </c>
      <c r="L1930" s="2">
        <v>0</v>
      </c>
      <c r="M1930" s="2">
        <v>606765.56999999995</v>
      </c>
      <c r="N1930">
        <f t="shared" ref="N1930:N1971" si="38">G1930+I1930+M1930</f>
        <v>1798963.9699999993</v>
      </c>
      <c r="O1930" s="2" t="s">
        <v>4</v>
      </c>
    </row>
    <row r="1931" spans="1:15" x14ac:dyDescent="0.2">
      <c r="A1931">
        <v>52</v>
      </c>
      <c r="B1931">
        <v>5</v>
      </c>
      <c r="C1931">
        <v>7</v>
      </c>
      <c r="D1931" s="2">
        <v>2</v>
      </c>
      <c r="E1931" s="2">
        <v>1</v>
      </c>
      <c r="F1931" s="2" t="s">
        <v>4</v>
      </c>
      <c r="G1931" s="2">
        <v>407.79999999998</v>
      </c>
      <c r="H1931" s="2" t="s">
        <v>8</v>
      </c>
      <c r="I1931" s="2">
        <v>1069360</v>
      </c>
      <c r="J1931" s="2">
        <v>1000</v>
      </c>
      <c r="K1931" s="2">
        <v>500</v>
      </c>
      <c r="L1931" s="2">
        <v>0</v>
      </c>
      <c r="M1931" s="2">
        <v>614228.77</v>
      </c>
      <c r="N1931">
        <f t="shared" si="38"/>
        <v>1683996.57</v>
      </c>
      <c r="O1931" s="2" t="s">
        <v>4</v>
      </c>
    </row>
    <row r="1932" spans="1:15" x14ac:dyDescent="0.2">
      <c r="A1932">
        <v>53</v>
      </c>
      <c r="B1932">
        <v>5</v>
      </c>
      <c r="C1932">
        <v>7</v>
      </c>
      <c r="D1932" s="2">
        <v>2</v>
      </c>
      <c r="E1932" s="2">
        <v>2</v>
      </c>
      <c r="F1932" s="2" t="s">
        <v>4</v>
      </c>
      <c r="G1932" s="2">
        <v>396.99999999953701</v>
      </c>
      <c r="H1932" s="2" t="s">
        <v>8</v>
      </c>
      <c r="I1932" s="2">
        <v>2505793</v>
      </c>
      <c r="J1932" s="2">
        <v>1000</v>
      </c>
      <c r="K1932" s="2">
        <v>500</v>
      </c>
      <c r="L1932" s="2">
        <v>0</v>
      </c>
      <c r="M1932" s="2">
        <v>605607.56999999995</v>
      </c>
      <c r="N1932">
        <f t="shared" si="38"/>
        <v>3111797.5699999994</v>
      </c>
      <c r="O1932" s="2" t="s">
        <v>4</v>
      </c>
    </row>
    <row r="1933" spans="1:15" x14ac:dyDescent="0.2">
      <c r="A1933">
        <v>54</v>
      </c>
      <c r="B1933">
        <v>5</v>
      </c>
      <c r="C1933">
        <v>7</v>
      </c>
      <c r="D1933" s="2">
        <v>2</v>
      </c>
      <c r="E1933" s="2">
        <v>3</v>
      </c>
      <c r="F1933" s="2" t="s">
        <v>4</v>
      </c>
      <c r="G1933" s="2">
        <v>497.99999999997601</v>
      </c>
      <c r="H1933" s="2" t="s">
        <v>8</v>
      </c>
      <c r="I1933" s="2">
        <v>3244514</v>
      </c>
      <c r="J1933" s="2">
        <v>1000</v>
      </c>
      <c r="K1933" s="2">
        <v>500</v>
      </c>
      <c r="L1933" s="2">
        <v>0</v>
      </c>
      <c r="M1933" s="2">
        <v>594165.17000000004</v>
      </c>
      <c r="N1933">
        <f t="shared" si="38"/>
        <v>3839177.17</v>
      </c>
      <c r="O1933" s="2" t="s">
        <v>4</v>
      </c>
    </row>
    <row r="1934" spans="1:15" x14ac:dyDescent="0.2">
      <c r="A1934">
        <v>55</v>
      </c>
      <c r="B1934">
        <v>5</v>
      </c>
      <c r="C1934">
        <v>5</v>
      </c>
      <c r="D1934" s="2">
        <v>2</v>
      </c>
      <c r="E1934" s="2">
        <v>1</v>
      </c>
      <c r="F1934" s="2" t="s">
        <v>4</v>
      </c>
      <c r="G1934" s="2">
        <v>289.40000000012799</v>
      </c>
      <c r="H1934" s="2" t="s">
        <v>8</v>
      </c>
      <c r="I1934" s="2">
        <v>783248</v>
      </c>
      <c r="J1934" s="2">
        <v>1000</v>
      </c>
      <c r="K1934" s="2">
        <v>500</v>
      </c>
      <c r="L1934" s="2">
        <v>0</v>
      </c>
      <c r="M1934" s="2">
        <v>591406.77</v>
      </c>
      <c r="N1934">
        <f t="shared" si="38"/>
        <v>1374944.1700000002</v>
      </c>
      <c r="O1934" s="2" t="s">
        <v>4</v>
      </c>
    </row>
    <row r="1935" spans="1:15" x14ac:dyDescent="0.2">
      <c r="A1935">
        <v>56</v>
      </c>
      <c r="B1935">
        <v>5</v>
      </c>
      <c r="C1935">
        <v>5</v>
      </c>
      <c r="D1935" s="2">
        <v>2</v>
      </c>
      <c r="E1935" s="2">
        <v>2</v>
      </c>
      <c r="F1935" s="2" t="s">
        <v>4</v>
      </c>
      <c r="G1935" s="2">
        <v>287.00000000014802</v>
      </c>
      <c r="H1935" s="2" t="s">
        <v>8</v>
      </c>
      <c r="I1935" s="2">
        <v>544256.00000000396</v>
      </c>
      <c r="J1935" s="2">
        <v>1000</v>
      </c>
      <c r="K1935" s="2">
        <v>500</v>
      </c>
      <c r="L1935" s="2">
        <v>0</v>
      </c>
      <c r="M1935" s="2">
        <v>601106.77</v>
      </c>
      <c r="N1935">
        <f t="shared" si="38"/>
        <v>1145649.7700000042</v>
      </c>
      <c r="O1935" s="2" t="s">
        <v>4</v>
      </c>
    </row>
    <row r="1936" spans="1:15" x14ac:dyDescent="0.2">
      <c r="A1936">
        <v>57</v>
      </c>
      <c r="B1936">
        <v>5</v>
      </c>
      <c r="C1936">
        <v>5</v>
      </c>
      <c r="D1936" s="2">
        <v>2</v>
      </c>
      <c r="E1936" s="2">
        <v>3</v>
      </c>
      <c r="F1936" s="2" t="s">
        <v>4</v>
      </c>
      <c r="G1936" s="2">
        <v>362.39999999949703</v>
      </c>
      <c r="H1936" s="2" t="s">
        <v>8</v>
      </c>
      <c r="I1936" s="2">
        <v>801326.00000000303</v>
      </c>
      <c r="J1936" s="2">
        <v>1000</v>
      </c>
      <c r="K1936" s="2">
        <v>500</v>
      </c>
      <c r="L1936" s="2">
        <v>0</v>
      </c>
      <c r="M1936" s="2">
        <v>647287.56999999995</v>
      </c>
      <c r="N1936">
        <f t="shared" si="38"/>
        <v>1448975.9700000025</v>
      </c>
      <c r="O1936" s="2" t="s">
        <v>4</v>
      </c>
    </row>
    <row r="1937" spans="1:15" x14ac:dyDescent="0.2">
      <c r="A1937">
        <v>58</v>
      </c>
      <c r="B1937">
        <v>5</v>
      </c>
      <c r="C1937">
        <v>6</v>
      </c>
      <c r="D1937" s="2">
        <v>2</v>
      </c>
      <c r="E1937" s="2">
        <v>1</v>
      </c>
      <c r="F1937" s="2" t="s">
        <v>4</v>
      </c>
      <c r="G1937" s="2">
        <v>340.79999999967498</v>
      </c>
      <c r="H1937" s="2" t="s">
        <v>8</v>
      </c>
      <c r="I1937" s="2">
        <v>868777.00000000198</v>
      </c>
      <c r="J1937" s="2">
        <v>1000</v>
      </c>
      <c r="K1937" s="2">
        <v>500</v>
      </c>
      <c r="L1937" s="2">
        <v>0</v>
      </c>
      <c r="M1937" s="2">
        <v>643928.37</v>
      </c>
      <c r="N1937">
        <f t="shared" si="38"/>
        <v>1513046.1700000018</v>
      </c>
      <c r="O1937" s="2" t="s">
        <v>4</v>
      </c>
    </row>
    <row r="1938" spans="1:15" x14ac:dyDescent="0.2">
      <c r="A1938">
        <v>59</v>
      </c>
      <c r="B1938">
        <v>5</v>
      </c>
      <c r="C1938">
        <v>6</v>
      </c>
      <c r="D1938" s="2">
        <v>2</v>
      </c>
      <c r="E1938" s="2">
        <v>2</v>
      </c>
      <c r="F1938" s="2" t="s">
        <v>4</v>
      </c>
      <c r="G1938" s="2">
        <v>334.19999999999601</v>
      </c>
      <c r="H1938" s="2" t="s">
        <v>8</v>
      </c>
      <c r="I1938" s="2">
        <v>583774.00000000501</v>
      </c>
      <c r="J1938" s="2">
        <v>1000</v>
      </c>
      <c r="K1938" s="2">
        <v>500</v>
      </c>
      <c r="L1938" s="2">
        <v>0</v>
      </c>
      <c r="M1938" s="2">
        <v>611987.17000000004</v>
      </c>
      <c r="N1938">
        <f t="shared" si="38"/>
        <v>1196095.370000005</v>
      </c>
      <c r="O1938" s="2" t="s">
        <v>4</v>
      </c>
    </row>
    <row r="1939" spans="1:15" x14ac:dyDescent="0.2">
      <c r="A1939">
        <v>60</v>
      </c>
      <c r="B1939">
        <v>5</v>
      </c>
      <c r="C1939">
        <v>6</v>
      </c>
      <c r="D1939" s="2">
        <v>2</v>
      </c>
      <c r="E1939" s="2">
        <v>3</v>
      </c>
      <c r="F1939" s="2" t="s">
        <v>4</v>
      </c>
      <c r="G1939" s="2">
        <v>401.39999999979602</v>
      </c>
      <c r="H1939" s="2" t="s">
        <v>8</v>
      </c>
      <c r="I1939" s="2">
        <v>2144212.9999999902</v>
      </c>
      <c r="J1939" s="2">
        <v>1000</v>
      </c>
      <c r="K1939" s="2">
        <v>500</v>
      </c>
      <c r="L1939" s="2">
        <v>0</v>
      </c>
      <c r="M1939" s="2">
        <v>649106.77</v>
      </c>
      <c r="N1939">
        <f t="shared" si="38"/>
        <v>2793721.1699999901</v>
      </c>
      <c r="O1939" s="2" t="s">
        <v>4</v>
      </c>
    </row>
    <row r="1940" spans="1:15" x14ac:dyDescent="0.2">
      <c r="A1940">
        <v>61</v>
      </c>
      <c r="B1940">
        <v>5</v>
      </c>
      <c r="C1940">
        <v>7</v>
      </c>
      <c r="D1940" s="2">
        <v>2</v>
      </c>
      <c r="E1940" s="2">
        <v>1</v>
      </c>
      <c r="F1940" s="2" t="s">
        <v>4</v>
      </c>
      <c r="G1940" s="2">
        <v>364.79999999983198</v>
      </c>
      <c r="H1940" s="2" t="s">
        <v>8</v>
      </c>
      <c r="I1940" s="2">
        <v>2195942</v>
      </c>
      <c r="J1940" s="2">
        <v>1000</v>
      </c>
      <c r="K1940" s="2">
        <v>500</v>
      </c>
      <c r="L1940" s="2">
        <v>0</v>
      </c>
      <c r="M1940" s="2">
        <v>646845.56999999995</v>
      </c>
      <c r="N1940">
        <f t="shared" si="38"/>
        <v>2843152.3699999996</v>
      </c>
      <c r="O1940" s="2" t="s">
        <v>4</v>
      </c>
    </row>
    <row r="1941" spans="1:15" x14ac:dyDescent="0.2">
      <c r="A1941">
        <v>62</v>
      </c>
      <c r="B1941">
        <v>5</v>
      </c>
      <c r="C1941">
        <v>7</v>
      </c>
      <c r="D1941" s="2">
        <v>2</v>
      </c>
      <c r="E1941" s="2">
        <v>2</v>
      </c>
      <c r="F1941" s="2" t="s">
        <v>4</v>
      </c>
      <c r="G1941" s="2">
        <v>382.79999999950599</v>
      </c>
      <c r="H1941" s="2" t="s">
        <v>8</v>
      </c>
      <c r="I1941" s="2">
        <v>1972765</v>
      </c>
      <c r="J1941" s="2">
        <v>1000</v>
      </c>
      <c r="K1941" s="2">
        <v>500</v>
      </c>
      <c r="L1941" s="2">
        <v>0</v>
      </c>
      <c r="M1941" s="2">
        <v>608148.77</v>
      </c>
      <c r="N1941">
        <f t="shared" si="38"/>
        <v>2581296.5699999994</v>
      </c>
      <c r="O1941" s="2" t="s">
        <v>4</v>
      </c>
    </row>
    <row r="1942" spans="1:15" x14ac:dyDescent="0.2">
      <c r="A1942">
        <v>63</v>
      </c>
      <c r="B1942">
        <v>5</v>
      </c>
      <c r="C1942">
        <v>7</v>
      </c>
      <c r="D1942" s="2">
        <v>2</v>
      </c>
      <c r="E1942" s="2">
        <v>3</v>
      </c>
      <c r="F1942" s="2" t="s">
        <v>4</v>
      </c>
      <c r="G1942" s="2">
        <v>469.999999999615</v>
      </c>
      <c r="H1942" s="2" t="s">
        <v>8</v>
      </c>
      <c r="I1942" s="2">
        <v>2183012.0000000098</v>
      </c>
      <c r="J1942" s="2">
        <v>1000</v>
      </c>
      <c r="K1942" s="2">
        <v>500</v>
      </c>
      <c r="L1942" s="2">
        <v>0</v>
      </c>
      <c r="M1942" s="2">
        <v>619724.77</v>
      </c>
      <c r="N1942">
        <f t="shared" si="38"/>
        <v>2803206.7700000093</v>
      </c>
      <c r="O1942" s="2" t="s">
        <v>4</v>
      </c>
    </row>
    <row r="1943" spans="1:15" x14ac:dyDescent="0.2">
      <c r="A1943">
        <v>64</v>
      </c>
      <c r="B1943">
        <v>5</v>
      </c>
      <c r="C1943">
        <v>8</v>
      </c>
      <c r="D1943" s="2">
        <v>2</v>
      </c>
      <c r="E1943" s="2">
        <v>1</v>
      </c>
      <c r="F1943" s="2" t="s">
        <v>4</v>
      </c>
      <c r="G1943" s="2">
        <v>408.600000000092</v>
      </c>
      <c r="H1943" s="2" t="s">
        <v>8</v>
      </c>
      <c r="I1943" s="2">
        <v>1707695</v>
      </c>
      <c r="J1943" s="2">
        <v>1000</v>
      </c>
      <c r="K1943" s="2">
        <v>500</v>
      </c>
      <c r="L1943" s="2">
        <v>0</v>
      </c>
      <c r="M1943" s="2">
        <v>589145.17000000004</v>
      </c>
      <c r="N1943">
        <f t="shared" si="38"/>
        <v>2297248.77</v>
      </c>
      <c r="O1943" s="2" t="s">
        <v>4</v>
      </c>
    </row>
    <row r="1944" spans="1:15" x14ac:dyDescent="0.2">
      <c r="A1944">
        <v>65</v>
      </c>
      <c r="B1944">
        <v>5</v>
      </c>
      <c r="C1944">
        <v>8</v>
      </c>
      <c r="D1944" s="2">
        <v>2</v>
      </c>
      <c r="E1944" s="2">
        <v>2</v>
      </c>
      <c r="F1944" s="2" t="s">
        <v>4</v>
      </c>
      <c r="G1944" s="2">
        <v>427.200000000383</v>
      </c>
      <c r="H1944" s="2" t="s">
        <v>8</v>
      </c>
      <c r="I1944" s="2">
        <v>1389962.99999999</v>
      </c>
      <c r="J1944" s="2">
        <v>1000</v>
      </c>
      <c r="K1944" s="2">
        <v>500</v>
      </c>
      <c r="L1944" s="2">
        <v>0</v>
      </c>
      <c r="M1944" s="2">
        <v>614665.97</v>
      </c>
      <c r="N1944">
        <f t="shared" si="38"/>
        <v>2005056.1699999904</v>
      </c>
      <c r="O1944" s="2" t="s">
        <v>4</v>
      </c>
    </row>
    <row r="1945" spans="1:15" x14ac:dyDescent="0.2">
      <c r="A1945">
        <v>66</v>
      </c>
      <c r="B1945">
        <v>5</v>
      </c>
      <c r="C1945">
        <v>8</v>
      </c>
      <c r="D1945" s="2">
        <v>2</v>
      </c>
      <c r="E1945" s="2">
        <v>3</v>
      </c>
      <c r="F1945" s="2" t="s">
        <v>4</v>
      </c>
      <c r="G1945" s="2">
        <v>553.79999999942697</v>
      </c>
      <c r="H1945" s="2" t="s">
        <v>8</v>
      </c>
      <c r="I1945" s="2">
        <v>1964170.00000001</v>
      </c>
      <c r="J1945" s="2">
        <v>1000</v>
      </c>
      <c r="K1945" s="2">
        <v>500</v>
      </c>
      <c r="L1945" s="2">
        <v>0</v>
      </c>
      <c r="M1945" s="2">
        <v>623106.77</v>
      </c>
      <c r="N1945">
        <f t="shared" si="38"/>
        <v>2587830.5700000096</v>
      </c>
      <c r="O1945" s="2" t="s">
        <v>4</v>
      </c>
    </row>
    <row r="1946" spans="1:15" x14ac:dyDescent="0.2">
      <c r="A1946">
        <v>67</v>
      </c>
      <c r="B1946">
        <v>5</v>
      </c>
      <c r="C1946">
        <v>7</v>
      </c>
      <c r="D1946" s="2">
        <v>2</v>
      </c>
      <c r="E1946" s="2">
        <v>1</v>
      </c>
      <c r="F1946" s="2" t="s">
        <v>4</v>
      </c>
      <c r="G1946" s="2">
        <v>358.99999999990899</v>
      </c>
      <c r="H1946" s="2" t="s">
        <v>8</v>
      </c>
      <c r="I1946" s="2">
        <v>937139.00000000198</v>
      </c>
      <c r="J1946" s="2">
        <v>1000</v>
      </c>
      <c r="K1946" s="2">
        <v>500</v>
      </c>
      <c r="L1946" s="2">
        <v>0</v>
      </c>
      <c r="M1946" s="2">
        <v>586066.37</v>
      </c>
      <c r="N1946">
        <f t="shared" si="38"/>
        <v>1523564.370000002</v>
      </c>
      <c r="O1946" s="2" t="s">
        <v>4</v>
      </c>
    </row>
    <row r="1947" spans="1:15" x14ac:dyDescent="0.2">
      <c r="A1947">
        <v>68</v>
      </c>
      <c r="B1947">
        <v>5</v>
      </c>
      <c r="C1947">
        <v>7</v>
      </c>
      <c r="D1947" s="2">
        <v>2</v>
      </c>
      <c r="E1947" s="2">
        <v>2</v>
      </c>
      <c r="F1947" s="2" t="s">
        <v>4</v>
      </c>
      <c r="G1947" s="2">
        <v>373.80000000055702</v>
      </c>
      <c r="H1947" s="2" t="s">
        <v>8</v>
      </c>
      <c r="I1947" s="2">
        <v>1556484</v>
      </c>
      <c r="J1947" s="2">
        <v>1000</v>
      </c>
      <c r="K1947" s="2">
        <v>500</v>
      </c>
      <c r="L1947" s="2">
        <v>0</v>
      </c>
      <c r="M1947" s="2">
        <v>609288.37</v>
      </c>
      <c r="N1947">
        <f t="shared" si="38"/>
        <v>2166146.1700000004</v>
      </c>
      <c r="O1947" s="2" t="s">
        <v>4</v>
      </c>
    </row>
    <row r="1948" spans="1:15" x14ac:dyDescent="0.2">
      <c r="A1948">
        <v>69</v>
      </c>
      <c r="B1948">
        <v>5</v>
      </c>
      <c r="C1948">
        <v>7</v>
      </c>
      <c r="D1948" s="2">
        <v>2</v>
      </c>
      <c r="E1948" s="2">
        <v>3</v>
      </c>
      <c r="F1948" s="2" t="s">
        <v>4</v>
      </c>
      <c r="G1948" s="2">
        <v>458.79999999947103</v>
      </c>
      <c r="H1948" s="2" t="s">
        <v>8</v>
      </c>
      <c r="I1948" s="2">
        <v>1994440.99999999</v>
      </c>
      <c r="J1948" s="2">
        <v>1000</v>
      </c>
      <c r="K1948" s="2">
        <v>500</v>
      </c>
      <c r="L1948" s="2">
        <v>0</v>
      </c>
      <c r="M1948" s="2">
        <v>615467.97</v>
      </c>
      <c r="N1948">
        <f t="shared" si="38"/>
        <v>2610367.7699999893</v>
      </c>
      <c r="O1948" s="2" t="s">
        <v>4</v>
      </c>
    </row>
    <row r="1949" spans="1:15" x14ac:dyDescent="0.2">
      <c r="A1949">
        <v>28</v>
      </c>
      <c r="B1949">
        <v>5</v>
      </c>
      <c r="C1949">
        <v>4</v>
      </c>
      <c r="D1949" s="2">
        <v>2</v>
      </c>
      <c r="E1949" s="2">
        <v>1</v>
      </c>
      <c r="F1949" s="2" t="s">
        <v>4</v>
      </c>
      <c r="G1949" s="2">
        <v>901.80000000010796</v>
      </c>
      <c r="H1949" s="2" t="s">
        <v>8</v>
      </c>
      <c r="I1949" s="2">
        <v>460677</v>
      </c>
      <c r="J1949" s="2">
        <v>2000</v>
      </c>
      <c r="K1949" s="2">
        <v>200</v>
      </c>
      <c r="L1949" s="2">
        <v>0</v>
      </c>
      <c r="M1949" s="2">
        <v>657767.97</v>
      </c>
      <c r="N1949">
        <f t="shared" si="38"/>
        <v>1119346.77</v>
      </c>
      <c r="O1949" s="2" t="s">
        <v>4</v>
      </c>
    </row>
    <row r="1950" spans="1:15" x14ac:dyDescent="0.2">
      <c r="A1950">
        <v>29</v>
      </c>
      <c r="B1950">
        <v>5</v>
      </c>
      <c r="C1950">
        <v>5</v>
      </c>
      <c r="D1950" s="2">
        <v>2</v>
      </c>
      <c r="E1950" s="2">
        <v>2</v>
      </c>
      <c r="F1950" s="2" t="s">
        <v>4</v>
      </c>
      <c r="G1950" s="2">
        <v>926.20000000032098</v>
      </c>
      <c r="H1950" s="2" t="s">
        <v>8</v>
      </c>
      <c r="I1950" s="2">
        <v>770229.00000000105</v>
      </c>
      <c r="J1950" s="2">
        <v>2000</v>
      </c>
      <c r="K1950" s="2">
        <v>200</v>
      </c>
      <c r="L1950" s="2">
        <v>0</v>
      </c>
      <c r="M1950" s="2">
        <v>666807.56999999995</v>
      </c>
      <c r="N1950">
        <f t="shared" si="38"/>
        <v>1437962.7700000014</v>
      </c>
      <c r="O1950" s="2" t="s">
        <v>4</v>
      </c>
    </row>
    <row r="1951" spans="1:15" x14ac:dyDescent="0.2">
      <c r="A1951">
        <v>30</v>
      </c>
      <c r="B1951">
        <v>5</v>
      </c>
      <c r="C1951">
        <v>5</v>
      </c>
      <c r="D1951" s="2">
        <v>2</v>
      </c>
      <c r="E1951" s="2">
        <v>3</v>
      </c>
      <c r="F1951" s="2" t="s">
        <v>4</v>
      </c>
      <c r="G1951" s="2">
        <v>922.99999999951899</v>
      </c>
      <c r="H1951" s="2" t="s">
        <v>8</v>
      </c>
      <c r="I1951" s="2">
        <v>1785648</v>
      </c>
      <c r="J1951" s="2">
        <v>2000</v>
      </c>
      <c r="K1951" s="2">
        <v>200</v>
      </c>
      <c r="L1951" s="2">
        <v>0</v>
      </c>
      <c r="M1951" s="2">
        <v>609365.56999999995</v>
      </c>
      <c r="N1951">
        <f t="shared" si="38"/>
        <v>2395936.5699999994</v>
      </c>
      <c r="O1951" s="2" t="s">
        <v>4</v>
      </c>
    </row>
    <row r="1952" spans="1:15" x14ac:dyDescent="0.2">
      <c r="A1952">
        <v>31</v>
      </c>
      <c r="B1952">
        <v>5</v>
      </c>
      <c r="C1952">
        <v>5</v>
      </c>
      <c r="D1952" s="2">
        <v>2</v>
      </c>
      <c r="E1952" s="2">
        <v>1</v>
      </c>
      <c r="F1952" s="2" t="s">
        <v>4</v>
      </c>
      <c r="G1952" s="2">
        <v>780.99999999920999</v>
      </c>
      <c r="H1952" s="2" t="s">
        <v>8</v>
      </c>
      <c r="I1952" s="2">
        <v>634705.99999999802</v>
      </c>
      <c r="J1952" s="2">
        <v>2000</v>
      </c>
      <c r="K1952" s="2">
        <v>200</v>
      </c>
      <c r="L1952" s="2">
        <v>0</v>
      </c>
      <c r="M1952" s="2">
        <v>571606.37</v>
      </c>
      <c r="N1952">
        <f t="shared" si="38"/>
        <v>1207093.3699999973</v>
      </c>
      <c r="O1952" s="2" t="s">
        <v>4</v>
      </c>
    </row>
    <row r="1953" spans="1:15" x14ac:dyDescent="0.2">
      <c r="A1953">
        <v>32</v>
      </c>
      <c r="B1953">
        <v>5</v>
      </c>
      <c r="C1953">
        <v>5</v>
      </c>
      <c r="D1953" s="2">
        <v>2</v>
      </c>
      <c r="E1953" s="2">
        <v>2</v>
      </c>
      <c r="F1953" s="2" t="s">
        <v>4</v>
      </c>
      <c r="G1953" s="2">
        <v>720.199999999949</v>
      </c>
      <c r="H1953" s="2" t="s">
        <v>8</v>
      </c>
      <c r="I1953" s="2">
        <v>1699059</v>
      </c>
      <c r="J1953" s="2">
        <v>2000</v>
      </c>
      <c r="K1953" s="2">
        <v>200</v>
      </c>
      <c r="L1953" s="2">
        <v>0</v>
      </c>
      <c r="M1953" s="2">
        <v>598726.77</v>
      </c>
      <c r="N1953">
        <f t="shared" si="38"/>
        <v>2298505.9699999997</v>
      </c>
      <c r="O1953" s="2" t="s">
        <v>4</v>
      </c>
    </row>
    <row r="1954" spans="1:15" x14ac:dyDescent="0.2">
      <c r="A1954">
        <v>33</v>
      </c>
      <c r="B1954">
        <v>5</v>
      </c>
      <c r="C1954">
        <v>5</v>
      </c>
      <c r="D1954" s="2">
        <v>2</v>
      </c>
      <c r="E1954" s="2">
        <v>3</v>
      </c>
      <c r="F1954" s="2" t="s">
        <v>4</v>
      </c>
      <c r="G1954" s="2">
        <v>762.79999999968595</v>
      </c>
      <c r="H1954" s="2" t="s">
        <v>8</v>
      </c>
      <c r="I1954" s="2">
        <v>1760464</v>
      </c>
      <c r="J1954" s="2">
        <v>2000</v>
      </c>
      <c r="K1954" s="2">
        <v>200</v>
      </c>
      <c r="L1954" s="2">
        <v>0</v>
      </c>
      <c r="M1954" s="2">
        <v>641606.77</v>
      </c>
      <c r="N1954">
        <f t="shared" si="38"/>
        <v>2402833.5699999994</v>
      </c>
      <c r="O1954" s="2" t="s">
        <v>4</v>
      </c>
    </row>
    <row r="1955" spans="1:15" x14ac:dyDescent="0.2">
      <c r="A1955">
        <v>34</v>
      </c>
      <c r="B1955">
        <v>5</v>
      </c>
      <c r="C1955">
        <v>5</v>
      </c>
      <c r="D1955" s="2">
        <v>2</v>
      </c>
      <c r="E1955" s="2">
        <v>1</v>
      </c>
      <c r="F1955" s="2" t="s">
        <v>4</v>
      </c>
      <c r="G1955" s="2">
        <v>563.600000000264</v>
      </c>
      <c r="H1955" s="2" t="s">
        <v>8</v>
      </c>
      <c r="I1955" s="2">
        <v>567174.00000000105</v>
      </c>
      <c r="J1955" s="2">
        <v>2000</v>
      </c>
      <c r="K1955" s="2">
        <v>200</v>
      </c>
      <c r="L1955" s="2">
        <v>0</v>
      </c>
      <c r="M1955" s="2">
        <v>665846.77</v>
      </c>
      <c r="N1955">
        <f t="shared" si="38"/>
        <v>1233584.3700000013</v>
      </c>
      <c r="O1955" s="2" t="s">
        <v>4</v>
      </c>
    </row>
    <row r="1956" spans="1:15" x14ac:dyDescent="0.2">
      <c r="A1956">
        <v>35</v>
      </c>
      <c r="B1956">
        <v>5</v>
      </c>
      <c r="C1956">
        <v>6</v>
      </c>
      <c r="D1956" s="2">
        <v>2</v>
      </c>
      <c r="E1956" s="2">
        <v>1</v>
      </c>
      <c r="F1956" s="2" t="s">
        <v>4</v>
      </c>
      <c r="G1956" s="2">
        <v>467.000000000439</v>
      </c>
      <c r="H1956" s="2" t="s">
        <v>8</v>
      </c>
      <c r="I1956" s="2">
        <v>1291090</v>
      </c>
      <c r="J1956" s="2">
        <v>2000</v>
      </c>
      <c r="K1956" s="2">
        <v>200</v>
      </c>
      <c r="L1956" s="2">
        <v>0</v>
      </c>
      <c r="M1956" s="2">
        <v>573965.97</v>
      </c>
      <c r="N1956">
        <f t="shared" si="38"/>
        <v>1865522.9700000004</v>
      </c>
      <c r="O1956" s="2" t="s">
        <v>4</v>
      </c>
    </row>
    <row r="1957" spans="1:15" x14ac:dyDescent="0.2">
      <c r="A1957">
        <v>36</v>
      </c>
      <c r="B1957">
        <v>5</v>
      </c>
      <c r="C1957">
        <v>6</v>
      </c>
      <c r="D1957" s="2">
        <v>2</v>
      </c>
      <c r="E1957" s="2">
        <v>2</v>
      </c>
      <c r="F1957" s="2" t="s">
        <v>4</v>
      </c>
      <c r="G1957" s="2">
        <v>432.59999999953902</v>
      </c>
      <c r="H1957" s="2" t="s">
        <v>8</v>
      </c>
      <c r="I1957" s="2">
        <v>884944.99999999499</v>
      </c>
      <c r="J1957" s="2">
        <v>2000</v>
      </c>
      <c r="K1957" s="2">
        <v>200</v>
      </c>
      <c r="L1957" s="2">
        <v>0</v>
      </c>
      <c r="M1957" s="2">
        <v>684365.97</v>
      </c>
      <c r="N1957">
        <f t="shared" si="38"/>
        <v>1569743.5699999945</v>
      </c>
      <c r="O1957" s="2" t="s">
        <v>4</v>
      </c>
    </row>
    <row r="1958" spans="1:15" x14ac:dyDescent="0.2">
      <c r="A1958">
        <v>37</v>
      </c>
      <c r="B1958">
        <v>5</v>
      </c>
      <c r="C1958">
        <v>6</v>
      </c>
      <c r="D1958" s="2">
        <v>2</v>
      </c>
      <c r="E1958" s="2">
        <v>3</v>
      </c>
      <c r="F1958" s="2" t="s">
        <v>4</v>
      </c>
      <c r="G1958" s="2">
        <v>535.40000000005296</v>
      </c>
      <c r="H1958" s="2" t="s">
        <v>8</v>
      </c>
      <c r="I1958" s="2">
        <v>1563006</v>
      </c>
      <c r="J1958" s="2">
        <v>2000</v>
      </c>
      <c r="K1958" s="2">
        <v>200</v>
      </c>
      <c r="L1958" s="2">
        <v>0</v>
      </c>
      <c r="M1958" s="2">
        <v>611527.97</v>
      </c>
      <c r="N1958">
        <f t="shared" si="38"/>
        <v>2175069.37</v>
      </c>
      <c r="O1958" s="2" t="s">
        <v>4</v>
      </c>
    </row>
    <row r="1959" spans="1:15" x14ac:dyDescent="0.2">
      <c r="A1959">
        <v>38</v>
      </c>
      <c r="B1959">
        <v>5</v>
      </c>
      <c r="C1959">
        <v>6</v>
      </c>
      <c r="D1959" s="2">
        <v>2</v>
      </c>
      <c r="E1959" s="2">
        <v>1</v>
      </c>
      <c r="F1959" s="2" t="s">
        <v>4</v>
      </c>
      <c r="G1959" s="2">
        <v>394.79999999976201</v>
      </c>
      <c r="H1959" s="2" t="s">
        <v>8</v>
      </c>
      <c r="I1959" s="2">
        <v>686184.00000000396</v>
      </c>
      <c r="J1959" s="2">
        <v>2000</v>
      </c>
      <c r="K1959" s="2">
        <v>200</v>
      </c>
      <c r="L1959" s="2">
        <v>0</v>
      </c>
      <c r="M1959" s="2">
        <v>605287.17000000004</v>
      </c>
      <c r="N1959">
        <f t="shared" si="38"/>
        <v>1291865.9700000039</v>
      </c>
      <c r="O1959" s="2" t="s">
        <v>4</v>
      </c>
    </row>
    <row r="1960" spans="1:15" x14ac:dyDescent="0.2">
      <c r="A1960">
        <v>39</v>
      </c>
      <c r="B1960">
        <v>5</v>
      </c>
      <c r="C1960">
        <v>7</v>
      </c>
      <c r="D1960" s="2">
        <v>2</v>
      </c>
      <c r="E1960" s="2">
        <v>1</v>
      </c>
      <c r="F1960" s="2" t="s">
        <v>4</v>
      </c>
      <c r="G1960" s="2">
        <v>470.600000000232</v>
      </c>
      <c r="H1960" s="2" t="s">
        <v>8</v>
      </c>
      <c r="I1960" s="2">
        <v>1346969</v>
      </c>
      <c r="J1960" s="2">
        <v>2000</v>
      </c>
      <c r="K1960" s="2">
        <v>200</v>
      </c>
      <c r="L1960" s="2">
        <v>0</v>
      </c>
      <c r="M1960" s="2">
        <v>616687.17000000004</v>
      </c>
      <c r="N1960">
        <f t="shared" si="38"/>
        <v>1964126.7700000005</v>
      </c>
      <c r="O1960" s="2" t="s">
        <v>4</v>
      </c>
    </row>
    <row r="1961" spans="1:15" x14ac:dyDescent="0.2">
      <c r="A1961">
        <v>40</v>
      </c>
      <c r="B1961">
        <v>5</v>
      </c>
      <c r="C1961">
        <v>7</v>
      </c>
      <c r="D1961" s="2">
        <v>2</v>
      </c>
      <c r="E1961" s="2">
        <v>2</v>
      </c>
      <c r="F1961" s="2" t="s">
        <v>4</v>
      </c>
      <c r="G1961" s="2">
        <v>455.20000000074401</v>
      </c>
      <c r="H1961" s="2" t="s">
        <v>8</v>
      </c>
      <c r="I1961" s="2">
        <v>2734535</v>
      </c>
      <c r="J1961" s="2">
        <v>2000</v>
      </c>
      <c r="K1961" s="2">
        <v>200</v>
      </c>
      <c r="L1961" s="2">
        <v>0</v>
      </c>
      <c r="M1961" s="2">
        <v>681885.57</v>
      </c>
      <c r="N1961">
        <f t="shared" si="38"/>
        <v>3416875.7700000005</v>
      </c>
      <c r="O1961" s="2" t="s">
        <v>4</v>
      </c>
    </row>
    <row r="1962" spans="1:15" x14ac:dyDescent="0.2">
      <c r="A1962">
        <v>41</v>
      </c>
      <c r="B1962">
        <v>5</v>
      </c>
      <c r="C1962">
        <v>7</v>
      </c>
      <c r="D1962" s="2">
        <v>2</v>
      </c>
      <c r="E1962" s="2">
        <v>3</v>
      </c>
      <c r="F1962" s="2" t="s">
        <v>4</v>
      </c>
      <c r="G1962" s="2">
        <v>556.20000000047298</v>
      </c>
      <c r="H1962" s="2" t="s">
        <v>8</v>
      </c>
      <c r="I1962" s="2">
        <v>2185385</v>
      </c>
      <c r="J1962" s="2">
        <v>2000</v>
      </c>
      <c r="K1962" s="2">
        <v>200</v>
      </c>
      <c r="L1962" s="2">
        <v>0</v>
      </c>
      <c r="M1962" s="2">
        <v>621807.56999999995</v>
      </c>
      <c r="N1962">
        <f t="shared" si="38"/>
        <v>2807748.7700000005</v>
      </c>
      <c r="O1962" s="2" t="s">
        <v>4</v>
      </c>
    </row>
    <row r="1963" spans="1:15" x14ac:dyDescent="0.2">
      <c r="A1963">
        <v>42</v>
      </c>
      <c r="B1963">
        <v>5</v>
      </c>
      <c r="C1963">
        <v>4</v>
      </c>
      <c r="D1963" s="2">
        <v>2</v>
      </c>
      <c r="E1963" s="2">
        <v>1</v>
      </c>
      <c r="F1963" s="2" t="s">
        <v>4</v>
      </c>
      <c r="G1963" s="2">
        <v>288.80000000022198</v>
      </c>
      <c r="H1963" s="2" t="s">
        <v>8</v>
      </c>
      <c r="I1963" s="2">
        <v>329124</v>
      </c>
      <c r="J1963" s="2">
        <v>2000</v>
      </c>
      <c r="K1963" s="2">
        <v>200</v>
      </c>
      <c r="L1963" s="2">
        <v>0</v>
      </c>
      <c r="M1963" s="2">
        <v>575924.77</v>
      </c>
      <c r="N1963">
        <f t="shared" si="38"/>
        <v>905337.5700000003</v>
      </c>
      <c r="O1963" s="2" t="s">
        <v>4</v>
      </c>
    </row>
    <row r="1964" spans="1:15" x14ac:dyDescent="0.2">
      <c r="A1964">
        <v>43</v>
      </c>
      <c r="B1964">
        <v>5</v>
      </c>
      <c r="C1964">
        <v>5</v>
      </c>
      <c r="D1964" s="2">
        <v>2</v>
      </c>
      <c r="E1964" s="2">
        <v>1</v>
      </c>
      <c r="F1964" s="2" t="s">
        <v>4</v>
      </c>
      <c r="G1964" s="2">
        <v>340.19999999976801</v>
      </c>
      <c r="H1964" s="2" t="s">
        <v>8</v>
      </c>
      <c r="I1964" s="2">
        <v>626666</v>
      </c>
      <c r="J1964" s="2">
        <v>2000</v>
      </c>
      <c r="K1964" s="2">
        <v>200</v>
      </c>
      <c r="L1964" s="2">
        <v>0</v>
      </c>
      <c r="M1964" s="2">
        <v>576805.56999999995</v>
      </c>
      <c r="N1964">
        <f t="shared" si="38"/>
        <v>1203811.7699999996</v>
      </c>
      <c r="O1964" s="2" t="s">
        <v>4</v>
      </c>
    </row>
    <row r="1965" spans="1:15" x14ac:dyDescent="0.2">
      <c r="A1965">
        <v>44</v>
      </c>
      <c r="B1965">
        <v>5</v>
      </c>
      <c r="C1965">
        <v>5</v>
      </c>
      <c r="D1965" s="2">
        <v>2</v>
      </c>
      <c r="E1965" s="2">
        <v>2</v>
      </c>
      <c r="F1965" s="2" t="s">
        <v>4</v>
      </c>
      <c r="G1965" s="2">
        <v>325.80000000024302</v>
      </c>
      <c r="H1965" s="2" t="s">
        <v>8</v>
      </c>
      <c r="I1965" s="2">
        <v>625314.00000000303</v>
      </c>
      <c r="J1965" s="2">
        <v>2000</v>
      </c>
      <c r="K1965" s="2">
        <v>200</v>
      </c>
      <c r="L1965" s="2">
        <v>0</v>
      </c>
      <c r="M1965" s="2">
        <v>586648.77</v>
      </c>
      <c r="N1965">
        <f t="shared" si="38"/>
        <v>1212288.5700000033</v>
      </c>
      <c r="O1965" s="2" t="s">
        <v>4</v>
      </c>
    </row>
    <row r="1966" spans="1:15" x14ac:dyDescent="0.2">
      <c r="A1966">
        <v>45</v>
      </c>
      <c r="B1966">
        <v>5</v>
      </c>
      <c r="C1966">
        <v>5</v>
      </c>
      <c r="D1966" s="2">
        <v>2</v>
      </c>
      <c r="E1966" s="2">
        <v>3</v>
      </c>
      <c r="F1966" s="2" t="s">
        <v>4</v>
      </c>
      <c r="G1966" s="2">
        <v>420.79999999948802</v>
      </c>
      <c r="H1966" s="2" t="s">
        <v>8</v>
      </c>
      <c r="I1966" s="2">
        <v>1579966</v>
      </c>
      <c r="J1966" s="2">
        <v>2000</v>
      </c>
      <c r="K1966" s="2">
        <v>200</v>
      </c>
      <c r="L1966" s="2">
        <v>0</v>
      </c>
      <c r="M1966" s="2">
        <v>667724.77</v>
      </c>
      <c r="N1966">
        <f t="shared" si="38"/>
        <v>2248111.5699999994</v>
      </c>
      <c r="O1966" s="2" t="s">
        <v>4</v>
      </c>
    </row>
    <row r="1967" spans="1:15" x14ac:dyDescent="0.2">
      <c r="A1967">
        <v>46</v>
      </c>
      <c r="B1967">
        <v>5</v>
      </c>
      <c r="C1967">
        <v>6</v>
      </c>
      <c r="D1967" s="2">
        <v>2</v>
      </c>
      <c r="E1967" s="2">
        <v>1</v>
      </c>
      <c r="F1967" s="2" t="s">
        <v>4</v>
      </c>
      <c r="G1967" s="2">
        <v>431.79999999978202</v>
      </c>
      <c r="H1967" s="2" t="s">
        <v>8</v>
      </c>
      <c r="I1967" s="2">
        <v>908150.99999999697</v>
      </c>
      <c r="J1967" s="2">
        <v>2000</v>
      </c>
      <c r="K1967" s="2">
        <v>200</v>
      </c>
      <c r="L1967" s="2">
        <v>0</v>
      </c>
      <c r="M1967" s="2">
        <v>554486.37</v>
      </c>
      <c r="N1967">
        <f t="shared" si="38"/>
        <v>1463069.1699999967</v>
      </c>
      <c r="O1967" s="2" t="s">
        <v>4</v>
      </c>
    </row>
    <row r="1968" spans="1:15" x14ac:dyDescent="0.2">
      <c r="A1968">
        <v>47</v>
      </c>
      <c r="B1968">
        <v>5</v>
      </c>
      <c r="C1968">
        <v>6</v>
      </c>
      <c r="D1968" s="2">
        <v>2</v>
      </c>
      <c r="E1968" s="2">
        <v>2</v>
      </c>
      <c r="F1968" s="2" t="s">
        <v>4</v>
      </c>
      <c r="G1968" s="2">
        <v>392.80000000019299</v>
      </c>
      <c r="H1968" s="2" t="s">
        <v>8</v>
      </c>
      <c r="I1968" s="2">
        <v>835637.99999999604</v>
      </c>
      <c r="J1968" s="2">
        <v>2000</v>
      </c>
      <c r="K1968" s="2">
        <v>200</v>
      </c>
      <c r="L1968" s="2">
        <v>0</v>
      </c>
      <c r="M1968" s="2">
        <v>664447.56999999995</v>
      </c>
      <c r="N1968">
        <f t="shared" si="38"/>
        <v>1500478.3699999962</v>
      </c>
      <c r="O1968" s="2" t="s">
        <v>4</v>
      </c>
    </row>
    <row r="1969" spans="1:15" x14ac:dyDescent="0.2">
      <c r="A1969">
        <v>48</v>
      </c>
      <c r="B1969">
        <v>5</v>
      </c>
      <c r="C1969">
        <v>6</v>
      </c>
      <c r="D1969" s="2">
        <v>2</v>
      </c>
      <c r="E1969" s="2">
        <v>3</v>
      </c>
      <c r="F1969" s="2" t="s">
        <v>4</v>
      </c>
      <c r="G1969" s="2">
        <v>479.99999999994702</v>
      </c>
      <c r="H1969" s="2" t="s">
        <v>8</v>
      </c>
      <c r="I1969" s="2">
        <v>1313722.00000001</v>
      </c>
      <c r="J1969" s="2">
        <v>2000</v>
      </c>
      <c r="K1969" s="2">
        <v>200</v>
      </c>
      <c r="L1969" s="2">
        <v>0</v>
      </c>
      <c r="M1969" s="2">
        <v>694687.57</v>
      </c>
      <c r="N1969">
        <f t="shared" si="38"/>
        <v>2008889.5700000101</v>
      </c>
      <c r="O1969" s="2" t="s">
        <v>4</v>
      </c>
    </row>
    <row r="1970" spans="1:15" x14ac:dyDescent="0.2">
      <c r="A1970">
        <v>49</v>
      </c>
      <c r="B1970">
        <v>5</v>
      </c>
      <c r="C1970">
        <v>6</v>
      </c>
      <c r="D1970" s="2">
        <v>2</v>
      </c>
      <c r="E1970" s="2">
        <v>1</v>
      </c>
      <c r="F1970" s="2" t="s">
        <v>4</v>
      </c>
      <c r="G1970" s="2">
        <v>379.40000000027402</v>
      </c>
      <c r="H1970" s="2" t="s">
        <v>8</v>
      </c>
      <c r="I1970" s="2">
        <v>1132380</v>
      </c>
      <c r="J1970" s="2">
        <v>2000</v>
      </c>
      <c r="K1970" s="2">
        <v>200</v>
      </c>
      <c r="L1970" s="2">
        <v>0</v>
      </c>
      <c r="M1970" s="2">
        <v>570325.17000000004</v>
      </c>
      <c r="N1970">
        <f t="shared" si="38"/>
        <v>1703084.5700000003</v>
      </c>
      <c r="O1970" s="2" t="s">
        <v>4</v>
      </c>
    </row>
    <row r="1971" spans="1:15" x14ac:dyDescent="0.2">
      <c r="A1971">
        <v>50</v>
      </c>
      <c r="B1971">
        <v>5</v>
      </c>
      <c r="C1971">
        <v>6</v>
      </c>
      <c r="D1971" s="2">
        <v>2</v>
      </c>
      <c r="E1971" s="2">
        <v>2</v>
      </c>
      <c r="F1971" s="2" t="s">
        <v>4</v>
      </c>
      <c r="G1971" s="2">
        <v>387.60000000017698</v>
      </c>
      <c r="H1971" s="2" t="s">
        <v>8</v>
      </c>
      <c r="I1971" s="2">
        <v>809797.00000000303</v>
      </c>
      <c r="J1971" s="2">
        <v>2000</v>
      </c>
      <c r="K1971" s="2">
        <v>200</v>
      </c>
      <c r="L1971" s="2">
        <v>0</v>
      </c>
      <c r="M1971" s="2">
        <v>594487.17000000004</v>
      </c>
      <c r="N1971">
        <f t="shared" si="38"/>
        <v>1404671.7700000033</v>
      </c>
      <c r="O1971" s="2" t="s">
        <v>4</v>
      </c>
    </row>
    <row r="1972" spans="1:15" x14ac:dyDescent="0.2">
      <c r="A1972">
        <v>51</v>
      </c>
      <c r="B1972">
        <v>5</v>
      </c>
      <c r="C1972">
        <v>6</v>
      </c>
      <c r="D1972" s="2">
        <v>2</v>
      </c>
      <c r="E1972" s="2">
        <v>3</v>
      </c>
      <c r="F1972" s="2" t="s">
        <v>4</v>
      </c>
      <c r="G1972" s="2">
        <v>476.39999999944399</v>
      </c>
      <c r="H1972" s="2" t="s">
        <v>8</v>
      </c>
      <c r="I1972" s="2">
        <v>1191722</v>
      </c>
      <c r="J1972" s="2">
        <v>2000</v>
      </c>
      <c r="K1972" s="2">
        <v>200</v>
      </c>
      <c r="L1972" s="2">
        <v>0</v>
      </c>
      <c r="M1972" s="2">
        <v>597605.56999999995</v>
      </c>
      <c r="N1972">
        <f t="shared" ref="N1972:N2013" si="39">G1972+I1972+M1972</f>
        <v>1789803.9699999993</v>
      </c>
      <c r="O1972" s="2" t="s">
        <v>4</v>
      </c>
    </row>
    <row r="1973" spans="1:15" x14ac:dyDescent="0.2">
      <c r="A1973">
        <v>52</v>
      </c>
      <c r="B1973">
        <v>5</v>
      </c>
      <c r="C1973">
        <v>7</v>
      </c>
      <c r="D1973" s="2">
        <v>2</v>
      </c>
      <c r="E1973" s="2">
        <v>1</v>
      </c>
      <c r="F1973" s="2" t="s">
        <v>4</v>
      </c>
      <c r="G1973" s="2">
        <v>407.79999999998</v>
      </c>
      <c r="H1973" s="2" t="s">
        <v>8</v>
      </c>
      <c r="I1973" s="2">
        <v>1069360</v>
      </c>
      <c r="J1973" s="2">
        <v>2000</v>
      </c>
      <c r="K1973" s="2">
        <v>200</v>
      </c>
      <c r="L1973" s="2">
        <v>0</v>
      </c>
      <c r="M1973" s="2">
        <v>612528.77</v>
      </c>
      <c r="N1973">
        <f t="shared" si="39"/>
        <v>1682296.57</v>
      </c>
      <c r="O1973" s="2" t="s">
        <v>4</v>
      </c>
    </row>
    <row r="1974" spans="1:15" x14ac:dyDescent="0.2">
      <c r="A1974">
        <v>53</v>
      </c>
      <c r="B1974">
        <v>5</v>
      </c>
      <c r="C1974">
        <v>7</v>
      </c>
      <c r="D1974" s="2">
        <v>2</v>
      </c>
      <c r="E1974" s="2">
        <v>2</v>
      </c>
      <c r="F1974" s="2" t="s">
        <v>4</v>
      </c>
      <c r="G1974" s="2">
        <v>396.99999999953701</v>
      </c>
      <c r="H1974" s="2" t="s">
        <v>8</v>
      </c>
      <c r="I1974" s="2">
        <v>2505793</v>
      </c>
      <c r="J1974" s="2">
        <v>2000</v>
      </c>
      <c r="K1974" s="2">
        <v>200</v>
      </c>
      <c r="L1974" s="2">
        <v>0</v>
      </c>
      <c r="M1974" s="2">
        <v>595287.56999999995</v>
      </c>
      <c r="N1974">
        <f t="shared" si="39"/>
        <v>3101477.5699999994</v>
      </c>
      <c r="O1974" s="2" t="s">
        <v>4</v>
      </c>
    </row>
    <row r="1975" spans="1:15" x14ac:dyDescent="0.2">
      <c r="A1975">
        <v>54</v>
      </c>
      <c r="B1975">
        <v>5</v>
      </c>
      <c r="C1975">
        <v>7</v>
      </c>
      <c r="D1975" s="2">
        <v>2</v>
      </c>
      <c r="E1975" s="2">
        <v>3</v>
      </c>
      <c r="F1975" s="2" t="s">
        <v>4</v>
      </c>
      <c r="G1975" s="2">
        <v>497.99999999997601</v>
      </c>
      <c r="H1975" s="2" t="s">
        <v>8</v>
      </c>
      <c r="I1975" s="2">
        <v>3244514</v>
      </c>
      <c r="J1975" s="2">
        <v>2000</v>
      </c>
      <c r="K1975" s="2">
        <v>200</v>
      </c>
      <c r="L1975" s="2">
        <v>0</v>
      </c>
      <c r="M1975" s="2">
        <v>572405.17000000004</v>
      </c>
      <c r="N1975">
        <f t="shared" si="39"/>
        <v>3817417.17</v>
      </c>
      <c r="O1975" s="2" t="s">
        <v>4</v>
      </c>
    </row>
    <row r="1976" spans="1:15" x14ac:dyDescent="0.2">
      <c r="A1976">
        <v>55</v>
      </c>
      <c r="B1976">
        <v>5</v>
      </c>
      <c r="C1976">
        <v>5</v>
      </c>
      <c r="D1976" s="2">
        <v>2</v>
      </c>
      <c r="E1976" s="2">
        <v>1</v>
      </c>
      <c r="F1976" s="2" t="s">
        <v>4</v>
      </c>
      <c r="G1976" s="2">
        <v>289.40000000012799</v>
      </c>
      <c r="H1976" s="2" t="s">
        <v>8</v>
      </c>
      <c r="I1976" s="2">
        <v>783248</v>
      </c>
      <c r="J1976" s="2">
        <v>2000</v>
      </c>
      <c r="K1976" s="2">
        <v>200</v>
      </c>
      <c r="L1976" s="2">
        <v>0</v>
      </c>
      <c r="M1976" s="2">
        <v>566886.77</v>
      </c>
      <c r="N1976">
        <f t="shared" si="39"/>
        <v>1350424.1700000002</v>
      </c>
      <c r="O1976" s="2" t="s">
        <v>4</v>
      </c>
    </row>
    <row r="1977" spans="1:15" x14ac:dyDescent="0.2">
      <c r="A1977">
        <v>56</v>
      </c>
      <c r="B1977">
        <v>5</v>
      </c>
      <c r="C1977">
        <v>5</v>
      </c>
      <c r="D1977" s="2">
        <v>2</v>
      </c>
      <c r="E1977" s="2">
        <v>2</v>
      </c>
      <c r="F1977" s="2" t="s">
        <v>4</v>
      </c>
      <c r="G1977" s="2">
        <v>287.00000000014802</v>
      </c>
      <c r="H1977" s="2" t="s">
        <v>8</v>
      </c>
      <c r="I1977" s="2">
        <v>544256.00000000396</v>
      </c>
      <c r="J1977" s="2">
        <v>2000</v>
      </c>
      <c r="K1977" s="2">
        <v>200</v>
      </c>
      <c r="L1977" s="2">
        <v>0</v>
      </c>
      <c r="M1977" s="2">
        <v>586286.77</v>
      </c>
      <c r="N1977">
        <f t="shared" si="39"/>
        <v>1130829.7700000042</v>
      </c>
      <c r="O1977" s="2" t="s">
        <v>4</v>
      </c>
    </row>
    <row r="1978" spans="1:15" x14ac:dyDescent="0.2">
      <c r="A1978">
        <v>57</v>
      </c>
      <c r="B1978">
        <v>5</v>
      </c>
      <c r="C1978">
        <v>5</v>
      </c>
      <c r="D1978" s="2">
        <v>2</v>
      </c>
      <c r="E1978" s="2">
        <v>3</v>
      </c>
      <c r="F1978" s="2" t="s">
        <v>4</v>
      </c>
      <c r="G1978" s="2">
        <v>362.39999999949703</v>
      </c>
      <c r="H1978" s="2" t="s">
        <v>8</v>
      </c>
      <c r="I1978" s="2">
        <v>801326.00000000303</v>
      </c>
      <c r="J1978" s="2">
        <v>2000</v>
      </c>
      <c r="K1978" s="2">
        <v>200</v>
      </c>
      <c r="L1978" s="2">
        <v>0</v>
      </c>
      <c r="M1978" s="2">
        <v>678647.57</v>
      </c>
      <c r="N1978">
        <f t="shared" si="39"/>
        <v>1480335.9700000025</v>
      </c>
      <c r="O1978" s="2" t="s">
        <v>4</v>
      </c>
    </row>
    <row r="1979" spans="1:15" x14ac:dyDescent="0.2">
      <c r="A1979">
        <v>58</v>
      </c>
      <c r="B1979">
        <v>5</v>
      </c>
      <c r="C1979">
        <v>6</v>
      </c>
      <c r="D1979" s="2">
        <v>2</v>
      </c>
      <c r="E1979" s="2">
        <v>1</v>
      </c>
      <c r="F1979" s="2" t="s">
        <v>4</v>
      </c>
      <c r="G1979" s="2">
        <v>340.79999999967498</v>
      </c>
      <c r="H1979" s="2" t="s">
        <v>8</v>
      </c>
      <c r="I1979" s="2">
        <v>868777.00000000198</v>
      </c>
      <c r="J1979" s="2">
        <v>2000</v>
      </c>
      <c r="K1979" s="2">
        <v>200</v>
      </c>
      <c r="L1979" s="2">
        <v>0</v>
      </c>
      <c r="M1979" s="2">
        <v>671928.37</v>
      </c>
      <c r="N1979">
        <f t="shared" si="39"/>
        <v>1541046.1700000018</v>
      </c>
      <c r="O1979" s="2" t="s">
        <v>4</v>
      </c>
    </row>
    <row r="1980" spans="1:15" x14ac:dyDescent="0.2">
      <c r="A1980">
        <v>59</v>
      </c>
      <c r="B1980">
        <v>5</v>
      </c>
      <c r="C1980">
        <v>6</v>
      </c>
      <c r="D1980" s="2">
        <v>2</v>
      </c>
      <c r="E1980" s="2">
        <v>2</v>
      </c>
      <c r="F1980" s="2" t="s">
        <v>4</v>
      </c>
      <c r="G1980" s="2">
        <v>334.19999999999601</v>
      </c>
      <c r="H1980" s="2" t="s">
        <v>8</v>
      </c>
      <c r="I1980" s="2">
        <v>583774.00000000501</v>
      </c>
      <c r="J1980" s="2">
        <v>2000</v>
      </c>
      <c r="K1980" s="2">
        <v>200</v>
      </c>
      <c r="L1980" s="2">
        <v>0</v>
      </c>
      <c r="M1980" s="2">
        <v>608047.17000000004</v>
      </c>
      <c r="N1980">
        <f t="shared" si="39"/>
        <v>1192155.370000005</v>
      </c>
      <c r="O1980" s="2" t="s">
        <v>4</v>
      </c>
    </row>
    <row r="1981" spans="1:15" x14ac:dyDescent="0.2">
      <c r="A1981">
        <v>60</v>
      </c>
      <c r="B1981">
        <v>5</v>
      </c>
      <c r="C1981">
        <v>6</v>
      </c>
      <c r="D1981" s="2">
        <v>2</v>
      </c>
      <c r="E1981" s="2">
        <v>3</v>
      </c>
      <c r="F1981" s="2" t="s">
        <v>4</v>
      </c>
      <c r="G1981" s="2">
        <v>401.39999999979602</v>
      </c>
      <c r="H1981" s="2" t="s">
        <v>8</v>
      </c>
      <c r="I1981" s="2">
        <v>2144212.9999999902</v>
      </c>
      <c r="J1981" s="2">
        <v>2000</v>
      </c>
      <c r="K1981" s="2">
        <v>200</v>
      </c>
      <c r="L1981" s="2">
        <v>0</v>
      </c>
      <c r="M1981" s="2">
        <v>682286.77</v>
      </c>
      <c r="N1981">
        <f t="shared" si="39"/>
        <v>2826901.1699999901</v>
      </c>
      <c r="O1981" s="2" t="s">
        <v>4</v>
      </c>
    </row>
    <row r="1982" spans="1:15" x14ac:dyDescent="0.2">
      <c r="A1982">
        <v>61</v>
      </c>
      <c r="B1982">
        <v>5</v>
      </c>
      <c r="C1982">
        <v>7</v>
      </c>
      <c r="D1982" s="2">
        <v>2</v>
      </c>
      <c r="E1982" s="2">
        <v>1</v>
      </c>
      <c r="F1982" s="2" t="s">
        <v>4</v>
      </c>
      <c r="G1982" s="2">
        <v>364.79999999983198</v>
      </c>
      <c r="H1982" s="2" t="s">
        <v>8</v>
      </c>
      <c r="I1982" s="2">
        <v>2195942</v>
      </c>
      <c r="J1982" s="2">
        <v>2000</v>
      </c>
      <c r="K1982" s="2">
        <v>200</v>
      </c>
      <c r="L1982" s="2">
        <v>0</v>
      </c>
      <c r="M1982" s="2">
        <v>677765.57</v>
      </c>
      <c r="N1982">
        <f t="shared" si="39"/>
        <v>2874072.3699999996</v>
      </c>
      <c r="O1982" s="2" t="s">
        <v>4</v>
      </c>
    </row>
    <row r="1983" spans="1:15" x14ac:dyDescent="0.2">
      <c r="A1983">
        <v>62</v>
      </c>
      <c r="B1983">
        <v>5</v>
      </c>
      <c r="C1983">
        <v>7</v>
      </c>
      <c r="D1983" s="2">
        <v>2</v>
      </c>
      <c r="E1983" s="2">
        <v>2</v>
      </c>
      <c r="F1983" s="2" t="s">
        <v>4</v>
      </c>
      <c r="G1983" s="2">
        <v>382.79999999950599</v>
      </c>
      <c r="H1983" s="2" t="s">
        <v>8</v>
      </c>
      <c r="I1983" s="2">
        <v>1972765</v>
      </c>
      <c r="J1983" s="2">
        <v>2000</v>
      </c>
      <c r="K1983" s="2">
        <v>200</v>
      </c>
      <c r="L1983" s="2">
        <v>0</v>
      </c>
      <c r="M1983" s="2">
        <v>600368.77</v>
      </c>
      <c r="N1983">
        <f t="shared" si="39"/>
        <v>2573516.5699999994</v>
      </c>
      <c r="O1983" s="2" t="s">
        <v>4</v>
      </c>
    </row>
    <row r="1984" spans="1:15" x14ac:dyDescent="0.2">
      <c r="A1984">
        <v>63</v>
      </c>
      <c r="B1984">
        <v>5</v>
      </c>
      <c r="C1984">
        <v>7</v>
      </c>
      <c r="D1984" s="2">
        <v>2</v>
      </c>
      <c r="E1984" s="2">
        <v>3</v>
      </c>
      <c r="F1984" s="2" t="s">
        <v>4</v>
      </c>
      <c r="G1984" s="2">
        <v>469.999999999615</v>
      </c>
      <c r="H1984" s="2" t="s">
        <v>8</v>
      </c>
      <c r="I1984" s="2">
        <v>2183012.0000000098</v>
      </c>
      <c r="J1984" s="2">
        <v>2000</v>
      </c>
      <c r="K1984" s="2">
        <v>200</v>
      </c>
      <c r="L1984" s="2">
        <v>0</v>
      </c>
      <c r="M1984" s="2">
        <v>623524.77</v>
      </c>
      <c r="N1984">
        <f t="shared" si="39"/>
        <v>2807006.7700000093</v>
      </c>
      <c r="O1984" s="2" t="s">
        <v>4</v>
      </c>
    </row>
    <row r="1985" spans="1:15" x14ac:dyDescent="0.2">
      <c r="A1985">
        <v>64</v>
      </c>
      <c r="B1985">
        <v>5</v>
      </c>
      <c r="C1985">
        <v>8</v>
      </c>
      <c r="D1985" s="2">
        <v>2</v>
      </c>
      <c r="E1985" s="2">
        <v>1</v>
      </c>
      <c r="F1985" s="2" t="s">
        <v>4</v>
      </c>
      <c r="G1985" s="2">
        <v>408.600000000092</v>
      </c>
      <c r="H1985" s="2" t="s">
        <v>8</v>
      </c>
      <c r="I1985" s="2">
        <v>1707695</v>
      </c>
      <c r="J1985" s="2">
        <v>2000</v>
      </c>
      <c r="K1985" s="2">
        <v>200</v>
      </c>
      <c r="L1985" s="2">
        <v>0</v>
      </c>
      <c r="M1985" s="2">
        <v>562365.17000000004</v>
      </c>
      <c r="N1985">
        <f t="shared" si="39"/>
        <v>2270468.77</v>
      </c>
      <c r="O1985" s="2" t="s">
        <v>4</v>
      </c>
    </row>
    <row r="1986" spans="1:15" x14ac:dyDescent="0.2">
      <c r="A1986">
        <v>65</v>
      </c>
      <c r="B1986">
        <v>5</v>
      </c>
      <c r="C1986">
        <v>8</v>
      </c>
      <c r="D1986" s="2">
        <v>2</v>
      </c>
      <c r="E1986" s="2">
        <v>2</v>
      </c>
      <c r="F1986" s="2" t="s">
        <v>4</v>
      </c>
      <c r="G1986" s="2">
        <v>427.200000000383</v>
      </c>
      <c r="H1986" s="2" t="s">
        <v>8</v>
      </c>
      <c r="I1986" s="2">
        <v>1389962.99999999</v>
      </c>
      <c r="J1986" s="2">
        <v>2000</v>
      </c>
      <c r="K1986" s="2">
        <v>200</v>
      </c>
      <c r="L1986" s="2">
        <v>0</v>
      </c>
      <c r="M1986" s="2">
        <v>613405.97</v>
      </c>
      <c r="N1986">
        <f t="shared" si="39"/>
        <v>2003796.1699999904</v>
      </c>
      <c r="O1986" s="2" t="s">
        <v>4</v>
      </c>
    </row>
    <row r="1987" spans="1:15" x14ac:dyDescent="0.2">
      <c r="A1987">
        <v>66</v>
      </c>
      <c r="B1987">
        <v>5</v>
      </c>
      <c r="C1987">
        <v>8</v>
      </c>
      <c r="D1987" s="2">
        <v>2</v>
      </c>
      <c r="E1987" s="2">
        <v>3</v>
      </c>
      <c r="F1987" s="2" t="s">
        <v>4</v>
      </c>
      <c r="G1987" s="2">
        <v>553.79999999942697</v>
      </c>
      <c r="H1987" s="2" t="s">
        <v>8</v>
      </c>
      <c r="I1987" s="2">
        <v>1964170.00000001</v>
      </c>
      <c r="J1987" s="2">
        <v>2000</v>
      </c>
      <c r="K1987" s="2">
        <v>200</v>
      </c>
      <c r="L1987" s="2">
        <v>0</v>
      </c>
      <c r="M1987" s="2">
        <v>630286.77</v>
      </c>
      <c r="N1987">
        <f t="shared" si="39"/>
        <v>2595010.5700000096</v>
      </c>
      <c r="O1987" s="2" t="s">
        <v>4</v>
      </c>
    </row>
    <row r="1988" spans="1:15" x14ac:dyDescent="0.2">
      <c r="A1988">
        <v>67</v>
      </c>
      <c r="B1988">
        <v>5</v>
      </c>
      <c r="C1988">
        <v>7</v>
      </c>
      <c r="D1988" s="2">
        <v>2</v>
      </c>
      <c r="E1988" s="2">
        <v>1</v>
      </c>
      <c r="F1988" s="2" t="s">
        <v>4</v>
      </c>
      <c r="G1988" s="2">
        <v>358.99999999990899</v>
      </c>
      <c r="H1988" s="2" t="s">
        <v>8</v>
      </c>
      <c r="I1988" s="2">
        <v>937139.00000000198</v>
      </c>
      <c r="J1988" s="2">
        <v>2000</v>
      </c>
      <c r="K1988" s="2">
        <v>200</v>
      </c>
      <c r="L1988" s="2">
        <v>0</v>
      </c>
      <c r="M1988" s="2">
        <v>556206.37</v>
      </c>
      <c r="N1988">
        <f t="shared" si="39"/>
        <v>1493704.370000002</v>
      </c>
      <c r="O1988" s="2" t="s">
        <v>4</v>
      </c>
    </row>
    <row r="1989" spans="1:15" x14ac:dyDescent="0.2">
      <c r="A1989">
        <v>68</v>
      </c>
      <c r="B1989">
        <v>5</v>
      </c>
      <c r="C1989">
        <v>7</v>
      </c>
      <c r="D1989" s="2">
        <v>2</v>
      </c>
      <c r="E1989" s="2">
        <v>2</v>
      </c>
      <c r="F1989" s="2" t="s">
        <v>4</v>
      </c>
      <c r="G1989" s="2">
        <v>373.80000000055702</v>
      </c>
      <c r="H1989" s="2" t="s">
        <v>8</v>
      </c>
      <c r="I1989" s="2">
        <v>1556484</v>
      </c>
      <c r="J1989" s="2">
        <v>2000</v>
      </c>
      <c r="K1989" s="2">
        <v>200</v>
      </c>
      <c r="L1989" s="2">
        <v>0</v>
      </c>
      <c r="M1989" s="2">
        <v>602648.37</v>
      </c>
      <c r="N1989">
        <f t="shared" si="39"/>
        <v>2159506.1700000004</v>
      </c>
      <c r="O1989" s="2" t="s">
        <v>4</v>
      </c>
    </row>
    <row r="1990" spans="1:15" x14ac:dyDescent="0.2">
      <c r="A1990">
        <v>69</v>
      </c>
      <c r="B1990">
        <v>5</v>
      </c>
      <c r="C1990">
        <v>7</v>
      </c>
      <c r="D1990" s="2">
        <v>2</v>
      </c>
      <c r="E1990" s="2">
        <v>3</v>
      </c>
      <c r="F1990" s="2" t="s">
        <v>4</v>
      </c>
      <c r="G1990" s="2">
        <v>458.79999999947103</v>
      </c>
      <c r="H1990" s="2" t="s">
        <v>8</v>
      </c>
      <c r="I1990" s="2">
        <v>1994440.99999999</v>
      </c>
      <c r="J1990" s="2">
        <v>2000</v>
      </c>
      <c r="K1990" s="2">
        <v>200</v>
      </c>
      <c r="L1990" s="2">
        <v>0</v>
      </c>
      <c r="M1990" s="2">
        <v>615007.97</v>
      </c>
      <c r="N1990">
        <f t="shared" si="39"/>
        <v>2609907.7699999893</v>
      </c>
      <c r="O1990" s="2" t="s">
        <v>4</v>
      </c>
    </row>
    <row r="1991" spans="1:15" x14ac:dyDescent="0.2">
      <c r="A1991">
        <v>28</v>
      </c>
      <c r="B1991">
        <v>5</v>
      </c>
      <c r="C1991">
        <v>4</v>
      </c>
      <c r="D1991" s="2">
        <v>2</v>
      </c>
      <c r="E1991" s="2">
        <v>1</v>
      </c>
      <c r="F1991" s="2" t="s">
        <v>4</v>
      </c>
      <c r="G1991" s="2">
        <v>901.80000000010796</v>
      </c>
      <c r="H1991" s="2" t="s">
        <v>8</v>
      </c>
      <c r="I1991" s="2">
        <v>460677</v>
      </c>
      <c r="J1991" s="2">
        <v>3000</v>
      </c>
      <c r="K1991" s="2">
        <v>100</v>
      </c>
      <c r="L1991" s="2">
        <v>0</v>
      </c>
      <c r="M1991" s="2">
        <v>678687.97</v>
      </c>
      <c r="N1991">
        <f t="shared" si="39"/>
        <v>1140266.77</v>
      </c>
      <c r="O1991" s="2" t="s">
        <v>4</v>
      </c>
    </row>
    <row r="1992" spans="1:15" x14ac:dyDescent="0.2">
      <c r="A1992">
        <v>29</v>
      </c>
      <c r="B1992">
        <v>5</v>
      </c>
      <c r="C1992">
        <v>5</v>
      </c>
      <c r="D1992" s="2">
        <v>2</v>
      </c>
      <c r="E1992" s="2">
        <v>2</v>
      </c>
      <c r="F1992" s="2" t="s">
        <v>4</v>
      </c>
      <c r="G1992" s="2">
        <v>926.20000000032098</v>
      </c>
      <c r="H1992" s="2" t="s">
        <v>8</v>
      </c>
      <c r="I1992" s="2">
        <v>770229.00000000105</v>
      </c>
      <c r="J1992" s="2">
        <v>3000</v>
      </c>
      <c r="K1992" s="2">
        <v>100</v>
      </c>
      <c r="L1992" s="2">
        <v>0</v>
      </c>
      <c r="M1992" s="2">
        <v>692247.57</v>
      </c>
      <c r="N1992">
        <f t="shared" si="39"/>
        <v>1463402.7700000014</v>
      </c>
      <c r="O1992" s="2" t="s">
        <v>4</v>
      </c>
    </row>
    <row r="1993" spans="1:15" x14ac:dyDescent="0.2">
      <c r="A1993">
        <v>30</v>
      </c>
      <c r="B1993">
        <v>5</v>
      </c>
      <c r="C1993">
        <v>5</v>
      </c>
      <c r="D1993" s="2">
        <v>2</v>
      </c>
      <c r="E1993" s="2">
        <v>3</v>
      </c>
      <c r="F1993" s="2" t="s">
        <v>4</v>
      </c>
      <c r="G1993" s="2">
        <v>922.99999999951899</v>
      </c>
      <c r="H1993" s="2" t="s">
        <v>8</v>
      </c>
      <c r="I1993" s="2">
        <v>1785648</v>
      </c>
      <c r="J1993" s="2">
        <v>3000</v>
      </c>
      <c r="K1993" s="2">
        <v>100</v>
      </c>
      <c r="L1993" s="2">
        <v>0</v>
      </c>
      <c r="M1993" s="2">
        <v>606085.56999999995</v>
      </c>
      <c r="N1993">
        <f t="shared" si="39"/>
        <v>2392656.5699999994</v>
      </c>
      <c r="O1993" s="2" t="s">
        <v>4</v>
      </c>
    </row>
    <row r="1994" spans="1:15" x14ac:dyDescent="0.2">
      <c r="A1994">
        <v>31</v>
      </c>
      <c r="B1994">
        <v>5</v>
      </c>
      <c r="C1994">
        <v>5</v>
      </c>
      <c r="D1994" s="2">
        <v>2</v>
      </c>
      <c r="E1994" s="2">
        <v>1</v>
      </c>
      <c r="F1994" s="2" t="s">
        <v>4</v>
      </c>
      <c r="G1994" s="2">
        <v>780.99999999920999</v>
      </c>
      <c r="H1994" s="2" t="s">
        <v>8</v>
      </c>
      <c r="I1994" s="2">
        <v>634705.99999999802</v>
      </c>
      <c r="J1994" s="2">
        <v>3000</v>
      </c>
      <c r="K1994" s="2">
        <v>100</v>
      </c>
      <c r="L1994" s="2">
        <v>0</v>
      </c>
      <c r="M1994" s="2">
        <v>549446.37</v>
      </c>
      <c r="N1994">
        <f t="shared" si="39"/>
        <v>1184933.3699999973</v>
      </c>
      <c r="O1994" s="2" t="s">
        <v>4</v>
      </c>
    </row>
    <row r="1995" spans="1:15" x14ac:dyDescent="0.2">
      <c r="A1995">
        <v>32</v>
      </c>
      <c r="B1995">
        <v>5</v>
      </c>
      <c r="C1995">
        <v>5</v>
      </c>
      <c r="D1995" s="2">
        <v>2</v>
      </c>
      <c r="E1995" s="2">
        <v>2</v>
      </c>
      <c r="F1995" s="2" t="s">
        <v>4</v>
      </c>
      <c r="G1995" s="2">
        <v>720.199999999949</v>
      </c>
      <c r="H1995" s="2" t="s">
        <v>8</v>
      </c>
      <c r="I1995" s="2">
        <v>1699059</v>
      </c>
      <c r="J1995" s="2">
        <v>3000</v>
      </c>
      <c r="K1995" s="2">
        <v>100</v>
      </c>
      <c r="L1995" s="2">
        <v>0</v>
      </c>
      <c r="M1995" s="2">
        <v>590126.77</v>
      </c>
      <c r="N1995">
        <f t="shared" si="39"/>
        <v>2289905.9699999997</v>
      </c>
      <c r="O1995" s="2" t="s">
        <v>4</v>
      </c>
    </row>
    <row r="1996" spans="1:15" x14ac:dyDescent="0.2">
      <c r="A1996">
        <v>33</v>
      </c>
      <c r="B1996">
        <v>5</v>
      </c>
      <c r="C1996">
        <v>5</v>
      </c>
      <c r="D1996" s="2">
        <v>2</v>
      </c>
      <c r="E1996" s="2">
        <v>3</v>
      </c>
      <c r="F1996" s="2" t="s">
        <v>4</v>
      </c>
      <c r="G1996" s="2">
        <v>762.79999999968595</v>
      </c>
      <c r="H1996" s="2" t="s">
        <v>8</v>
      </c>
      <c r="I1996" s="2">
        <v>1760464</v>
      </c>
      <c r="J1996" s="2">
        <v>3000</v>
      </c>
      <c r="K1996" s="2">
        <v>100</v>
      </c>
      <c r="L1996" s="2">
        <v>0</v>
      </c>
      <c r="M1996" s="2">
        <v>654446.77</v>
      </c>
      <c r="N1996">
        <f t="shared" si="39"/>
        <v>2415673.5699999994</v>
      </c>
      <c r="O1996" s="2" t="s">
        <v>4</v>
      </c>
    </row>
    <row r="1997" spans="1:15" x14ac:dyDescent="0.2">
      <c r="A1997">
        <v>34</v>
      </c>
      <c r="B1997">
        <v>5</v>
      </c>
      <c r="C1997">
        <v>5</v>
      </c>
      <c r="D1997" s="2">
        <v>2</v>
      </c>
      <c r="E1997" s="2">
        <v>1</v>
      </c>
      <c r="F1997" s="2" t="s">
        <v>4</v>
      </c>
      <c r="G1997" s="2">
        <v>563.600000000264</v>
      </c>
      <c r="H1997" s="2" t="s">
        <v>8</v>
      </c>
      <c r="I1997" s="2">
        <v>567174.00000000105</v>
      </c>
      <c r="J1997" s="2">
        <v>3000</v>
      </c>
      <c r="K1997" s="2">
        <v>100</v>
      </c>
      <c r="L1997" s="2">
        <v>0</v>
      </c>
      <c r="M1997" s="2">
        <v>690806.77</v>
      </c>
      <c r="N1997">
        <f t="shared" si="39"/>
        <v>1258544.3700000013</v>
      </c>
      <c r="O1997" s="2" t="s">
        <v>4</v>
      </c>
    </row>
    <row r="1998" spans="1:15" x14ac:dyDescent="0.2">
      <c r="A1998">
        <v>35</v>
      </c>
      <c r="B1998">
        <v>5</v>
      </c>
      <c r="C1998">
        <v>6</v>
      </c>
      <c r="D1998" s="2">
        <v>2</v>
      </c>
      <c r="E1998" s="2">
        <v>1</v>
      </c>
      <c r="F1998" s="2" t="s">
        <v>4</v>
      </c>
      <c r="G1998" s="2">
        <v>467.000000000439</v>
      </c>
      <c r="H1998" s="2" t="s">
        <v>8</v>
      </c>
      <c r="I1998" s="2">
        <v>1291090</v>
      </c>
      <c r="J1998" s="2">
        <v>3000</v>
      </c>
      <c r="K1998" s="2">
        <v>100</v>
      </c>
      <c r="L1998" s="2">
        <v>0</v>
      </c>
      <c r="M1998" s="2">
        <v>552985.97</v>
      </c>
      <c r="N1998">
        <f t="shared" si="39"/>
        <v>1844542.9700000004</v>
      </c>
      <c r="O1998" s="2" t="s">
        <v>4</v>
      </c>
    </row>
    <row r="1999" spans="1:15" x14ac:dyDescent="0.2">
      <c r="A1999">
        <v>36</v>
      </c>
      <c r="B1999">
        <v>5</v>
      </c>
      <c r="C1999">
        <v>6</v>
      </c>
      <c r="D1999" s="2">
        <v>2</v>
      </c>
      <c r="E1999" s="2">
        <v>2</v>
      </c>
      <c r="F1999" s="2" t="s">
        <v>4</v>
      </c>
      <c r="G1999" s="2">
        <v>432.59999999953902</v>
      </c>
      <c r="H1999" s="2" t="s">
        <v>8</v>
      </c>
      <c r="I1999" s="2">
        <v>884944.99999999499</v>
      </c>
      <c r="J1999" s="2">
        <v>3000</v>
      </c>
      <c r="K1999" s="2">
        <v>100</v>
      </c>
      <c r="L1999" s="2">
        <v>0</v>
      </c>
      <c r="M1999" s="2">
        <v>718585.97</v>
      </c>
      <c r="N1999">
        <f t="shared" si="39"/>
        <v>1603963.5699999945</v>
      </c>
      <c r="O1999" s="2" t="s">
        <v>4</v>
      </c>
    </row>
    <row r="2000" spans="1:15" x14ac:dyDescent="0.2">
      <c r="A2000">
        <v>37</v>
      </c>
      <c r="B2000">
        <v>5</v>
      </c>
      <c r="C2000">
        <v>6</v>
      </c>
      <c r="D2000" s="2">
        <v>2</v>
      </c>
      <c r="E2000" s="2">
        <v>3</v>
      </c>
      <c r="F2000" s="2" t="s">
        <v>4</v>
      </c>
      <c r="G2000" s="2">
        <v>535.40000000005296</v>
      </c>
      <c r="H2000" s="2" t="s">
        <v>8</v>
      </c>
      <c r="I2000" s="2">
        <v>1563006</v>
      </c>
      <c r="J2000" s="2">
        <v>3000</v>
      </c>
      <c r="K2000" s="2">
        <v>100</v>
      </c>
      <c r="L2000" s="2">
        <v>0</v>
      </c>
      <c r="M2000" s="2">
        <v>609327.97</v>
      </c>
      <c r="N2000">
        <f t="shared" si="39"/>
        <v>2172869.37</v>
      </c>
      <c r="O2000" s="2" t="s">
        <v>4</v>
      </c>
    </row>
    <row r="2001" spans="1:15" x14ac:dyDescent="0.2">
      <c r="A2001">
        <v>38</v>
      </c>
      <c r="B2001">
        <v>5</v>
      </c>
      <c r="C2001">
        <v>6</v>
      </c>
      <c r="D2001" s="2">
        <v>2</v>
      </c>
      <c r="E2001" s="2">
        <v>1</v>
      </c>
      <c r="F2001" s="2" t="s">
        <v>4</v>
      </c>
      <c r="G2001" s="2">
        <v>394.79999999976201</v>
      </c>
      <c r="H2001" s="2" t="s">
        <v>8</v>
      </c>
      <c r="I2001" s="2">
        <v>686184.00000000396</v>
      </c>
      <c r="J2001" s="2">
        <v>3000</v>
      </c>
      <c r="K2001" s="2">
        <v>100</v>
      </c>
      <c r="L2001" s="2">
        <v>0</v>
      </c>
      <c r="M2001" s="2">
        <v>599967.17000000004</v>
      </c>
      <c r="N2001">
        <f t="shared" si="39"/>
        <v>1286545.9700000039</v>
      </c>
      <c r="O2001" s="2" t="s">
        <v>4</v>
      </c>
    </row>
    <row r="2002" spans="1:15" x14ac:dyDescent="0.2">
      <c r="A2002">
        <v>39</v>
      </c>
      <c r="B2002">
        <v>5</v>
      </c>
      <c r="C2002">
        <v>7</v>
      </c>
      <c r="D2002" s="2">
        <v>2</v>
      </c>
      <c r="E2002" s="2">
        <v>1</v>
      </c>
      <c r="F2002" s="2" t="s">
        <v>4</v>
      </c>
      <c r="G2002" s="2">
        <v>470.600000000232</v>
      </c>
      <c r="H2002" s="2" t="s">
        <v>8</v>
      </c>
      <c r="I2002" s="2">
        <v>1346969</v>
      </c>
      <c r="J2002" s="2">
        <v>3000</v>
      </c>
      <c r="K2002" s="2">
        <v>100</v>
      </c>
      <c r="L2002" s="2">
        <v>0</v>
      </c>
      <c r="M2002" s="2">
        <v>617067.17000000004</v>
      </c>
      <c r="N2002">
        <f t="shared" si="39"/>
        <v>1964506.7700000005</v>
      </c>
      <c r="O2002" s="2" t="s">
        <v>4</v>
      </c>
    </row>
    <row r="2003" spans="1:15" x14ac:dyDescent="0.2">
      <c r="A2003">
        <v>40</v>
      </c>
      <c r="B2003">
        <v>5</v>
      </c>
      <c r="C2003">
        <v>7</v>
      </c>
      <c r="D2003" s="2">
        <v>2</v>
      </c>
      <c r="E2003" s="2">
        <v>2</v>
      </c>
      <c r="F2003" s="2" t="s">
        <v>4</v>
      </c>
      <c r="G2003" s="2">
        <v>455.20000000074401</v>
      </c>
      <c r="H2003" s="2" t="s">
        <v>8</v>
      </c>
      <c r="I2003" s="2">
        <v>2734535</v>
      </c>
      <c r="J2003" s="2">
        <v>3000</v>
      </c>
      <c r="K2003" s="2">
        <v>100</v>
      </c>
      <c r="L2003" s="2">
        <v>0</v>
      </c>
      <c r="M2003" s="2">
        <v>714865.57</v>
      </c>
      <c r="N2003">
        <f t="shared" si="39"/>
        <v>3449855.7700000005</v>
      </c>
      <c r="O2003" s="2" t="s">
        <v>4</v>
      </c>
    </row>
    <row r="2004" spans="1:15" x14ac:dyDescent="0.2">
      <c r="A2004">
        <v>41</v>
      </c>
      <c r="B2004">
        <v>5</v>
      </c>
      <c r="C2004">
        <v>7</v>
      </c>
      <c r="D2004" s="2">
        <v>2</v>
      </c>
      <c r="E2004" s="2">
        <v>3</v>
      </c>
      <c r="F2004" s="2" t="s">
        <v>4</v>
      </c>
      <c r="G2004" s="2">
        <v>556.20000000047298</v>
      </c>
      <c r="H2004" s="2" t="s">
        <v>8</v>
      </c>
      <c r="I2004" s="2">
        <v>2185385</v>
      </c>
      <c r="J2004" s="2">
        <v>3000</v>
      </c>
      <c r="K2004" s="2">
        <v>100</v>
      </c>
      <c r="L2004" s="2">
        <v>0</v>
      </c>
      <c r="M2004" s="2">
        <v>624747.56999999995</v>
      </c>
      <c r="N2004">
        <f t="shared" si="39"/>
        <v>2810688.7700000005</v>
      </c>
      <c r="O2004" s="2" t="s">
        <v>4</v>
      </c>
    </row>
    <row r="2005" spans="1:15" x14ac:dyDescent="0.2">
      <c r="A2005">
        <v>42</v>
      </c>
      <c r="B2005">
        <v>5</v>
      </c>
      <c r="C2005">
        <v>4</v>
      </c>
      <c r="D2005" s="2">
        <v>2</v>
      </c>
      <c r="E2005" s="2">
        <v>1</v>
      </c>
      <c r="F2005" s="2" t="s">
        <v>4</v>
      </c>
      <c r="G2005" s="2">
        <v>288.80000000022198</v>
      </c>
      <c r="H2005" s="2" t="s">
        <v>8</v>
      </c>
      <c r="I2005" s="2">
        <v>329124</v>
      </c>
      <c r="J2005" s="2">
        <v>3000</v>
      </c>
      <c r="K2005" s="2">
        <v>100</v>
      </c>
      <c r="L2005" s="2">
        <v>0</v>
      </c>
      <c r="M2005" s="2">
        <v>555924.77</v>
      </c>
      <c r="N2005">
        <f t="shared" si="39"/>
        <v>885337.5700000003</v>
      </c>
      <c r="O2005" s="2" t="s">
        <v>4</v>
      </c>
    </row>
    <row r="2006" spans="1:15" x14ac:dyDescent="0.2">
      <c r="A2006">
        <v>43</v>
      </c>
      <c r="B2006">
        <v>5</v>
      </c>
      <c r="C2006">
        <v>5</v>
      </c>
      <c r="D2006" s="2">
        <v>2</v>
      </c>
      <c r="E2006" s="2">
        <v>1</v>
      </c>
      <c r="F2006" s="2" t="s">
        <v>4</v>
      </c>
      <c r="G2006" s="2">
        <v>340.19999999976801</v>
      </c>
      <c r="H2006" s="2" t="s">
        <v>8</v>
      </c>
      <c r="I2006" s="2">
        <v>626666</v>
      </c>
      <c r="J2006" s="2">
        <v>3000</v>
      </c>
      <c r="K2006" s="2">
        <v>100</v>
      </c>
      <c r="L2006" s="2">
        <v>0</v>
      </c>
      <c r="M2006" s="2">
        <v>557245.56999999995</v>
      </c>
      <c r="N2006">
        <f t="shared" si="39"/>
        <v>1184251.7699999996</v>
      </c>
      <c r="O2006" s="2" t="s">
        <v>4</v>
      </c>
    </row>
    <row r="2007" spans="1:15" x14ac:dyDescent="0.2">
      <c r="A2007">
        <v>44</v>
      </c>
      <c r="B2007">
        <v>5</v>
      </c>
      <c r="C2007">
        <v>5</v>
      </c>
      <c r="D2007" s="2">
        <v>2</v>
      </c>
      <c r="E2007" s="2">
        <v>2</v>
      </c>
      <c r="F2007" s="2" t="s">
        <v>4</v>
      </c>
      <c r="G2007" s="2">
        <v>325.80000000024302</v>
      </c>
      <c r="H2007" s="2" t="s">
        <v>8</v>
      </c>
      <c r="I2007" s="2">
        <v>625314.00000000303</v>
      </c>
      <c r="J2007" s="2">
        <v>3000</v>
      </c>
      <c r="K2007" s="2">
        <v>100</v>
      </c>
      <c r="L2007" s="2">
        <v>0</v>
      </c>
      <c r="M2007" s="2">
        <v>572008.77</v>
      </c>
      <c r="N2007">
        <f t="shared" si="39"/>
        <v>1197648.5700000033</v>
      </c>
      <c r="O2007" s="2" t="s">
        <v>4</v>
      </c>
    </row>
    <row r="2008" spans="1:15" x14ac:dyDescent="0.2">
      <c r="A2008">
        <v>45</v>
      </c>
      <c r="B2008">
        <v>5</v>
      </c>
      <c r="C2008">
        <v>5</v>
      </c>
      <c r="D2008" s="2">
        <v>2</v>
      </c>
      <c r="E2008" s="2">
        <v>3</v>
      </c>
      <c r="F2008" s="2" t="s">
        <v>4</v>
      </c>
      <c r="G2008" s="2">
        <v>420.79999999948802</v>
      </c>
      <c r="H2008" s="2" t="s">
        <v>8</v>
      </c>
      <c r="I2008" s="2">
        <v>1579966</v>
      </c>
      <c r="J2008" s="2">
        <v>3000</v>
      </c>
      <c r="K2008" s="2">
        <v>100</v>
      </c>
      <c r="L2008" s="2">
        <v>0</v>
      </c>
      <c r="M2008" s="2">
        <v>693624.77</v>
      </c>
      <c r="N2008">
        <f t="shared" si="39"/>
        <v>2274011.5699999994</v>
      </c>
      <c r="O2008" s="2" t="s">
        <v>4</v>
      </c>
    </row>
    <row r="2009" spans="1:15" x14ac:dyDescent="0.2">
      <c r="A2009">
        <v>46</v>
      </c>
      <c r="B2009">
        <v>5</v>
      </c>
      <c r="C2009">
        <v>6</v>
      </c>
      <c r="D2009" s="2">
        <v>2</v>
      </c>
      <c r="E2009" s="2">
        <v>1</v>
      </c>
      <c r="F2009" s="2" t="s">
        <v>4</v>
      </c>
      <c r="G2009" s="2">
        <v>431.79999999978202</v>
      </c>
      <c r="H2009" s="2" t="s">
        <v>8</v>
      </c>
      <c r="I2009" s="2">
        <v>908150.99999999697</v>
      </c>
      <c r="J2009" s="2">
        <v>3000</v>
      </c>
      <c r="K2009" s="2">
        <v>100</v>
      </c>
      <c r="L2009" s="2">
        <v>0</v>
      </c>
      <c r="M2009" s="2">
        <v>523766.37</v>
      </c>
      <c r="N2009">
        <f t="shared" si="39"/>
        <v>1432349.1699999967</v>
      </c>
      <c r="O2009" s="2" t="s">
        <v>4</v>
      </c>
    </row>
    <row r="2010" spans="1:15" x14ac:dyDescent="0.2">
      <c r="A2010">
        <v>47</v>
      </c>
      <c r="B2010">
        <v>5</v>
      </c>
      <c r="C2010">
        <v>6</v>
      </c>
      <c r="D2010" s="2">
        <v>2</v>
      </c>
      <c r="E2010" s="2">
        <v>2</v>
      </c>
      <c r="F2010" s="2" t="s">
        <v>4</v>
      </c>
      <c r="G2010" s="2">
        <v>392.80000000019299</v>
      </c>
      <c r="H2010" s="2" t="s">
        <v>8</v>
      </c>
      <c r="I2010" s="2">
        <v>835637.99999999604</v>
      </c>
      <c r="J2010" s="2">
        <v>3000</v>
      </c>
      <c r="K2010" s="2">
        <v>100</v>
      </c>
      <c r="L2010" s="2">
        <v>0</v>
      </c>
      <c r="M2010" s="2">
        <v>688707.57</v>
      </c>
      <c r="N2010">
        <f t="shared" si="39"/>
        <v>1524738.3699999962</v>
      </c>
      <c r="O2010" s="2" t="s">
        <v>4</v>
      </c>
    </row>
    <row r="2011" spans="1:15" x14ac:dyDescent="0.2">
      <c r="A2011">
        <v>48</v>
      </c>
      <c r="B2011">
        <v>5</v>
      </c>
      <c r="C2011">
        <v>6</v>
      </c>
      <c r="D2011" s="2">
        <v>2</v>
      </c>
      <c r="E2011" s="2">
        <v>3</v>
      </c>
      <c r="F2011" s="2" t="s">
        <v>4</v>
      </c>
      <c r="G2011" s="2">
        <v>479.99999999994702</v>
      </c>
      <c r="H2011" s="2" t="s">
        <v>8</v>
      </c>
      <c r="I2011" s="2">
        <v>1313722.00000001</v>
      </c>
      <c r="J2011" s="2">
        <v>3000</v>
      </c>
      <c r="K2011" s="2">
        <v>100</v>
      </c>
      <c r="L2011" s="2">
        <v>0</v>
      </c>
      <c r="M2011" s="2">
        <v>734067.57</v>
      </c>
      <c r="N2011">
        <f t="shared" si="39"/>
        <v>2048269.5700000101</v>
      </c>
      <c r="O2011" s="2" t="s">
        <v>4</v>
      </c>
    </row>
    <row r="2012" spans="1:15" x14ac:dyDescent="0.2">
      <c r="A2012">
        <v>49</v>
      </c>
      <c r="B2012">
        <v>5</v>
      </c>
      <c r="C2012">
        <v>6</v>
      </c>
      <c r="D2012" s="2">
        <v>2</v>
      </c>
      <c r="E2012" s="2">
        <v>1</v>
      </c>
      <c r="F2012" s="2" t="s">
        <v>4</v>
      </c>
      <c r="G2012" s="2">
        <v>379.40000000027402</v>
      </c>
      <c r="H2012" s="2" t="s">
        <v>8</v>
      </c>
      <c r="I2012" s="2">
        <v>1132380</v>
      </c>
      <c r="J2012" s="2">
        <v>3000</v>
      </c>
      <c r="K2012" s="2">
        <v>100</v>
      </c>
      <c r="L2012" s="2">
        <v>0</v>
      </c>
      <c r="M2012" s="2">
        <v>547525.17000000004</v>
      </c>
      <c r="N2012">
        <f t="shared" si="39"/>
        <v>1680284.5700000003</v>
      </c>
      <c r="O2012" s="2" t="s">
        <v>4</v>
      </c>
    </row>
    <row r="2013" spans="1:15" x14ac:dyDescent="0.2">
      <c r="A2013">
        <v>50</v>
      </c>
      <c r="B2013">
        <v>5</v>
      </c>
      <c r="C2013">
        <v>6</v>
      </c>
      <c r="D2013" s="2">
        <v>2</v>
      </c>
      <c r="E2013" s="2">
        <v>2</v>
      </c>
      <c r="F2013" s="2" t="s">
        <v>4</v>
      </c>
      <c r="G2013" s="2">
        <v>387.60000000017698</v>
      </c>
      <c r="H2013" s="2" t="s">
        <v>8</v>
      </c>
      <c r="I2013" s="2">
        <v>809797.00000000303</v>
      </c>
      <c r="J2013" s="2">
        <v>3000</v>
      </c>
      <c r="K2013" s="2">
        <v>100</v>
      </c>
      <c r="L2013" s="2">
        <v>0</v>
      </c>
      <c r="M2013" s="2">
        <v>583767.17000000004</v>
      </c>
      <c r="N2013">
        <f t="shared" si="39"/>
        <v>1393951.7700000033</v>
      </c>
      <c r="O2013" s="2" t="s">
        <v>4</v>
      </c>
    </row>
    <row r="2014" spans="1:15" x14ac:dyDescent="0.2">
      <c r="A2014">
        <v>51</v>
      </c>
      <c r="B2014">
        <v>5</v>
      </c>
      <c r="C2014">
        <v>6</v>
      </c>
      <c r="D2014" s="2">
        <v>2</v>
      </c>
      <c r="E2014" s="2">
        <v>3</v>
      </c>
      <c r="F2014" s="2" t="s">
        <v>4</v>
      </c>
      <c r="G2014" s="2">
        <v>476.39999999944399</v>
      </c>
      <c r="H2014" s="2" t="s">
        <v>8</v>
      </c>
      <c r="I2014" s="2">
        <v>1191722</v>
      </c>
      <c r="J2014" s="2">
        <v>3000</v>
      </c>
      <c r="K2014" s="2">
        <v>100</v>
      </c>
      <c r="L2014" s="2">
        <v>0</v>
      </c>
      <c r="M2014" s="2">
        <v>588445.56999999995</v>
      </c>
      <c r="N2014">
        <f t="shared" ref="N2014:N2032" si="40">G2014+I2014+M2014</f>
        <v>1780643.9699999993</v>
      </c>
      <c r="O2014" s="2" t="s">
        <v>4</v>
      </c>
    </row>
    <row r="2015" spans="1:15" x14ac:dyDescent="0.2">
      <c r="A2015">
        <v>52</v>
      </c>
      <c r="B2015">
        <v>5</v>
      </c>
      <c r="C2015">
        <v>7</v>
      </c>
      <c r="D2015" s="2">
        <v>2</v>
      </c>
      <c r="E2015" s="2">
        <v>1</v>
      </c>
      <c r="F2015" s="2" t="s">
        <v>4</v>
      </c>
      <c r="G2015" s="2">
        <v>407.79999999998</v>
      </c>
      <c r="H2015" s="2" t="s">
        <v>8</v>
      </c>
      <c r="I2015" s="2">
        <v>1069360</v>
      </c>
      <c r="J2015" s="2">
        <v>3000</v>
      </c>
      <c r="K2015" s="2">
        <v>100</v>
      </c>
      <c r="L2015" s="2">
        <v>0</v>
      </c>
      <c r="M2015" s="2">
        <v>610828.77</v>
      </c>
      <c r="N2015">
        <f t="shared" si="40"/>
        <v>1680596.57</v>
      </c>
      <c r="O2015" s="2" t="s">
        <v>4</v>
      </c>
    </row>
    <row r="2016" spans="1:15" x14ac:dyDescent="0.2">
      <c r="A2016">
        <v>53</v>
      </c>
      <c r="B2016">
        <v>5</v>
      </c>
      <c r="C2016">
        <v>7</v>
      </c>
      <c r="D2016" s="2">
        <v>2</v>
      </c>
      <c r="E2016" s="2">
        <v>2</v>
      </c>
      <c r="F2016" s="2" t="s">
        <v>4</v>
      </c>
      <c r="G2016" s="2">
        <v>396.99999999953701</v>
      </c>
      <c r="H2016" s="2" t="s">
        <v>8</v>
      </c>
      <c r="I2016" s="2">
        <v>2505793</v>
      </c>
      <c r="J2016" s="2">
        <v>3000</v>
      </c>
      <c r="K2016" s="2">
        <v>100</v>
      </c>
      <c r="L2016" s="2">
        <v>0</v>
      </c>
      <c r="M2016" s="2">
        <v>584967.56999999995</v>
      </c>
      <c r="N2016">
        <f t="shared" si="40"/>
        <v>3091157.5699999994</v>
      </c>
      <c r="O2016" s="2" t="s">
        <v>4</v>
      </c>
    </row>
    <row r="2017" spans="1:15" x14ac:dyDescent="0.2">
      <c r="A2017">
        <v>54</v>
      </c>
      <c r="B2017">
        <v>5</v>
      </c>
      <c r="C2017">
        <v>7</v>
      </c>
      <c r="D2017" s="2">
        <v>2</v>
      </c>
      <c r="E2017" s="2">
        <v>3</v>
      </c>
      <c r="F2017" s="2" t="s">
        <v>4</v>
      </c>
      <c r="G2017" s="2">
        <v>497.99999999997601</v>
      </c>
      <c r="H2017" s="2" t="s">
        <v>8</v>
      </c>
      <c r="I2017" s="2">
        <v>3244514</v>
      </c>
      <c r="J2017" s="2">
        <v>3000</v>
      </c>
      <c r="K2017" s="2">
        <v>100</v>
      </c>
      <c r="L2017" s="2">
        <v>0</v>
      </c>
      <c r="M2017" s="2">
        <v>550645.17000000004</v>
      </c>
      <c r="N2017">
        <f t="shared" si="40"/>
        <v>3795657.17</v>
      </c>
      <c r="O2017" s="2" t="s">
        <v>4</v>
      </c>
    </row>
    <row r="2018" spans="1:15" x14ac:dyDescent="0.2">
      <c r="A2018">
        <v>55</v>
      </c>
      <c r="B2018">
        <v>5</v>
      </c>
      <c r="C2018">
        <v>5</v>
      </c>
      <c r="D2018" s="2">
        <v>2</v>
      </c>
      <c r="E2018" s="2">
        <v>1</v>
      </c>
      <c r="F2018" s="2" t="s">
        <v>4</v>
      </c>
      <c r="G2018" s="2">
        <v>289.40000000012799</v>
      </c>
      <c r="H2018" s="2" t="s">
        <v>8</v>
      </c>
      <c r="I2018" s="2">
        <v>783248</v>
      </c>
      <c r="J2018" s="2">
        <v>3000</v>
      </c>
      <c r="K2018" s="2">
        <v>100</v>
      </c>
      <c r="L2018" s="2">
        <v>0</v>
      </c>
      <c r="M2018" s="2">
        <v>542366.77</v>
      </c>
      <c r="N2018">
        <f t="shared" si="40"/>
        <v>1325904.1700000002</v>
      </c>
      <c r="O2018" s="2" t="s">
        <v>4</v>
      </c>
    </row>
    <row r="2019" spans="1:15" x14ac:dyDescent="0.2">
      <c r="A2019">
        <v>56</v>
      </c>
      <c r="B2019">
        <v>5</v>
      </c>
      <c r="C2019">
        <v>5</v>
      </c>
      <c r="D2019" s="2">
        <v>2</v>
      </c>
      <c r="E2019" s="2">
        <v>2</v>
      </c>
      <c r="F2019" s="2" t="s">
        <v>4</v>
      </c>
      <c r="G2019" s="2">
        <v>287.00000000014802</v>
      </c>
      <c r="H2019" s="2" t="s">
        <v>8</v>
      </c>
      <c r="I2019" s="2">
        <v>544256.00000000396</v>
      </c>
      <c r="J2019" s="2">
        <v>3000</v>
      </c>
      <c r="K2019" s="2">
        <v>100</v>
      </c>
      <c r="L2019" s="2">
        <v>0</v>
      </c>
      <c r="M2019" s="2">
        <v>571466.77</v>
      </c>
      <c r="N2019">
        <f t="shared" si="40"/>
        <v>1116009.7700000042</v>
      </c>
      <c r="O2019" s="2" t="s">
        <v>4</v>
      </c>
    </row>
    <row r="2020" spans="1:15" x14ac:dyDescent="0.2">
      <c r="A2020">
        <v>57</v>
      </c>
      <c r="B2020">
        <v>5</v>
      </c>
      <c r="C2020">
        <v>5</v>
      </c>
      <c r="D2020" s="2">
        <v>2</v>
      </c>
      <c r="E2020" s="2">
        <v>3</v>
      </c>
      <c r="F2020" s="2" t="s">
        <v>4</v>
      </c>
      <c r="G2020" s="2">
        <v>362.39999999949703</v>
      </c>
      <c r="H2020" s="2" t="s">
        <v>8</v>
      </c>
      <c r="I2020" s="2">
        <v>801326.00000000303</v>
      </c>
      <c r="J2020" s="2">
        <v>3000</v>
      </c>
      <c r="K2020" s="2">
        <v>100</v>
      </c>
      <c r="L2020" s="2">
        <v>0</v>
      </c>
      <c r="M2020" s="2">
        <v>710007.57</v>
      </c>
      <c r="N2020">
        <f t="shared" si="40"/>
        <v>1511695.9700000025</v>
      </c>
      <c r="O2020" s="2" t="s">
        <v>4</v>
      </c>
    </row>
    <row r="2021" spans="1:15" x14ac:dyDescent="0.2">
      <c r="A2021">
        <v>58</v>
      </c>
      <c r="B2021">
        <v>5</v>
      </c>
      <c r="C2021">
        <v>6</v>
      </c>
      <c r="D2021" s="2">
        <v>2</v>
      </c>
      <c r="E2021" s="2">
        <v>1</v>
      </c>
      <c r="F2021" s="2" t="s">
        <v>4</v>
      </c>
      <c r="G2021" s="2">
        <v>340.79999999967498</v>
      </c>
      <c r="H2021" s="2" t="s">
        <v>8</v>
      </c>
      <c r="I2021" s="2">
        <v>868777.00000000198</v>
      </c>
      <c r="J2021" s="2">
        <v>3000</v>
      </c>
      <c r="K2021" s="2">
        <v>100</v>
      </c>
      <c r="L2021" s="2">
        <v>0</v>
      </c>
      <c r="M2021" s="2">
        <v>699928.37</v>
      </c>
      <c r="N2021">
        <f t="shared" si="40"/>
        <v>1569046.1700000018</v>
      </c>
      <c r="O2021" s="2" t="s">
        <v>4</v>
      </c>
    </row>
    <row r="2022" spans="1:15" x14ac:dyDescent="0.2">
      <c r="A2022">
        <v>59</v>
      </c>
      <c r="B2022">
        <v>5</v>
      </c>
      <c r="C2022">
        <v>6</v>
      </c>
      <c r="D2022" s="2">
        <v>2</v>
      </c>
      <c r="E2022" s="2">
        <v>2</v>
      </c>
      <c r="F2022" s="2" t="s">
        <v>4</v>
      </c>
      <c r="G2022" s="2">
        <v>334.19999999999601</v>
      </c>
      <c r="H2022" s="2" t="s">
        <v>8</v>
      </c>
      <c r="I2022" s="2">
        <v>583774.00000000501</v>
      </c>
      <c r="J2022" s="2">
        <v>3000</v>
      </c>
      <c r="K2022" s="2">
        <v>100</v>
      </c>
      <c r="L2022" s="2">
        <v>0</v>
      </c>
      <c r="M2022" s="2">
        <v>604107.17000000004</v>
      </c>
      <c r="N2022">
        <f t="shared" si="40"/>
        <v>1188215.370000005</v>
      </c>
      <c r="O2022" s="2" t="s">
        <v>4</v>
      </c>
    </row>
    <row r="2023" spans="1:15" x14ac:dyDescent="0.2">
      <c r="A2023">
        <v>60</v>
      </c>
      <c r="B2023">
        <v>5</v>
      </c>
      <c r="C2023">
        <v>6</v>
      </c>
      <c r="D2023" s="2">
        <v>2</v>
      </c>
      <c r="E2023" s="2">
        <v>3</v>
      </c>
      <c r="F2023" s="2" t="s">
        <v>4</v>
      </c>
      <c r="G2023" s="2">
        <v>401.39999999979602</v>
      </c>
      <c r="H2023" s="2" t="s">
        <v>8</v>
      </c>
      <c r="I2023" s="2">
        <v>2144212.9999999902</v>
      </c>
      <c r="J2023" s="2">
        <v>3000</v>
      </c>
      <c r="K2023" s="2">
        <v>100</v>
      </c>
      <c r="L2023" s="2">
        <v>0</v>
      </c>
      <c r="M2023" s="2">
        <v>715466.77</v>
      </c>
      <c r="N2023">
        <f t="shared" si="40"/>
        <v>2860081.1699999901</v>
      </c>
      <c r="O2023" s="2" t="s">
        <v>4</v>
      </c>
    </row>
    <row r="2024" spans="1:15" x14ac:dyDescent="0.2">
      <c r="A2024">
        <v>61</v>
      </c>
      <c r="B2024">
        <v>5</v>
      </c>
      <c r="C2024">
        <v>7</v>
      </c>
      <c r="D2024" s="2">
        <v>2</v>
      </c>
      <c r="E2024" s="2">
        <v>1</v>
      </c>
      <c r="F2024" s="2" t="s">
        <v>4</v>
      </c>
      <c r="G2024" s="2">
        <v>364.79999999983198</v>
      </c>
      <c r="H2024" s="2" t="s">
        <v>8</v>
      </c>
      <c r="I2024" s="2">
        <v>2195942</v>
      </c>
      <c r="J2024" s="2">
        <v>3000</v>
      </c>
      <c r="K2024" s="2">
        <v>100</v>
      </c>
      <c r="L2024" s="2">
        <v>0</v>
      </c>
      <c r="M2024" s="2">
        <v>708685.57</v>
      </c>
      <c r="N2024">
        <f t="shared" si="40"/>
        <v>2904992.3699999996</v>
      </c>
      <c r="O2024" s="2" t="s">
        <v>4</v>
      </c>
    </row>
    <row r="2025" spans="1:15" x14ac:dyDescent="0.2">
      <c r="A2025">
        <v>62</v>
      </c>
      <c r="B2025">
        <v>5</v>
      </c>
      <c r="C2025">
        <v>7</v>
      </c>
      <c r="D2025" s="2">
        <v>2</v>
      </c>
      <c r="E2025" s="2">
        <v>2</v>
      </c>
      <c r="F2025" s="2" t="s">
        <v>4</v>
      </c>
      <c r="G2025" s="2">
        <v>382.79999999950599</v>
      </c>
      <c r="H2025" s="2" t="s">
        <v>8</v>
      </c>
      <c r="I2025" s="2">
        <v>1972765</v>
      </c>
      <c r="J2025" s="2">
        <v>3000</v>
      </c>
      <c r="K2025" s="2">
        <v>100</v>
      </c>
      <c r="L2025" s="2">
        <v>0</v>
      </c>
      <c r="M2025" s="2">
        <v>592588.77</v>
      </c>
      <c r="N2025">
        <f t="shared" si="40"/>
        <v>2565736.5699999994</v>
      </c>
      <c r="O2025" s="2" t="s">
        <v>4</v>
      </c>
    </row>
    <row r="2026" spans="1:15" x14ac:dyDescent="0.2">
      <c r="A2026">
        <v>63</v>
      </c>
      <c r="B2026">
        <v>5</v>
      </c>
      <c r="C2026">
        <v>7</v>
      </c>
      <c r="D2026" s="2">
        <v>2</v>
      </c>
      <c r="E2026" s="2">
        <v>3</v>
      </c>
      <c r="F2026" s="2" t="s">
        <v>4</v>
      </c>
      <c r="G2026" s="2">
        <v>469.999999999615</v>
      </c>
      <c r="H2026" s="2" t="s">
        <v>8</v>
      </c>
      <c r="I2026" s="2">
        <v>2183012.0000000098</v>
      </c>
      <c r="J2026" s="2">
        <v>3000</v>
      </c>
      <c r="K2026" s="2">
        <v>100</v>
      </c>
      <c r="L2026" s="2">
        <v>0</v>
      </c>
      <c r="M2026" s="2">
        <v>627324.77</v>
      </c>
      <c r="N2026">
        <f t="shared" si="40"/>
        <v>2810806.7700000093</v>
      </c>
      <c r="O2026" s="2" t="s">
        <v>4</v>
      </c>
    </row>
    <row r="2027" spans="1:15" x14ac:dyDescent="0.2">
      <c r="A2027">
        <v>64</v>
      </c>
      <c r="B2027">
        <v>5</v>
      </c>
      <c r="C2027">
        <v>8</v>
      </c>
      <c r="D2027" s="2">
        <v>2</v>
      </c>
      <c r="E2027" s="2">
        <v>1</v>
      </c>
      <c r="F2027" s="2" t="s">
        <v>4</v>
      </c>
      <c r="G2027" s="2">
        <v>408.600000000092</v>
      </c>
      <c r="H2027" s="2" t="s">
        <v>8</v>
      </c>
      <c r="I2027" s="2">
        <v>1707695</v>
      </c>
      <c r="J2027" s="2">
        <v>3000</v>
      </c>
      <c r="K2027" s="2">
        <v>100</v>
      </c>
      <c r="L2027" s="2">
        <v>0</v>
      </c>
      <c r="M2027" s="2">
        <v>535585.17000000004</v>
      </c>
      <c r="N2027">
        <f t="shared" si="40"/>
        <v>2243688.77</v>
      </c>
      <c r="O2027" s="2" t="s">
        <v>4</v>
      </c>
    </row>
    <row r="2028" spans="1:15" x14ac:dyDescent="0.2">
      <c r="A2028">
        <v>65</v>
      </c>
      <c r="B2028">
        <v>5</v>
      </c>
      <c r="C2028">
        <v>8</v>
      </c>
      <c r="D2028" s="2">
        <v>2</v>
      </c>
      <c r="E2028" s="2">
        <v>2</v>
      </c>
      <c r="F2028" s="2" t="s">
        <v>4</v>
      </c>
      <c r="G2028" s="2">
        <v>427.200000000383</v>
      </c>
      <c r="H2028" s="2" t="s">
        <v>8</v>
      </c>
      <c r="I2028" s="2">
        <v>1389962.99999999</v>
      </c>
      <c r="J2028" s="2">
        <v>3000</v>
      </c>
      <c r="K2028" s="2">
        <v>100</v>
      </c>
      <c r="L2028" s="2">
        <v>0</v>
      </c>
      <c r="M2028" s="2">
        <v>612145.97</v>
      </c>
      <c r="N2028">
        <f t="shared" si="40"/>
        <v>2002536.1699999904</v>
      </c>
      <c r="O2028" s="2" t="s">
        <v>4</v>
      </c>
    </row>
    <row r="2029" spans="1:15" x14ac:dyDescent="0.2">
      <c r="A2029">
        <v>66</v>
      </c>
      <c r="B2029">
        <v>5</v>
      </c>
      <c r="C2029">
        <v>8</v>
      </c>
      <c r="D2029" s="2">
        <v>2</v>
      </c>
      <c r="E2029" s="2">
        <v>3</v>
      </c>
      <c r="F2029" s="2" t="s">
        <v>4</v>
      </c>
      <c r="G2029" s="2">
        <v>553.79999999942697</v>
      </c>
      <c r="H2029" s="2" t="s">
        <v>8</v>
      </c>
      <c r="I2029" s="2">
        <v>1964170.00000001</v>
      </c>
      <c r="J2029" s="2">
        <v>3000</v>
      </c>
      <c r="K2029" s="2">
        <v>100</v>
      </c>
      <c r="L2029" s="2">
        <v>0</v>
      </c>
      <c r="M2029" s="2">
        <v>637466.77</v>
      </c>
      <c r="N2029">
        <f t="shared" si="40"/>
        <v>2602190.5700000096</v>
      </c>
      <c r="O2029" s="2" t="s">
        <v>4</v>
      </c>
    </row>
    <row r="2030" spans="1:15" x14ac:dyDescent="0.2">
      <c r="A2030">
        <v>67</v>
      </c>
      <c r="B2030">
        <v>5</v>
      </c>
      <c r="C2030">
        <v>7</v>
      </c>
      <c r="D2030" s="2">
        <v>2</v>
      </c>
      <c r="E2030" s="2">
        <v>1</v>
      </c>
      <c r="F2030" s="2" t="s">
        <v>4</v>
      </c>
      <c r="G2030" s="2">
        <v>358.99999999990899</v>
      </c>
      <c r="H2030" s="2" t="s">
        <v>8</v>
      </c>
      <c r="I2030" s="2">
        <v>937139.00000000198</v>
      </c>
      <c r="J2030" s="2">
        <v>3000</v>
      </c>
      <c r="K2030" s="2">
        <v>100</v>
      </c>
      <c r="L2030" s="2">
        <v>0</v>
      </c>
      <c r="M2030" s="2">
        <v>526346.37</v>
      </c>
      <c r="N2030">
        <f t="shared" si="40"/>
        <v>1463844.370000002</v>
      </c>
      <c r="O2030" s="2" t="s">
        <v>4</v>
      </c>
    </row>
    <row r="2031" spans="1:15" x14ac:dyDescent="0.2">
      <c r="A2031">
        <v>68</v>
      </c>
      <c r="B2031">
        <v>5</v>
      </c>
      <c r="C2031">
        <v>7</v>
      </c>
      <c r="D2031" s="2">
        <v>2</v>
      </c>
      <c r="E2031" s="2">
        <v>2</v>
      </c>
      <c r="F2031" s="2" t="s">
        <v>4</v>
      </c>
      <c r="G2031" s="2">
        <v>373.80000000055702</v>
      </c>
      <c r="H2031" s="2" t="s">
        <v>8</v>
      </c>
      <c r="I2031" s="2">
        <v>1556484</v>
      </c>
      <c r="J2031" s="2">
        <v>3000</v>
      </c>
      <c r="K2031" s="2">
        <v>100</v>
      </c>
      <c r="L2031" s="2">
        <v>0</v>
      </c>
      <c r="M2031" s="2">
        <v>596008.37</v>
      </c>
      <c r="N2031">
        <f t="shared" si="40"/>
        <v>2152866.1700000004</v>
      </c>
      <c r="O2031" s="2" t="s">
        <v>4</v>
      </c>
    </row>
    <row r="2032" spans="1:15" x14ac:dyDescent="0.2">
      <c r="A2032">
        <v>69</v>
      </c>
      <c r="B2032">
        <v>5</v>
      </c>
      <c r="C2032">
        <v>7</v>
      </c>
      <c r="D2032" s="2">
        <v>2</v>
      </c>
      <c r="E2032" s="2">
        <v>3</v>
      </c>
      <c r="F2032" s="2" t="s">
        <v>4</v>
      </c>
      <c r="G2032" s="2">
        <v>458.79999999947103</v>
      </c>
      <c r="H2032" s="2" t="s">
        <v>8</v>
      </c>
      <c r="I2032" s="2">
        <v>1994440.99999999</v>
      </c>
      <c r="J2032" s="2">
        <v>3000</v>
      </c>
      <c r="K2032" s="2">
        <v>100</v>
      </c>
      <c r="L2032" s="2">
        <v>0</v>
      </c>
      <c r="M2032" s="2">
        <v>614547.97</v>
      </c>
      <c r="N2032">
        <f t="shared" si="40"/>
        <v>2609447.7699999893</v>
      </c>
      <c r="O2032" s="2" t="s">
        <v>4</v>
      </c>
    </row>
    <row r="2033" spans="1:15" x14ac:dyDescent="0.2">
      <c r="A2033">
        <v>28</v>
      </c>
      <c r="B2033">
        <v>5</v>
      </c>
      <c r="C2033">
        <v>4</v>
      </c>
      <c r="D2033" s="2">
        <v>2</v>
      </c>
      <c r="E2033" s="2">
        <v>1</v>
      </c>
      <c r="F2033" s="2" t="s">
        <v>4</v>
      </c>
      <c r="G2033" s="2">
        <v>901.80000000010796</v>
      </c>
      <c r="H2033" s="2" t="s">
        <v>8</v>
      </c>
      <c r="I2033" s="2">
        <v>460677</v>
      </c>
      <c r="J2033" s="2">
        <v>1000</v>
      </c>
      <c r="K2033" s="2">
        <v>700</v>
      </c>
      <c r="L2033" s="2">
        <v>0</v>
      </c>
      <c r="M2033" s="2">
        <v>836844.37</v>
      </c>
      <c r="N2033">
        <f t="shared" si="36"/>
        <v>1298423.1700000002</v>
      </c>
      <c r="O2033" s="9" t="s">
        <v>4</v>
      </c>
    </row>
    <row r="2034" spans="1:15" x14ac:dyDescent="0.2">
      <c r="A2034">
        <v>29</v>
      </c>
      <c r="B2034">
        <v>5</v>
      </c>
      <c r="C2034">
        <v>5</v>
      </c>
      <c r="D2034" s="2">
        <v>2</v>
      </c>
      <c r="E2034" s="2">
        <v>2</v>
      </c>
      <c r="F2034" s="2" t="s">
        <v>4</v>
      </c>
      <c r="G2034" s="2">
        <v>926.20000000032098</v>
      </c>
      <c r="H2034" s="2" t="s">
        <v>8</v>
      </c>
      <c r="I2034" s="2">
        <v>770229.00000000105</v>
      </c>
      <c r="J2034" s="2">
        <v>1000</v>
      </c>
      <c r="K2034" s="2">
        <v>700</v>
      </c>
      <c r="L2034" s="2">
        <v>0</v>
      </c>
      <c r="M2034" s="2">
        <v>841363.97</v>
      </c>
      <c r="N2034">
        <f t="shared" si="36"/>
        <v>1612519.1700000013</v>
      </c>
      <c r="O2034" s="9" t="s">
        <v>4</v>
      </c>
    </row>
    <row r="2035" spans="1:15" x14ac:dyDescent="0.2">
      <c r="A2035">
        <v>30</v>
      </c>
      <c r="B2035">
        <v>5</v>
      </c>
      <c r="C2035">
        <v>5</v>
      </c>
      <c r="D2035" s="2">
        <v>2</v>
      </c>
      <c r="E2035" s="2">
        <v>3</v>
      </c>
      <c r="F2035" s="2" t="s">
        <v>4</v>
      </c>
      <c r="G2035" s="2">
        <v>922.99999999951899</v>
      </c>
      <c r="H2035" s="2" t="s">
        <v>8</v>
      </c>
      <c r="I2035" s="2">
        <v>1785648</v>
      </c>
      <c r="J2035" s="2">
        <v>1000</v>
      </c>
      <c r="K2035" s="2">
        <v>700</v>
      </c>
      <c r="L2035" s="2">
        <v>0</v>
      </c>
      <c r="M2035" s="2">
        <v>812642.77</v>
      </c>
      <c r="N2035">
        <f t="shared" si="36"/>
        <v>2599213.7699999996</v>
      </c>
      <c r="O2035" s="9" t="s">
        <v>4</v>
      </c>
    </row>
    <row r="2036" spans="1:15" x14ac:dyDescent="0.2">
      <c r="A2036">
        <v>31</v>
      </c>
      <c r="B2036">
        <v>5</v>
      </c>
      <c r="C2036">
        <v>5</v>
      </c>
      <c r="D2036" s="2">
        <v>2</v>
      </c>
      <c r="E2036" s="2">
        <v>1</v>
      </c>
      <c r="F2036" s="2" t="s">
        <v>4</v>
      </c>
      <c r="G2036" s="2">
        <v>780.99999999920999</v>
      </c>
      <c r="H2036" s="2" t="s">
        <v>8</v>
      </c>
      <c r="I2036" s="2">
        <v>634705.99999999802</v>
      </c>
      <c r="J2036" s="2">
        <v>1000</v>
      </c>
      <c r="K2036" s="2">
        <v>700</v>
      </c>
      <c r="L2036" s="2">
        <v>0</v>
      </c>
      <c r="M2036" s="2">
        <v>793763.17</v>
      </c>
      <c r="N2036">
        <f t="shared" si="36"/>
        <v>1429250.1699999971</v>
      </c>
      <c r="O2036" s="9" t="s">
        <v>4</v>
      </c>
    </row>
    <row r="2037" spans="1:15" x14ac:dyDescent="0.2">
      <c r="A2037">
        <v>32</v>
      </c>
      <c r="B2037">
        <v>5</v>
      </c>
      <c r="C2037">
        <v>5</v>
      </c>
      <c r="D2037" s="2">
        <v>2</v>
      </c>
      <c r="E2037" s="2">
        <v>2</v>
      </c>
      <c r="F2037" s="2" t="s">
        <v>4</v>
      </c>
      <c r="G2037" s="2">
        <v>720.199999999949</v>
      </c>
      <c r="H2037" s="2" t="s">
        <v>8</v>
      </c>
      <c r="I2037" s="2">
        <v>1699059</v>
      </c>
      <c r="J2037" s="2">
        <v>1000</v>
      </c>
      <c r="K2037" s="2">
        <v>700</v>
      </c>
      <c r="L2037" s="2">
        <v>0</v>
      </c>
      <c r="M2037" s="2">
        <v>807323.57</v>
      </c>
      <c r="N2037">
        <f t="shared" si="36"/>
        <v>2507102.77</v>
      </c>
      <c r="O2037" s="9" t="s">
        <v>4</v>
      </c>
    </row>
    <row r="2038" spans="1:15" x14ac:dyDescent="0.2">
      <c r="A2038">
        <v>33</v>
      </c>
      <c r="B2038">
        <v>5</v>
      </c>
      <c r="C2038">
        <v>5</v>
      </c>
      <c r="D2038" s="2">
        <v>2</v>
      </c>
      <c r="E2038" s="2">
        <v>3</v>
      </c>
      <c r="F2038" s="2" t="s">
        <v>4</v>
      </c>
      <c r="G2038" s="2">
        <v>762.79999999968595</v>
      </c>
      <c r="H2038" s="2" t="s">
        <v>8</v>
      </c>
      <c r="I2038" s="2">
        <v>1760464</v>
      </c>
      <c r="J2038" s="2">
        <v>1000</v>
      </c>
      <c r="K2038" s="2">
        <v>700</v>
      </c>
      <c r="L2038" s="2">
        <v>0</v>
      </c>
      <c r="M2038" s="2">
        <v>828763.97</v>
      </c>
      <c r="N2038">
        <f t="shared" si="36"/>
        <v>2589990.7699999996</v>
      </c>
      <c r="O2038" s="9" t="s">
        <v>4</v>
      </c>
    </row>
    <row r="2039" spans="1:15" x14ac:dyDescent="0.2">
      <c r="A2039">
        <v>34</v>
      </c>
      <c r="B2039">
        <v>5</v>
      </c>
      <c r="C2039">
        <v>5</v>
      </c>
      <c r="D2039" s="2">
        <v>2</v>
      </c>
      <c r="E2039" s="2">
        <v>1</v>
      </c>
      <c r="F2039" s="2" t="s">
        <v>4</v>
      </c>
      <c r="G2039" s="2">
        <v>563.600000000264</v>
      </c>
      <c r="H2039" s="2" t="s">
        <v>8</v>
      </c>
      <c r="I2039" s="2">
        <v>567174.00000000105</v>
      </c>
      <c r="J2039" s="2">
        <v>1000</v>
      </c>
      <c r="K2039" s="2">
        <v>700</v>
      </c>
      <c r="L2039" s="2">
        <v>0</v>
      </c>
      <c r="M2039" s="2">
        <v>840882.77</v>
      </c>
      <c r="N2039">
        <f t="shared" si="36"/>
        <v>1408620.3700000013</v>
      </c>
      <c r="O2039" s="9" t="s">
        <v>4</v>
      </c>
    </row>
    <row r="2040" spans="1:15" x14ac:dyDescent="0.2">
      <c r="A2040">
        <v>35</v>
      </c>
      <c r="B2040">
        <v>5</v>
      </c>
      <c r="C2040">
        <v>6</v>
      </c>
      <c r="D2040" s="2">
        <v>2</v>
      </c>
      <c r="E2040" s="2">
        <v>1</v>
      </c>
      <c r="F2040" s="2" t="s">
        <v>4</v>
      </c>
      <c r="G2040" s="2">
        <v>467.000000000439</v>
      </c>
      <c r="H2040" s="2" t="s">
        <v>8</v>
      </c>
      <c r="I2040" s="2">
        <v>1291090</v>
      </c>
      <c r="J2040" s="2">
        <v>1000</v>
      </c>
      <c r="K2040" s="2">
        <v>700</v>
      </c>
      <c r="L2040" s="2">
        <v>0</v>
      </c>
      <c r="M2040" s="2">
        <v>794943.57</v>
      </c>
      <c r="N2040">
        <f t="shared" si="36"/>
        <v>2086500.5700000003</v>
      </c>
      <c r="O2040" s="9" t="s">
        <v>4</v>
      </c>
    </row>
    <row r="2041" spans="1:15" x14ac:dyDescent="0.2">
      <c r="A2041">
        <v>36</v>
      </c>
      <c r="B2041">
        <v>5</v>
      </c>
      <c r="C2041">
        <v>6</v>
      </c>
      <c r="D2041" s="2">
        <v>2</v>
      </c>
      <c r="E2041" s="2">
        <v>2</v>
      </c>
      <c r="F2041" s="2" t="s">
        <v>4</v>
      </c>
      <c r="G2041" s="2">
        <v>432.59999999953902</v>
      </c>
      <c r="H2041" s="2" t="s">
        <v>8</v>
      </c>
      <c r="I2041" s="2">
        <v>884944.99999999499</v>
      </c>
      <c r="J2041" s="2">
        <v>1000</v>
      </c>
      <c r="K2041" s="2">
        <v>700</v>
      </c>
      <c r="L2041" s="2">
        <v>0</v>
      </c>
      <c r="M2041" s="2">
        <v>850143.17</v>
      </c>
      <c r="N2041">
        <f t="shared" si="36"/>
        <v>1735520.7699999944</v>
      </c>
      <c r="O2041" s="9" t="s">
        <v>4</v>
      </c>
    </row>
    <row r="2042" spans="1:15" x14ac:dyDescent="0.2">
      <c r="A2042">
        <v>37</v>
      </c>
      <c r="B2042">
        <v>5</v>
      </c>
      <c r="C2042">
        <v>6</v>
      </c>
      <c r="D2042" s="2">
        <v>2</v>
      </c>
      <c r="E2042" s="2">
        <v>3</v>
      </c>
      <c r="F2042" s="2" t="s">
        <v>4</v>
      </c>
      <c r="G2042" s="2">
        <v>535.40000000005296</v>
      </c>
      <c r="H2042" s="2" t="s">
        <v>8</v>
      </c>
      <c r="I2042" s="2">
        <v>1563006</v>
      </c>
      <c r="J2042" s="2">
        <v>1000</v>
      </c>
      <c r="K2042" s="2">
        <v>700</v>
      </c>
      <c r="L2042" s="2">
        <v>0</v>
      </c>
      <c r="M2042" s="2">
        <v>813725.17</v>
      </c>
      <c r="N2042">
        <f t="shared" si="36"/>
        <v>2377266.5700000003</v>
      </c>
      <c r="O2042" s="9" t="s">
        <v>4</v>
      </c>
    </row>
    <row r="2043" spans="1:15" x14ac:dyDescent="0.2">
      <c r="A2043">
        <v>38</v>
      </c>
      <c r="B2043">
        <v>5</v>
      </c>
      <c r="C2043">
        <v>6</v>
      </c>
      <c r="D2043" s="2">
        <v>2</v>
      </c>
      <c r="E2043" s="2">
        <v>1</v>
      </c>
      <c r="F2043" s="2" t="s">
        <v>4</v>
      </c>
      <c r="G2043" s="2">
        <v>394.79999999976201</v>
      </c>
      <c r="H2043" s="2" t="s">
        <v>8</v>
      </c>
      <c r="I2043" s="2">
        <v>686184.00000000396</v>
      </c>
      <c r="J2043" s="2">
        <v>1000</v>
      </c>
      <c r="K2043" s="2">
        <v>700</v>
      </c>
      <c r="L2043" s="2">
        <v>0</v>
      </c>
      <c r="M2043" s="2">
        <v>810603.17</v>
      </c>
      <c r="N2043">
        <f t="shared" si="36"/>
        <v>1497181.9700000039</v>
      </c>
      <c r="O2043" s="9" t="s">
        <v>4</v>
      </c>
    </row>
    <row r="2044" spans="1:15" x14ac:dyDescent="0.2">
      <c r="A2044">
        <v>39</v>
      </c>
      <c r="B2044">
        <v>5</v>
      </c>
      <c r="C2044">
        <v>7</v>
      </c>
      <c r="D2044" s="2">
        <v>2</v>
      </c>
      <c r="E2044" s="2">
        <v>1</v>
      </c>
      <c r="F2044" s="2" t="s">
        <v>4</v>
      </c>
      <c r="G2044" s="2">
        <v>470.600000000232</v>
      </c>
      <c r="H2044" s="2" t="s">
        <v>8</v>
      </c>
      <c r="I2044" s="2">
        <v>1346969</v>
      </c>
      <c r="J2044" s="2">
        <v>1000</v>
      </c>
      <c r="K2044" s="2">
        <v>700</v>
      </c>
      <c r="L2044" s="2">
        <v>0</v>
      </c>
      <c r="M2044" s="2">
        <v>816303.57</v>
      </c>
      <c r="N2044">
        <f t="shared" si="36"/>
        <v>2163743.1700000004</v>
      </c>
      <c r="O2044" s="9" t="s">
        <v>4</v>
      </c>
    </row>
    <row r="2045" spans="1:15" x14ac:dyDescent="0.2">
      <c r="A2045">
        <v>40</v>
      </c>
      <c r="B2045">
        <v>5</v>
      </c>
      <c r="C2045">
        <v>7</v>
      </c>
      <c r="D2045" s="2">
        <v>2</v>
      </c>
      <c r="E2045" s="2">
        <v>2</v>
      </c>
      <c r="F2045" s="2" t="s">
        <v>4</v>
      </c>
      <c r="G2045" s="2">
        <v>455.20000000074401</v>
      </c>
      <c r="H2045" s="2" t="s">
        <v>8</v>
      </c>
      <c r="I2045" s="2">
        <v>2734535</v>
      </c>
      <c r="J2045" s="2">
        <v>1000</v>
      </c>
      <c r="K2045" s="2">
        <v>700</v>
      </c>
      <c r="L2045" s="2">
        <v>0</v>
      </c>
      <c r="M2045" s="2">
        <v>848902.37</v>
      </c>
      <c r="N2045">
        <f t="shared" si="36"/>
        <v>3583892.5700000008</v>
      </c>
      <c r="O2045" s="9" t="s">
        <v>4</v>
      </c>
    </row>
    <row r="2046" spans="1:15" x14ac:dyDescent="0.2">
      <c r="A2046">
        <v>41</v>
      </c>
      <c r="B2046">
        <v>5</v>
      </c>
      <c r="C2046">
        <v>7</v>
      </c>
      <c r="D2046" s="2">
        <v>2</v>
      </c>
      <c r="E2046" s="2">
        <v>3</v>
      </c>
      <c r="F2046" s="2" t="s">
        <v>4</v>
      </c>
      <c r="G2046" s="2">
        <v>556.20000000047298</v>
      </c>
      <c r="H2046" s="2" t="s">
        <v>8</v>
      </c>
      <c r="I2046" s="2">
        <v>2185385</v>
      </c>
      <c r="J2046" s="2">
        <v>1000</v>
      </c>
      <c r="K2046" s="2">
        <v>700</v>
      </c>
      <c r="L2046" s="2">
        <v>0</v>
      </c>
      <c r="M2046" s="2">
        <v>818864.77</v>
      </c>
      <c r="N2046">
        <f t="shared" si="36"/>
        <v>3004805.9700000007</v>
      </c>
      <c r="O2046" s="9" t="s">
        <v>4</v>
      </c>
    </row>
    <row r="2047" spans="1:15" x14ac:dyDescent="0.2">
      <c r="A2047">
        <v>42</v>
      </c>
      <c r="B2047">
        <v>5</v>
      </c>
      <c r="C2047">
        <v>4</v>
      </c>
      <c r="D2047" s="2">
        <v>2</v>
      </c>
      <c r="E2047" s="2">
        <v>1</v>
      </c>
      <c r="F2047" s="2" t="s">
        <v>4</v>
      </c>
      <c r="G2047" s="2">
        <v>288.80000000022198</v>
      </c>
      <c r="H2047" s="2" t="s">
        <v>8</v>
      </c>
      <c r="I2047" s="2">
        <v>329124</v>
      </c>
      <c r="J2047" s="2">
        <v>1000</v>
      </c>
      <c r="K2047" s="2">
        <v>700</v>
      </c>
      <c r="L2047" s="2">
        <v>0</v>
      </c>
      <c r="M2047" s="2">
        <v>795921.97</v>
      </c>
      <c r="N2047">
        <f t="shared" si="36"/>
        <v>1125334.7700000003</v>
      </c>
      <c r="O2047" s="9" t="s">
        <v>4</v>
      </c>
    </row>
    <row r="2048" spans="1:15" x14ac:dyDescent="0.2">
      <c r="A2048">
        <v>43</v>
      </c>
      <c r="B2048">
        <v>5</v>
      </c>
      <c r="C2048">
        <v>5</v>
      </c>
      <c r="D2048" s="2">
        <v>2</v>
      </c>
      <c r="E2048" s="2">
        <v>1</v>
      </c>
      <c r="F2048" s="2" t="s">
        <v>4</v>
      </c>
      <c r="G2048" s="2">
        <v>340.19999999976801</v>
      </c>
      <c r="H2048" s="2" t="s">
        <v>8</v>
      </c>
      <c r="I2048" s="2">
        <v>626666</v>
      </c>
      <c r="J2048" s="2">
        <v>1000</v>
      </c>
      <c r="K2048" s="2">
        <v>700</v>
      </c>
      <c r="L2048" s="2">
        <v>0</v>
      </c>
      <c r="M2048" s="2">
        <v>796362.77</v>
      </c>
      <c r="N2048">
        <f t="shared" si="36"/>
        <v>1423368.9699999997</v>
      </c>
      <c r="O2048" s="9" t="s">
        <v>4</v>
      </c>
    </row>
    <row r="2049" spans="1:15" x14ac:dyDescent="0.2">
      <c r="A2049">
        <v>44</v>
      </c>
      <c r="B2049">
        <v>5</v>
      </c>
      <c r="C2049">
        <v>5</v>
      </c>
      <c r="D2049" s="2">
        <v>2</v>
      </c>
      <c r="E2049" s="2">
        <v>2</v>
      </c>
      <c r="F2049" s="2" t="s">
        <v>4</v>
      </c>
      <c r="G2049" s="2">
        <v>325.80000000024302</v>
      </c>
      <c r="H2049" s="2" t="s">
        <v>8</v>
      </c>
      <c r="I2049" s="2">
        <v>625314.00000000303</v>
      </c>
      <c r="J2049" s="2">
        <v>1000</v>
      </c>
      <c r="K2049" s="2">
        <v>700</v>
      </c>
      <c r="L2049" s="2">
        <v>0</v>
      </c>
      <c r="M2049" s="2">
        <v>801285.57</v>
      </c>
      <c r="N2049">
        <f t="shared" si="36"/>
        <v>1426925.3700000034</v>
      </c>
      <c r="O2049" s="9" t="s">
        <v>4</v>
      </c>
    </row>
    <row r="2050" spans="1:15" x14ac:dyDescent="0.2">
      <c r="A2050">
        <v>45</v>
      </c>
      <c r="B2050">
        <v>5</v>
      </c>
      <c r="C2050">
        <v>5</v>
      </c>
      <c r="D2050" s="2">
        <v>2</v>
      </c>
      <c r="E2050" s="2">
        <v>3</v>
      </c>
      <c r="F2050" s="2" t="s">
        <v>4</v>
      </c>
      <c r="G2050" s="2">
        <v>420.79999999948802</v>
      </c>
      <c r="H2050" s="2" t="s">
        <v>8</v>
      </c>
      <c r="I2050" s="2">
        <v>1579966</v>
      </c>
      <c r="J2050" s="2">
        <v>1000</v>
      </c>
      <c r="K2050" s="2">
        <v>700</v>
      </c>
      <c r="L2050" s="2">
        <v>0</v>
      </c>
      <c r="M2050" s="2">
        <v>841822.37</v>
      </c>
      <c r="N2050">
        <f t="shared" si="36"/>
        <v>2422209.1699999995</v>
      </c>
      <c r="O2050" s="9" t="s">
        <v>4</v>
      </c>
    </row>
    <row r="2051" spans="1:15" x14ac:dyDescent="0.2">
      <c r="A2051">
        <v>46</v>
      </c>
      <c r="B2051">
        <v>5</v>
      </c>
      <c r="C2051">
        <v>6</v>
      </c>
      <c r="D2051" s="2">
        <v>2</v>
      </c>
      <c r="E2051" s="2">
        <v>1</v>
      </c>
      <c r="F2051" s="2" t="s">
        <v>4</v>
      </c>
      <c r="G2051" s="2">
        <v>431.79999999978202</v>
      </c>
      <c r="H2051" s="2" t="s">
        <v>8</v>
      </c>
      <c r="I2051" s="2">
        <v>908150.99999999697</v>
      </c>
      <c r="J2051" s="2">
        <v>1000</v>
      </c>
      <c r="K2051" s="2">
        <v>700</v>
      </c>
      <c r="L2051" s="2">
        <v>0</v>
      </c>
      <c r="M2051" s="2">
        <v>785202.77</v>
      </c>
      <c r="N2051">
        <f t="shared" si="36"/>
        <v>1693785.5699999968</v>
      </c>
      <c r="O2051" s="9" t="s">
        <v>4</v>
      </c>
    </row>
    <row r="2052" spans="1:15" x14ac:dyDescent="0.2">
      <c r="A2052">
        <v>47</v>
      </c>
      <c r="B2052">
        <v>5</v>
      </c>
      <c r="C2052">
        <v>6</v>
      </c>
      <c r="D2052" s="2">
        <v>2</v>
      </c>
      <c r="E2052" s="2">
        <v>2</v>
      </c>
      <c r="F2052" s="2" t="s">
        <v>4</v>
      </c>
      <c r="G2052" s="2">
        <v>392.80000000019299</v>
      </c>
      <c r="H2052" s="2" t="s">
        <v>8</v>
      </c>
      <c r="I2052" s="2">
        <v>835637.99999999604</v>
      </c>
      <c r="J2052" s="2">
        <v>1000</v>
      </c>
      <c r="K2052" s="2">
        <v>700</v>
      </c>
      <c r="L2052" s="2">
        <v>0</v>
      </c>
      <c r="M2052" s="2">
        <v>840184.77</v>
      </c>
      <c r="N2052">
        <f t="shared" si="36"/>
        <v>1676215.5699999961</v>
      </c>
      <c r="O2052" s="9" t="s">
        <v>4</v>
      </c>
    </row>
    <row r="2053" spans="1:15" x14ac:dyDescent="0.2">
      <c r="A2053">
        <v>48</v>
      </c>
      <c r="B2053">
        <v>5</v>
      </c>
      <c r="C2053">
        <v>6</v>
      </c>
      <c r="D2053" s="2">
        <v>2</v>
      </c>
      <c r="E2053" s="2">
        <v>3</v>
      </c>
      <c r="F2053" s="2" t="s">
        <v>4</v>
      </c>
      <c r="G2053" s="2">
        <v>479.99999999994702</v>
      </c>
      <c r="H2053" s="2" t="s">
        <v>8</v>
      </c>
      <c r="I2053" s="2">
        <v>1313722.00000001</v>
      </c>
      <c r="J2053" s="2">
        <v>1000</v>
      </c>
      <c r="K2053" s="2">
        <v>700</v>
      </c>
      <c r="L2053" s="2">
        <v>0</v>
      </c>
      <c r="M2053" s="2">
        <v>855302.77</v>
      </c>
      <c r="N2053">
        <f t="shared" si="36"/>
        <v>2169504.7700000098</v>
      </c>
      <c r="O2053" s="9" t="s">
        <v>4</v>
      </c>
    </row>
    <row r="2054" spans="1:15" x14ac:dyDescent="0.2">
      <c r="A2054">
        <v>49</v>
      </c>
      <c r="B2054">
        <v>5</v>
      </c>
      <c r="C2054">
        <v>6</v>
      </c>
      <c r="D2054" s="2">
        <v>2</v>
      </c>
      <c r="E2054" s="2">
        <v>1</v>
      </c>
      <c r="F2054" s="2" t="s">
        <v>4</v>
      </c>
      <c r="G2054" s="2">
        <v>379.40000000027402</v>
      </c>
      <c r="H2054" s="2" t="s">
        <v>8</v>
      </c>
      <c r="I2054" s="2">
        <v>1132380</v>
      </c>
      <c r="J2054" s="2">
        <v>1000</v>
      </c>
      <c r="K2054" s="2">
        <v>700</v>
      </c>
      <c r="L2054" s="2">
        <v>0</v>
      </c>
      <c r="M2054" s="2">
        <v>793122.77</v>
      </c>
      <c r="N2054">
        <f t="shared" si="36"/>
        <v>1925882.1700000004</v>
      </c>
      <c r="O2054" s="9" t="s">
        <v>4</v>
      </c>
    </row>
    <row r="2055" spans="1:15" x14ac:dyDescent="0.2">
      <c r="A2055">
        <v>50</v>
      </c>
      <c r="B2055">
        <v>5</v>
      </c>
      <c r="C2055">
        <v>6</v>
      </c>
      <c r="D2055" s="2">
        <v>2</v>
      </c>
      <c r="E2055" s="2">
        <v>2</v>
      </c>
      <c r="F2055" s="2" t="s">
        <v>4</v>
      </c>
      <c r="G2055" s="2">
        <v>387.60000000017698</v>
      </c>
      <c r="H2055" s="2" t="s">
        <v>8</v>
      </c>
      <c r="I2055" s="2">
        <v>809797.00000000303</v>
      </c>
      <c r="J2055" s="2">
        <v>1000</v>
      </c>
      <c r="K2055" s="2">
        <v>700</v>
      </c>
      <c r="L2055" s="2">
        <v>0</v>
      </c>
      <c r="M2055" s="2">
        <v>805204.77</v>
      </c>
      <c r="N2055">
        <f t="shared" si="36"/>
        <v>1615389.3700000034</v>
      </c>
      <c r="O2055" s="9" t="s">
        <v>4</v>
      </c>
    </row>
    <row r="2056" spans="1:15" x14ac:dyDescent="0.2">
      <c r="A2056">
        <v>51</v>
      </c>
      <c r="B2056">
        <v>5</v>
      </c>
      <c r="C2056">
        <v>6</v>
      </c>
      <c r="D2056" s="2">
        <v>2</v>
      </c>
      <c r="E2056" s="2">
        <v>3</v>
      </c>
      <c r="F2056" s="2" t="s">
        <v>4</v>
      </c>
      <c r="G2056" s="2">
        <v>476.39999999944399</v>
      </c>
      <c r="H2056" s="2" t="s">
        <v>8</v>
      </c>
      <c r="I2056" s="2">
        <v>1191722</v>
      </c>
      <c r="J2056" s="2">
        <v>1000</v>
      </c>
      <c r="K2056" s="2">
        <v>700</v>
      </c>
      <c r="L2056" s="2">
        <v>0</v>
      </c>
      <c r="M2056" s="2">
        <v>806763.17</v>
      </c>
      <c r="N2056">
        <f t="shared" ref="N2056:N2119" si="41">G2056+I2056+M2056</f>
        <v>1998961.5699999994</v>
      </c>
      <c r="O2056" s="9" t="s">
        <v>4</v>
      </c>
    </row>
    <row r="2057" spans="1:15" x14ac:dyDescent="0.2">
      <c r="A2057">
        <v>52</v>
      </c>
      <c r="B2057">
        <v>5</v>
      </c>
      <c r="C2057">
        <v>7</v>
      </c>
      <c r="D2057" s="2">
        <v>2</v>
      </c>
      <c r="E2057" s="2">
        <v>1</v>
      </c>
      <c r="F2057" s="2" t="s">
        <v>4</v>
      </c>
      <c r="G2057" s="2">
        <v>407.79999999998</v>
      </c>
      <c r="H2057" s="2" t="s">
        <v>8</v>
      </c>
      <c r="I2057" s="2">
        <v>1069360</v>
      </c>
      <c r="J2057" s="2">
        <v>1000</v>
      </c>
      <c r="K2057" s="2">
        <v>700</v>
      </c>
      <c r="L2057" s="2">
        <v>0</v>
      </c>
      <c r="M2057" s="2">
        <v>814224.77</v>
      </c>
      <c r="N2057">
        <f t="shared" si="41"/>
        <v>1883992.57</v>
      </c>
      <c r="O2057" s="9" t="s">
        <v>4</v>
      </c>
    </row>
    <row r="2058" spans="1:15" x14ac:dyDescent="0.2">
      <c r="A2058">
        <v>53</v>
      </c>
      <c r="B2058">
        <v>5</v>
      </c>
      <c r="C2058">
        <v>7</v>
      </c>
      <c r="D2058" s="2">
        <v>2</v>
      </c>
      <c r="E2058" s="2">
        <v>2</v>
      </c>
      <c r="F2058" s="2" t="s">
        <v>4</v>
      </c>
      <c r="G2058" s="2">
        <v>396.99999999953701</v>
      </c>
      <c r="H2058" s="2" t="s">
        <v>8</v>
      </c>
      <c r="I2058" s="2">
        <v>2505793</v>
      </c>
      <c r="J2058" s="2">
        <v>1000</v>
      </c>
      <c r="K2058" s="2">
        <v>700</v>
      </c>
      <c r="L2058" s="2">
        <v>0</v>
      </c>
      <c r="M2058" s="2">
        <v>805606.37</v>
      </c>
      <c r="N2058">
        <f t="shared" si="41"/>
        <v>3311796.3699999996</v>
      </c>
      <c r="O2058" s="9" t="s">
        <v>4</v>
      </c>
    </row>
    <row r="2059" spans="1:15" x14ac:dyDescent="0.2">
      <c r="A2059">
        <v>54</v>
      </c>
      <c r="B2059">
        <v>5</v>
      </c>
      <c r="C2059">
        <v>7</v>
      </c>
      <c r="D2059" s="2">
        <v>2</v>
      </c>
      <c r="E2059" s="2">
        <v>3</v>
      </c>
      <c r="F2059" s="2" t="s">
        <v>4</v>
      </c>
      <c r="G2059" s="2">
        <v>497.99999999997601</v>
      </c>
      <c r="H2059" s="2" t="s">
        <v>8</v>
      </c>
      <c r="I2059" s="2">
        <v>3244514</v>
      </c>
      <c r="J2059" s="2">
        <v>1000</v>
      </c>
      <c r="K2059" s="2">
        <v>700</v>
      </c>
      <c r="L2059" s="2">
        <v>0</v>
      </c>
      <c r="M2059" s="2">
        <v>794165.57</v>
      </c>
      <c r="N2059">
        <f t="shared" si="41"/>
        <v>4039177.57</v>
      </c>
      <c r="O2059" s="9" t="s">
        <v>4</v>
      </c>
    </row>
    <row r="2060" spans="1:15" x14ac:dyDescent="0.2">
      <c r="A2060">
        <v>55</v>
      </c>
      <c r="B2060">
        <v>5</v>
      </c>
      <c r="C2060">
        <v>5</v>
      </c>
      <c r="D2060" s="2">
        <v>2</v>
      </c>
      <c r="E2060" s="2">
        <v>1</v>
      </c>
      <c r="F2060" s="2" t="s">
        <v>4</v>
      </c>
      <c r="G2060" s="2">
        <v>289.40000000012799</v>
      </c>
      <c r="H2060" s="2" t="s">
        <v>8</v>
      </c>
      <c r="I2060" s="2">
        <v>783248</v>
      </c>
      <c r="J2060" s="2">
        <v>1000</v>
      </c>
      <c r="K2060" s="2">
        <v>700</v>
      </c>
      <c r="L2060" s="2">
        <v>0</v>
      </c>
      <c r="M2060" s="2">
        <v>791405.57</v>
      </c>
      <c r="N2060">
        <f t="shared" si="41"/>
        <v>1574942.9700000002</v>
      </c>
      <c r="O2060" s="9" t="s">
        <v>4</v>
      </c>
    </row>
    <row r="2061" spans="1:15" x14ac:dyDescent="0.2">
      <c r="A2061">
        <v>56</v>
      </c>
      <c r="B2061">
        <v>5</v>
      </c>
      <c r="C2061">
        <v>5</v>
      </c>
      <c r="D2061" s="2">
        <v>2</v>
      </c>
      <c r="E2061" s="2">
        <v>2</v>
      </c>
      <c r="F2061" s="2" t="s">
        <v>4</v>
      </c>
      <c r="G2061" s="2">
        <v>287.00000000014802</v>
      </c>
      <c r="H2061" s="2" t="s">
        <v>8</v>
      </c>
      <c r="I2061" s="2">
        <v>544256.00000000396</v>
      </c>
      <c r="J2061" s="2">
        <v>1000</v>
      </c>
      <c r="K2061" s="2">
        <v>700</v>
      </c>
      <c r="L2061" s="2">
        <v>0</v>
      </c>
      <c r="M2061" s="2">
        <v>801104.37</v>
      </c>
      <c r="N2061">
        <f t="shared" si="41"/>
        <v>1345647.3700000041</v>
      </c>
      <c r="O2061" s="9" t="s">
        <v>4</v>
      </c>
    </row>
    <row r="2062" spans="1:15" x14ac:dyDescent="0.2">
      <c r="A2062">
        <v>57</v>
      </c>
      <c r="B2062">
        <v>5</v>
      </c>
      <c r="C2062">
        <v>5</v>
      </c>
      <c r="D2062" s="2">
        <v>2</v>
      </c>
      <c r="E2062" s="2">
        <v>3</v>
      </c>
      <c r="F2062" s="2" t="s">
        <v>4</v>
      </c>
      <c r="G2062" s="2">
        <v>362.39999999949703</v>
      </c>
      <c r="H2062" s="2" t="s">
        <v>8</v>
      </c>
      <c r="I2062" s="2">
        <v>801326.00000000303</v>
      </c>
      <c r="J2062" s="2">
        <v>1000</v>
      </c>
      <c r="K2062" s="2">
        <v>700</v>
      </c>
      <c r="L2062" s="2">
        <v>0</v>
      </c>
      <c r="M2062" s="2">
        <v>847284.77</v>
      </c>
      <c r="N2062">
        <f t="shared" si="41"/>
        <v>1648973.1700000025</v>
      </c>
      <c r="O2062" s="9" t="s">
        <v>4</v>
      </c>
    </row>
    <row r="2063" spans="1:15" x14ac:dyDescent="0.2">
      <c r="A2063">
        <v>58</v>
      </c>
      <c r="B2063">
        <v>5</v>
      </c>
      <c r="C2063">
        <v>6</v>
      </c>
      <c r="D2063" s="2">
        <v>2</v>
      </c>
      <c r="E2063" s="2">
        <v>1</v>
      </c>
      <c r="F2063" s="2" t="s">
        <v>4</v>
      </c>
      <c r="G2063" s="2">
        <v>340.79999999967498</v>
      </c>
      <c r="H2063" s="2" t="s">
        <v>8</v>
      </c>
      <c r="I2063" s="2">
        <v>868777.00000000198</v>
      </c>
      <c r="J2063" s="2">
        <v>1000</v>
      </c>
      <c r="K2063" s="2">
        <v>700</v>
      </c>
      <c r="L2063" s="2">
        <v>0</v>
      </c>
      <c r="M2063" s="2">
        <v>843926.77</v>
      </c>
      <c r="N2063">
        <f t="shared" si="41"/>
        <v>1713044.5700000017</v>
      </c>
      <c r="O2063" s="9" t="s">
        <v>4</v>
      </c>
    </row>
    <row r="2064" spans="1:15" x14ac:dyDescent="0.2">
      <c r="A2064">
        <v>59</v>
      </c>
      <c r="B2064">
        <v>5</v>
      </c>
      <c r="C2064">
        <v>6</v>
      </c>
      <c r="D2064" s="2">
        <v>2</v>
      </c>
      <c r="E2064" s="2">
        <v>2</v>
      </c>
      <c r="F2064" s="2" t="s">
        <v>4</v>
      </c>
      <c r="G2064" s="2">
        <v>334.19999999999601</v>
      </c>
      <c r="H2064" s="2" t="s">
        <v>8</v>
      </c>
      <c r="I2064" s="2">
        <v>583774.00000000501</v>
      </c>
      <c r="J2064" s="2">
        <v>1000</v>
      </c>
      <c r="K2064" s="2">
        <v>700</v>
      </c>
      <c r="L2064" s="2">
        <v>0</v>
      </c>
      <c r="M2064" s="2">
        <v>811986.77</v>
      </c>
      <c r="N2064">
        <f t="shared" si="41"/>
        <v>1396094.9700000049</v>
      </c>
      <c r="O2064" s="9" t="s">
        <v>4</v>
      </c>
    </row>
    <row r="2065" spans="1:15" x14ac:dyDescent="0.2">
      <c r="A2065">
        <v>60</v>
      </c>
      <c r="B2065">
        <v>5</v>
      </c>
      <c r="C2065">
        <v>6</v>
      </c>
      <c r="D2065" s="2">
        <v>2</v>
      </c>
      <c r="E2065" s="2">
        <v>3</v>
      </c>
      <c r="F2065" s="2" t="s">
        <v>4</v>
      </c>
      <c r="G2065" s="2">
        <v>401.39999999979602</v>
      </c>
      <c r="H2065" s="2" t="s">
        <v>8</v>
      </c>
      <c r="I2065" s="2">
        <v>2144212.9999999902</v>
      </c>
      <c r="J2065" s="2">
        <v>1000</v>
      </c>
      <c r="K2065" s="2">
        <v>700</v>
      </c>
      <c r="L2065" s="2">
        <v>0</v>
      </c>
      <c r="M2065" s="2">
        <v>849105.57</v>
      </c>
      <c r="N2065">
        <f t="shared" si="41"/>
        <v>2993719.96999999</v>
      </c>
      <c r="O2065" s="9" t="s">
        <v>4</v>
      </c>
    </row>
    <row r="2066" spans="1:15" x14ac:dyDescent="0.2">
      <c r="A2066">
        <v>61</v>
      </c>
      <c r="B2066">
        <v>5</v>
      </c>
      <c r="C2066">
        <v>7</v>
      </c>
      <c r="D2066" s="2">
        <v>2</v>
      </c>
      <c r="E2066" s="2">
        <v>1</v>
      </c>
      <c r="F2066" s="2" t="s">
        <v>4</v>
      </c>
      <c r="G2066" s="2">
        <v>364.79999999983198</v>
      </c>
      <c r="H2066" s="2" t="s">
        <v>8</v>
      </c>
      <c r="I2066" s="2">
        <v>2195942</v>
      </c>
      <c r="J2066" s="2">
        <v>1000</v>
      </c>
      <c r="K2066" s="2">
        <v>700</v>
      </c>
      <c r="L2066" s="2">
        <v>0</v>
      </c>
      <c r="M2066" s="2">
        <v>846844.77</v>
      </c>
      <c r="N2066">
        <f t="shared" si="41"/>
        <v>3043151.57</v>
      </c>
      <c r="O2066" s="9" t="s">
        <v>4</v>
      </c>
    </row>
    <row r="2067" spans="1:15" x14ac:dyDescent="0.2">
      <c r="A2067">
        <v>62</v>
      </c>
      <c r="B2067">
        <v>5</v>
      </c>
      <c r="C2067">
        <v>7</v>
      </c>
      <c r="D2067" s="2">
        <v>2</v>
      </c>
      <c r="E2067" s="2">
        <v>2</v>
      </c>
      <c r="F2067" s="2" t="s">
        <v>4</v>
      </c>
      <c r="G2067" s="2">
        <v>382.79999999950599</v>
      </c>
      <c r="H2067" s="2" t="s">
        <v>8</v>
      </c>
      <c r="I2067" s="2">
        <v>1972765</v>
      </c>
      <c r="J2067" s="2">
        <v>1000</v>
      </c>
      <c r="K2067" s="2">
        <v>700</v>
      </c>
      <c r="L2067" s="2">
        <v>0</v>
      </c>
      <c r="M2067" s="2">
        <v>808147.17</v>
      </c>
      <c r="N2067">
        <f t="shared" si="41"/>
        <v>2781294.9699999997</v>
      </c>
      <c r="O2067" s="9" t="s">
        <v>4</v>
      </c>
    </row>
    <row r="2068" spans="1:15" x14ac:dyDescent="0.2">
      <c r="A2068">
        <v>63</v>
      </c>
      <c r="B2068">
        <v>5</v>
      </c>
      <c r="C2068">
        <v>7</v>
      </c>
      <c r="D2068" s="2">
        <v>2</v>
      </c>
      <c r="E2068" s="2">
        <v>3</v>
      </c>
      <c r="F2068" s="2" t="s">
        <v>4</v>
      </c>
      <c r="G2068" s="2">
        <v>469.999999999615</v>
      </c>
      <c r="H2068" s="2" t="s">
        <v>8</v>
      </c>
      <c r="I2068" s="2">
        <v>2183012.0000000098</v>
      </c>
      <c r="J2068" s="2">
        <v>1000</v>
      </c>
      <c r="K2068" s="2">
        <v>700</v>
      </c>
      <c r="L2068" s="2">
        <v>0</v>
      </c>
      <c r="M2068" s="2">
        <v>819723.57</v>
      </c>
      <c r="N2068">
        <f t="shared" si="41"/>
        <v>3003205.5700000091</v>
      </c>
      <c r="O2068" s="9" t="s">
        <v>4</v>
      </c>
    </row>
    <row r="2069" spans="1:15" x14ac:dyDescent="0.2">
      <c r="A2069">
        <v>64</v>
      </c>
      <c r="B2069">
        <v>5</v>
      </c>
      <c r="C2069">
        <v>8</v>
      </c>
      <c r="D2069" s="2">
        <v>2</v>
      </c>
      <c r="E2069" s="2">
        <v>1</v>
      </c>
      <c r="F2069" s="2" t="s">
        <v>4</v>
      </c>
      <c r="G2069" s="2">
        <v>408.600000000092</v>
      </c>
      <c r="H2069" s="2" t="s">
        <v>8</v>
      </c>
      <c r="I2069" s="2">
        <v>1707695</v>
      </c>
      <c r="J2069" s="2">
        <v>1000</v>
      </c>
      <c r="K2069" s="2">
        <v>700</v>
      </c>
      <c r="L2069" s="2">
        <v>0</v>
      </c>
      <c r="M2069" s="2">
        <v>789144.77</v>
      </c>
      <c r="N2069">
        <f t="shared" si="41"/>
        <v>2497248.37</v>
      </c>
      <c r="O2069" s="9" t="s">
        <v>4</v>
      </c>
    </row>
    <row r="2070" spans="1:15" x14ac:dyDescent="0.2">
      <c r="A2070">
        <v>65</v>
      </c>
      <c r="B2070">
        <v>5</v>
      </c>
      <c r="C2070">
        <v>8</v>
      </c>
      <c r="D2070" s="2">
        <v>2</v>
      </c>
      <c r="E2070" s="2">
        <v>2</v>
      </c>
      <c r="F2070" s="2" t="s">
        <v>4</v>
      </c>
      <c r="G2070" s="2">
        <v>427.200000000383</v>
      </c>
      <c r="H2070" s="2" t="s">
        <v>8</v>
      </c>
      <c r="I2070" s="2">
        <v>1389962.99999999</v>
      </c>
      <c r="J2070" s="2">
        <v>1000</v>
      </c>
      <c r="K2070" s="2">
        <v>700</v>
      </c>
      <c r="L2070" s="2">
        <v>0</v>
      </c>
      <c r="M2070" s="2">
        <v>814665.97</v>
      </c>
      <c r="N2070">
        <f t="shared" si="41"/>
        <v>2205056.1699999906</v>
      </c>
      <c r="O2070" s="9" t="s">
        <v>4</v>
      </c>
    </row>
    <row r="2071" spans="1:15" x14ac:dyDescent="0.2">
      <c r="A2071">
        <v>66</v>
      </c>
      <c r="B2071">
        <v>5</v>
      </c>
      <c r="C2071">
        <v>8</v>
      </c>
      <c r="D2071" s="2">
        <v>2</v>
      </c>
      <c r="E2071" s="2">
        <v>3</v>
      </c>
      <c r="F2071" s="2" t="s">
        <v>4</v>
      </c>
      <c r="G2071" s="2">
        <v>553.79999999942697</v>
      </c>
      <c r="H2071" s="2" t="s">
        <v>8</v>
      </c>
      <c r="I2071" s="2">
        <v>1964170.00000001</v>
      </c>
      <c r="J2071" s="2">
        <v>1000</v>
      </c>
      <c r="K2071" s="2">
        <v>700</v>
      </c>
      <c r="L2071" s="2">
        <v>0</v>
      </c>
      <c r="M2071" s="2">
        <v>823104.37</v>
      </c>
      <c r="N2071">
        <f t="shared" si="41"/>
        <v>2787828.1700000092</v>
      </c>
      <c r="O2071" s="9" t="s">
        <v>4</v>
      </c>
    </row>
    <row r="2072" spans="1:15" x14ac:dyDescent="0.2">
      <c r="A2072">
        <v>67</v>
      </c>
      <c r="B2072">
        <v>5</v>
      </c>
      <c r="C2072">
        <v>7</v>
      </c>
      <c r="D2072" s="2">
        <v>2</v>
      </c>
      <c r="E2072" s="2">
        <v>1</v>
      </c>
      <c r="F2072" s="2" t="s">
        <v>4</v>
      </c>
      <c r="G2072" s="2">
        <v>358.99999999990899</v>
      </c>
      <c r="H2072" s="2" t="s">
        <v>8</v>
      </c>
      <c r="I2072" s="2">
        <v>937139.00000000198</v>
      </c>
      <c r="J2072" s="2">
        <v>1000</v>
      </c>
      <c r="K2072" s="2">
        <v>700</v>
      </c>
      <c r="L2072" s="2">
        <v>0</v>
      </c>
      <c r="M2072" s="2">
        <v>786065.97</v>
      </c>
      <c r="N2072">
        <f t="shared" si="41"/>
        <v>1723563.9700000018</v>
      </c>
      <c r="O2072" s="9" t="s">
        <v>4</v>
      </c>
    </row>
    <row r="2073" spans="1:15" x14ac:dyDescent="0.2">
      <c r="A2073">
        <v>68</v>
      </c>
      <c r="B2073">
        <v>5</v>
      </c>
      <c r="C2073">
        <v>7</v>
      </c>
      <c r="D2073" s="2">
        <v>2</v>
      </c>
      <c r="E2073" s="2">
        <v>2</v>
      </c>
      <c r="F2073" s="2" t="s">
        <v>4</v>
      </c>
      <c r="G2073" s="2">
        <v>373.80000000055702</v>
      </c>
      <c r="H2073" s="2" t="s">
        <v>8</v>
      </c>
      <c r="I2073" s="2">
        <v>1556484</v>
      </c>
      <c r="J2073" s="2">
        <v>1000</v>
      </c>
      <c r="K2073" s="2">
        <v>700</v>
      </c>
      <c r="L2073" s="2">
        <v>0</v>
      </c>
      <c r="M2073" s="2">
        <v>809287.57</v>
      </c>
      <c r="N2073">
        <f t="shared" si="41"/>
        <v>2366145.3700000006</v>
      </c>
      <c r="O2073" s="9" t="s">
        <v>4</v>
      </c>
    </row>
    <row r="2074" spans="1:15" x14ac:dyDescent="0.2">
      <c r="A2074">
        <v>69</v>
      </c>
      <c r="B2074">
        <v>5</v>
      </c>
      <c r="C2074">
        <v>7</v>
      </c>
      <c r="D2074" s="2">
        <v>2</v>
      </c>
      <c r="E2074" s="2">
        <v>3</v>
      </c>
      <c r="F2074" s="2" t="s">
        <v>4</v>
      </c>
      <c r="G2074" s="2">
        <v>458.79999999947103</v>
      </c>
      <c r="H2074" s="2" t="s">
        <v>8</v>
      </c>
      <c r="I2074" s="2">
        <v>1994440.99999999</v>
      </c>
      <c r="J2074" s="2">
        <v>1000</v>
      </c>
      <c r="K2074" s="2">
        <v>700</v>
      </c>
      <c r="L2074" s="2">
        <v>0</v>
      </c>
      <c r="M2074" s="2">
        <v>815466.77</v>
      </c>
      <c r="N2074">
        <f t="shared" si="41"/>
        <v>2810366.5699999896</v>
      </c>
      <c r="O2074" s="9" t="s">
        <v>4</v>
      </c>
    </row>
    <row r="2075" spans="1:15" x14ac:dyDescent="0.2">
      <c r="A2075">
        <v>28</v>
      </c>
      <c r="B2075">
        <v>5</v>
      </c>
      <c r="C2075">
        <v>4</v>
      </c>
      <c r="D2075" s="2">
        <v>2</v>
      </c>
      <c r="E2075" s="2">
        <v>1</v>
      </c>
      <c r="F2075" s="2" t="s">
        <v>4</v>
      </c>
      <c r="G2075" s="2">
        <v>901.80000000010796</v>
      </c>
      <c r="H2075" s="2" t="s">
        <v>8</v>
      </c>
      <c r="I2075" s="2">
        <v>460677</v>
      </c>
      <c r="J2075" s="2">
        <v>2000</v>
      </c>
      <c r="K2075" s="2">
        <v>300</v>
      </c>
      <c r="L2075" s="2">
        <v>0</v>
      </c>
      <c r="M2075" s="2">
        <v>857766.77</v>
      </c>
      <c r="N2075">
        <f t="shared" si="41"/>
        <v>1319345.57</v>
      </c>
      <c r="O2075" s="9" t="s">
        <v>4</v>
      </c>
    </row>
    <row r="2076" spans="1:15" x14ac:dyDescent="0.2">
      <c r="A2076">
        <v>29</v>
      </c>
      <c r="B2076">
        <v>5</v>
      </c>
      <c r="C2076">
        <v>5</v>
      </c>
      <c r="D2076" s="2">
        <v>2</v>
      </c>
      <c r="E2076" s="2">
        <v>2</v>
      </c>
      <c r="F2076" s="2" t="s">
        <v>4</v>
      </c>
      <c r="G2076" s="2">
        <v>926.20000000032098</v>
      </c>
      <c r="H2076" s="2" t="s">
        <v>8</v>
      </c>
      <c r="I2076" s="2">
        <v>770229.00000000105</v>
      </c>
      <c r="J2076" s="2">
        <v>2000</v>
      </c>
      <c r="K2076" s="2">
        <v>300</v>
      </c>
      <c r="L2076" s="2">
        <v>0</v>
      </c>
      <c r="M2076" s="2">
        <v>866806.77</v>
      </c>
      <c r="N2076">
        <f t="shared" si="41"/>
        <v>1637961.9700000014</v>
      </c>
      <c r="O2076" s="9" t="s">
        <v>4</v>
      </c>
    </row>
    <row r="2077" spans="1:15" x14ac:dyDescent="0.2">
      <c r="A2077">
        <v>30</v>
      </c>
      <c r="B2077">
        <v>5</v>
      </c>
      <c r="C2077">
        <v>5</v>
      </c>
      <c r="D2077" s="2">
        <v>2</v>
      </c>
      <c r="E2077" s="2">
        <v>3</v>
      </c>
      <c r="F2077" s="2" t="s">
        <v>4</v>
      </c>
      <c r="G2077" s="2">
        <v>922.99999999951899</v>
      </c>
      <c r="H2077" s="2" t="s">
        <v>8</v>
      </c>
      <c r="I2077" s="2">
        <v>1785648</v>
      </c>
      <c r="J2077" s="2">
        <v>2000</v>
      </c>
      <c r="K2077" s="2">
        <v>300</v>
      </c>
      <c r="L2077" s="2">
        <v>0</v>
      </c>
      <c r="M2077" s="2">
        <v>809365.57</v>
      </c>
      <c r="N2077">
        <f t="shared" si="41"/>
        <v>2595936.5699999994</v>
      </c>
      <c r="O2077" s="9" t="s">
        <v>4</v>
      </c>
    </row>
    <row r="2078" spans="1:15" x14ac:dyDescent="0.2">
      <c r="A2078">
        <v>31</v>
      </c>
      <c r="B2078">
        <v>5</v>
      </c>
      <c r="C2078">
        <v>5</v>
      </c>
      <c r="D2078" s="2">
        <v>2</v>
      </c>
      <c r="E2078" s="2">
        <v>1</v>
      </c>
      <c r="F2078" s="2" t="s">
        <v>4</v>
      </c>
      <c r="G2078" s="2">
        <v>780.99999999920999</v>
      </c>
      <c r="H2078" s="2" t="s">
        <v>8</v>
      </c>
      <c r="I2078" s="2">
        <v>634705.99999999802</v>
      </c>
      <c r="J2078" s="2">
        <v>2000</v>
      </c>
      <c r="K2078" s="2">
        <v>300</v>
      </c>
      <c r="L2078" s="2">
        <v>0</v>
      </c>
      <c r="M2078" s="2">
        <v>771604.77</v>
      </c>
      <c r="N2078">
        <f t="shared" si="41"/>
        <v>1407091.7699999972</v>
      </c>
      <c r="O2078" s="9" t="s">
        <v>4</v>
      </c>
    </row>
    <row r="2079" spans="1:15" x14ac:dyDescent="0.2">
      <c r="A2079">
        <v>32</v>
      </c>
      <c r="B2079">
        <v>5</v>
      </c>
      <c r="C2079">
        <v>5</v>
      </c>
      <c r="D2079" s="2">
        <v>2</v>
      </c>
      <c r="E2079" s="2">
        <v>2</v>
      </c>
      <c r="F2079" s="2" t="s">
        <v>4</v>
      </c>
      <c r="G2079" s="2">
        <v>720.199999999949</v>
      </c>
      <c r="H2079" s="2" t="s">
        <v>8</v>
      </c>
      <c r="I2079" s="2">
        <v>1699059</v>
      </c>
      <c r="J2079" s="2">
        <v>2000</v>
      </c>
      <c r="K2079" s="2">
        <v>300</v>
      </c>
      <c r="L2079" s="2">
        <v>0</v>
      </c>
      <c r="M2079" s="2">
        <v>798725.97</v>
      </c>
      <c r="N2079">
        <f t="shared" si="41"/>
        <v>2498505.17</v>
      </c>
      <c r="O2079" s="9" t="s">
        <v>4</v>
      </c>
    </row>
    <row r="2080" spans="1:15" x14ac:dyDescent="0.2">
      <c r="A2080">
        <v>33</v>
      </c>
      <c r="B2080">
        <v>5</v>
      </c>
      <c r="C2080">
        <v>5</v>
      </c>
      <c r="D2080" s="2">
        <v>2</v>
      </c>
      <c r="E2080" s="2">
        <v>3</v>
      </c>
      <c r="F2080" s="2" t="s">
        <v>4</v>
      </c>
      <c r="G2080" s="2">
        <v>762.79999999968595</v>
      </c>
      <c r="H2080" s="2" t="s">
        <v>8</v>
      </c>
      <c r="I2080" s="2">
        <v>1760464</v>
      </c>
      <c r="J2080" s="2">
        <v>2000</v>
      </c>
      <c r="K2080" s="2">
        <v>300</v>
      </c>
      <c r="L2080" s="2">
        <v>0</v>
      </c>
      <c r="M2080" s="2">
        <v>841605.97</v>
      </c>
      <c r="N2080">
        <f t="shared" si="41"/>
        <v>2602832.7699999996</v>
      </c>
      <c r="O2080" s="9" t="s">
        <v>4</v>
      </c>
    </row>
    <row r="2081" spans="1:15" x14ac:dyDescent="0.2">
      <c r="A2081">
        <v>34</v>
      </c>
      <c r="B2081">
        <v>5</v>
      </c>
      <c r="C2081">
        <v>5</v>
      </c>
      <c r="D2081" s="2">
        <v>2</v>
      </c>
      <c r="E2081" s="2">
        <v>1</v>
      </c>
      <c r="F2081" s="2" t="s">
        <v>4</v>
      </c>
      <c r="G2081" s="2">
        <v>563.600000000264</v>
      </c>
      <c r="H2081" s="2" t="s">
        <v>8</v>
      </c>
      <c r="I2081" s="2">
        <v>567174.00000000105</v>
      </c>
      <c r="J2081" s="2">
        <v>2000</v>
      </c>
      <c r="K2081" s="2">
        <v>300</v>
      </c>
      <c r="L2081" s="2">
        <v>0</v>
      </c>
      <c r="M2081" s="2">
        <v>865845.17</v>
      </c>
      <c r="N2081">
        <f t="shared" si="41"/>
        <v>1433582.7700000014</v>
      </c>
      <c r="O2081" s="9" t="s">
        <v>4</v>
      </c>
    </row>
    <row r="2082" spans="1:15" x14ac:dyDescent="0.2">
      <c r="A2082">
        <v>35</v>
      </c>
      <c r="B2082">
        <v>5</v>
      </c>
      <c r="C2082">
        <v>6</v>
      </c>
      <c r="D2082" s="2">
        <v>2</v>
      </c>
      <c r="E2082" s="2">
        <v>1</v>
      </c>
      <c r="F2082" s="2" t="s">
        <v>4</v>
      </c>
      <c r="G2082" s="2">
        <v>467.000000000439</v>
      </c>
      <c r="H2082" s="2" t="s">
        <v>8</v>
      </c>
      <c r="I2082" s="2">
        <v>1291090</v>
      </c>
      <c r="J2082" s="2">
        <v>2000</v>
      </c>
      <c r="K2082" s="2">
        <v>300</v>
      </c>
      <c r="L2082" s="2">
        <v>0</v>
      </c>
      <c r="M2082" s="2">
        <v>773963.97</v>
      </c>
      <c r="N2082">
        <f t="shared" si="41"/>
        <v>2065520.9700000004</v>
      </c>
      <c r="O2082" s="9" t="s">
        <v>4</v>
      </c>
    </row>
    <row r="2083" spans="1:15" x14ac:dyDescent="0.2">
      <c r="A2083">
        <v>36</v>
      </c>
      <c r="B2083">
        <v>5</v>
      </c>
      <c r="C2083">
        <v>6</v>
      </c>
      <c r="D2083" s="2">
        <v>2</v>
      </c>
      <c r="E2083" s="2">
        <v>2</v>
      </c>
      <c r="F2083" s="2" t="s">
        <v>4</v>
      </c>
      <c r="G2083" s="2">
        <v>432.59999999953902</v>
      </c>
      <c r="H2083" s="2" t="s">
        <v>8</v>
      </c>
      <c r="I2083" s="2">
        <v>884944.99999999499</v>
      </c>
      <c r="J2083" s="2">
        <v>2000</v>
      </c>
      <c r="K2083" s="2">
        <v>300</v>
      </c>
      <c r="L2083" s="2">
        <v>0</v>
      </c>
      <c r="M2083" s="2">
        <v>884366.77</v>
      </c>
      <c r="N2083">
        <f t="shared" si="41"/>
        <v>1769744.3699999945</v>
      </c>
      <c r="O2083" s="9" t="s">
        <v>4</v>
      </c>
    </row>
    <row r="2084" spans="1:15" x14ac:dyDescent="0.2">
      <c r="A2084">
        <v>37</v>
      </c>
      <c r="B2084">
        <v>5</v>
      </c>
      <c r="C2084">
        <v>6</v>
      </c>
      <c r="D2084" s="2">
        <v>2</v>
      </c>
      <c r="E2084" s="2">
        <v>3</v>
      </c>
      <c r="F2084" s="2" t="s">
        <v>4</v>
      </c>
      <c r="G2084" s="2">
        <v>535.40000000005296</v>
      </c>
      <c r="H2084" s="2" t="s">
        <v>8</v>
      </c>
      <c r="I2084" s="2">
        <v>1563006</v>
      </c>
      <c r="J2084" s="2">
        <v>2000</v>
      </c>
      <c r="K2084" s="2">
        <v>300</v>
      </c>
      <c r="L2084" s="2">
        <v>0</v>
      </c>
      <c r="M2084" s="2">
        <v>811526.77</v>
      </c>
      <c r="N2084">
        <f t="shared" si="41"/>
        <v>2375068.17</v>
      </c>
      <c r="O2084" s="9" t="s">
        <v>4</v>
      </c>
    </row>
    <row r="2085" spans="1:15" x14ac:dyDescent="0.2">
      <c r="A2085">
        <v>38</v>
      </c>
      <c r="B2085">
        <v>5</v>
      </c>
      <c r="C2085">
        <v>6</v>
      </c>
      <c r="D2085" s="2">
        <v>2</v>
      </c>
      <c r="E2085" s="2">
        <v>1</v>
      </c>
      <c r="F2085" s="2" t="s">
        <v>4</v>
      </c>
      <c r="G2085" s="2">
        <v>394.79999999976201</v>
      </c>
      <c r="H2085" s="2" t="s">
        <v>8</v>
      </c>
      <c r="I2085" s="2">
        <v>686184.00000000396</v>
      </c>
      <c r="J2085" s="2">
        <v>2000</v>
      </c>
      <c r="K2085" s="2">
        <v>300</v>
      </c>
      <c r="L2085" s="2">
        <v>0</v>
      </c>
      <c r="M2085" s="2">
        <v>805285.17</v>
      </c>
      <c r="N2085">
        <f t="shared" si="41"/>
        <v>1491863.9700000039</v>
      </c>
      <c r="O2085" s="9" t="s">
        <v>4</v>
      </c>
    </row>
    <row r="2086" spans="1:15" x14ac:dyDescent="0.2">
      <c r="A2086">
        <v>39</v>
      </c>
      <c r="B2086">
        <v>5</v>
      </c>
      <c r="C2086">
        <v>7</v>
      </c>
      <c r="D2086" s="2">
        <v>2</v>
      </c>
      <c r="E2086" s="2">
        <v>1</v>
      </c>
      <c r="F2086" s="2" t="s">
        <v>4</v>
      </c>
      <c r="G2086" s="2">
        <v>470.600000000232</v>
      </c>
      <c r="H2086" s="2" t="s">
        <v>8</v>
      </c>
      <c r="I2086" s="2">
        <v>1346969</v>
      </c>
      <c r="J2086" s="2">
        <v>2000</v>
      </c>
      <c r="K2086" s="2">
        <v>300</v>
      </c>
      <c r="L2086" s="2">
        <v>0</v>
      </c>
      <c r="M2086" s="2">
        <v>816685.97</v>
      </c>
      <c r="N2086">
        <f t="shared" si="41"/>
        <v>2164125.5700000003</v>
      </c>
      <c r="O2086" s="9" t="s">
        <v>4</v>
      </c>
    </row>
    <row r="2087" spans="1:15" x14ac:dyDescent="0.2">
      <c r="A2087">
        <v>40</v>
      </c>
      <c r="B2087">
        <v>5</v>
      </c>
      <c r="C2087">
        <v>7</v>
      </c>
      <c r="D2087" s="2">
        <v>2</v>
      </c>
      <c r="E2087" s="2">
        <v>2</v>
      </c>
      <c r="F2087" s="2" t="s">
        <v>4</v>
      </c>
      <c r="G2087" s="2">
        <v>455.20000000074401</v>
      </c>
      <c r="H2087" s="2" t="s">
        <v>8</v>
      </c>
      <c r="I2087" s="2">
        <v>2734535</v>
      </c>
      <c r="J2087" s="2">
        <v>2000</v>
      </c>
      <c r="K2087" s="2">
        <v>300</v>
      </c>
      <c r="L2087" s="2">
        <v>0</v>
      </c>
      <c r="M2087" s="2">
        <v>881883.97</v>
      </c>
      <c r="N2087">
        <f t="shared" si="41"/>
        <v>3616874.1700000009</v>
      </c>
      <c r="O2087" s="9" t="s">
        <v>4</v>
      </c>
    </row>
    <row r="2088" spans="1:15" x14ac:dyDescent="0.2">
      <c r="A2088">
        <v>41</v>
      </c>
      <c r="B2088">
        <v>5</v>
      </c>
      <c r="C2088">
        <v>7</v>
      </c>
      <c r="D2088" s="2">
        <v>2</v>
      </c>
      <c r="E2088" s="2">
        <v>3</v>
      </c>
      <c r="F2088" s="2" t="s">
        <v>4</v>
      </c>
      <c r="G2088" s="2">
        <v>556.20000000047298</v>
      </c>
      <c r="H2088" s="2" t="s">
        <v>8</v>
      </c>
      <c r="I2088" s="2">
        <v>2185385</v>
      </c>
      <c r="J2088" s="2">
        <v>2000</v>
      </c>
      <c r="K2088" s="2">
        <v>300</v>
      </c>
      <c r="L2088" s="2">
        <v>0</v>
      </c>
      <c r="M2088" s="2">
        <v>821806.77</v>
      </c>
      <c r="N2088">
        <f t="shared" si="41"/>
        <v>3007747.9700000007</v>
      </c>
      <c r="O2088" s="9" t="s">
        <v>4</v>
      </c>
    </row>
    <row r="2089" spans="1:15" x14ac:dyDescent="0.2">
      <c r="A2089">
        <v>42</v>
      </c>
      <c r="B2089">
        <v>5</v>
      </c>
      <c r="C2089">
        <v>4</v>
      </c>
      <c r="D2089" s="2">
        <v>2</v>
      </c>
      <c r="E2089" s="2">
        <v>1</v>
      </c>
      <c r="F2089" s="2" t="s">
        <v>4</v>
      </c>
      <c r="G2089" s="2">
        <v>288.80000000022198</v>
      </c>
      <c r="H2089" s="2" t="s">
        <v>8</v>
      </c>
      <c r="I2089" s="2">
        <v>329124</v>
      </c>
      <c r="J2089" s="2">
        <v>2000</v>
      </c>
      <c r="K2089" s="2">
        <v>300</v>
      </c>
      <c r="L2089" s="2">
        <v>0</v>
      </c>
      <c r="M2089" s="2">
        <v>775925.17</v>
      </c>
      <c r="N2089">
        <f t="shared" si="41"/>
        <v>1105337.9700000002</v>
      </c>
      <c r="O2089" s="9" t="s">
        <v>4</v>
      </c>
    </row>
    <row r="2090" spans="1:15" x14ac:dyDescent="0.2">
      <c r="A2090">
        <v>43</v>
      </c>
      <c r="B2090">
        <v>5</v>
      </c>
      <c r="C2090">
        <v>5</v>
      </c>
      <c r="D2090" s="2">
        <v>2</v>
      </c>
      <c r="E2090" s="2">
        <v>1</v>
      </c>
      <c r="F2090" s="2" t="s">
        <v>4</v>
      </c>
      <c r="G2090" s="2">
        <v>340.19999999976801</v>
      </c>
      <c r="H2090" s="2" t="s">
        <v>8</v>
      </c>
      <c r="I2090" s="2">
        <v>626666</v>
      </c>
      <c r="J2090" s="2">
        <v>2000</v>
      </c>
      <c r="K2090" s="2">
        <v>300</v>
      </c>
      <c r="L2090" s="2">
        <v>0</v>
      </c>
      <c r="M2090" s="2">
        <v>776805.17</v>
      </c>
      <c r="N2090">
        <f t="shared" si="41"/>
        <v>1403811.3699999996</v>
      </c>
      <c r="O2090" s="9" t="s">
        <v>4</v>
      </c>
    </row>
    <row r="2091" spans="1:15" x14ac:dyDescent="0.2">
      <c r="A2091">
        <v>44</v>
      </c>
      <c r="B2091">
        <v>5</v>
      </c>
      <c r="C2091">
        <v>5</v>
      </c>
      <c r="D2091" s="2">
        <v>2</v>
      </c>
      <c r="E2091" s="2">
        <v>2</v>
      </c>
      <c r="F2091" s="2" t="s">
        <v>4</v>
      </c>
      <c r="G2091" s="2">
        <v>325.80000000024302</v>
      </c>
      <c r="H2091" s="2" t="s">
        <v>8</v>
      </c>
      <c r="I2091" s="2">
        <v>625314.00000000303</v>
      </c>
      <c r="J2091" s="2">
        <v>2000</v>
      </c>
      <c r="K2091" s="2">
        <v>300</v>
      </c>
      <c r="L2091" s="2">
        <v>0</v>
      </c>
      <c r="M2091" s="2">
        <v>786647.97</v>
      </c>
      <c r="N2091">
        <f t="shared" si="41"/>
        <v>1412287.7700000033</v>
      </c>
      <c r="O2091" s="9" t="s">
        <v>4</v>
      </c>
    </row>
    <row r="2092" spans="1:15" x14ac:dyDescent="0.2">
      <c r="A2092">
        <v>45</v>
      </c>
      <c r="B2092">
        <v>5</v>
      </c>
      <c r="C2092">
        <v>5</v>
      </c>
      <c r="D2092" s="2">
        <v>2</v>
      </c>
      <c r="E2092" s="2">
        <v>3</v>
      </c>
      <c r="F2092" s="2" t="s">
        <v>4</v>
      </c>
      <c r="G2092" s="2">
        <v>420.79999999948802</v>
      </c>
      <c r="H2092" s="2" t="s">
        <v>8</v>
      </c>
      <c r="I2092" s="2">
        <v>1579966</v>
      </c>
      <c r="J2092" s="2">
        <v>2000</v>
      </c>
      <c r="K2092" s="2">
        <v>300</v>
      </c>
      <c r="L2092" s="2">
        <v>0</v>
      </c>
      <c r="M2092" s="2">
        <v>867725.57</v>
      </c>
      <c r="N2092">
        <f t="shared" si="41"/>
        <v>2448112.3699999996</v>
      </c>
      <c r="O2092" s="9" t="s">
        <v>4</v>
      </c>
    </row>
    <row r="2093" spans="1:15" x14ac:dyDescent="0.2">
      <c r="A2093">
        <v>46</v>
      </c>
      <c r="B2093">
        <v>5</v>
      </c>
      <c r="C2093">
        <v>6</v>
      </c>
      <c r="D2093" s="2">
        <v>2</v>
      </c>
      <c r="E2093" s="2">
        <v>1</v>
      </c>
      <c r="F2093" s="2" t="s">
        <v>4</v>
      </c>
      <c r="G2093" s="2">
        <v>431.79999999978202</v>
      </c>
      <c r="H2093" s="2" t="s">
        <v>8</v>
      </c>
      <c r="I2093" s="2">
        <v>908150.99999999697</v>
      </c>
      <c r="J2093" s="2">
        <v>2000</v>
      </c>
      <c r="K2093" s="2">
        <v>300</v>
      </c>
      <c r="L2093" s="2">
        <v>0</v>
      </c>
      <c r="M2093" s="2">
        <v>754484.77</v>
      </c>
      <c r="N2093">
        <f t="shared" si="41"/>
        <v>1663067.5699999968</v>
      </c>
      <c r="O2093" s="9" t="s">
        <v>4</v>
      </c>
    </row>
    <row r="2094" spans="1:15" x14ac:dyDescent="0.2">
      <c r="A2094">
        <v>47</v>
      </c>
      <c r="B2094">
        <v>5</v>
      </c>
      <c r="C2094">
        <v>6</v>
      </c>
      <c r="D2094" s="2">
        <v>2</v>
      </c>
      <c r="E2094" s="2">
        <v>2</v>
      </c>
      <c r="F2094" s="2" t="s">
        <v>4</v>
      </c>
      <c r="G2094" s="2">
        <v>392.80000000019299</v>
      </c>
      <c r="H2094" s="2" t="s">
        <v>8</v>
      </c>
      <c r="I2094" s="2">
        <v>835637.99999999604</v>
      </c>
      <c r="J2094" s="2">
        <v>2000</v>
      </c>
      <c r="K2094" s="2">
        <v>300</v>
      </c>
      <c r="L2094" s="2">
        <v>0</v>
      </c>
      <c r="M2094" s="2">
        <v>864446.77</v>
      </c>
      <c r="N2094">
        <f t="shared" si="41"/>
        <v>1700477.5699999961</v>
      </c>
      <c r="O2094" s="9" t="s">
        <v>4</v>
      </c>
    </row>
    <row r="2095" spans="1:15" x14ac:dyDescent="0.2">
      <c r="A2095">
        <v>48</v>
      </c>
      <c r="B2095">
        <v>5</v>
      </c>
      <c r="C2095">
        <v>6</v>
      </c>
      <c r="D2095" s="2">
        <v>2</v>
      </c>
      <c r="E2095" s="2">
        <v>3</v>
      </c>
      <c r="F2095" s="2" t="s">
        <v>4</v>
      </c>
      <c r="G2095" s="2">
        <v>479.99999999994702</v>
      </c>
      <c r="H2095" s="2" t="s">
        <v>8</v>
      </c>
      <c r="I2095" s="2">
        <v>1313722.00000001</v>
      </c>
      <c r="J2095" s="2">
        <v>2000</v>
      </c>
      <c r="K2095" s="2">
        <v>300</v>
      </c>
      <c r="L2095" s="2">
        <v>0</v>
      </c>
      <c r="M2095" s="2">
        <v>894685.17</v>
      </c>
      <c r="N2095">
        <f t="shared" si="41"/>
        <v>2208887.1700000102</v>
      </c>
      <c r="O2095" s="9" t="s">
        <v>4</v>
      </c>
    </row>
    <row r="2096" spans="1:15" x14ac:dyDescent="0.2">
      <c r="A2096">
        <v>49</v>
      </c>
      <c r="B2096">
        <v>5</v>
      </c>
      <c r="C2096">
        <v>6</v>
      </c>
      <c r="D2096" s="2">
        <v>2</v>
      </c>
      <c r="E2096" s="2">
        <v>1</v>
      </c>
      <c r="F2096" s="2" t="s">
        <v>4</v>
      </c>
      <c r="G2096" s="2">
        <v>379.40000000027402</v>
      </c>
      <c r="H2096" s="2" t="s">
        <v>8</v>
      </c>
      <c r="I2096" s="2">
        <v>1132380</v>
      </c>
      <c r="J2096" s="2">
        <v>2000</v>
      </c>
      <c r="K2096" s="2">
        <v>300</v>
      </c>
      <c r="L2096" s="2">
        <v>0</v>
      </c>
      <c r="M2096" s="2">
        <v>770324.77</v>
      </c>
      <c r="N2096">
        <f t="shared" si="41"/>
        <v>1903084.1700000004</v>
      </c>
      <c r="O2096" s="9" t="s">
        <v>4</v>
      </c>
    </row>
    <row r="2097" spans="1:15" x14ac:dyDescent="0.2">
      <c r="A2097">
        <v>50</v>
      </c>
      <c r="B2097">
        <v>5</v>
      </c>
      <c r="C2097">
        <v>6</v>
      </c>
      <c r="D2097" s="2">
        <v>2</v>
      </c>
      <c r="E2097" s="2">
        <v>2</v>
      </c>
      <c r="F2097" s="2" t="s">
        <v>4</v>
      </c>
      <c r="G2097" s="2">
        <v>387.60000000017698</v>
      </c>
      <c r="H2097" s="2" t="s">
        <v>8</v>
      </c>
      <c r="I2097" s="2">
        <v>809797.00000000303</v>
      </c>
      <c r="J2097" s="2">
        <v>2000</v>
      </c>
      <c r="K2097" s="2">
        <v>300</v>
      </c>
      <c r="L2097" s="2">
        <v>0</v>
      </c>
      <c r="M2097" s="2">
        <v>794486.37</v>
      </c>
      <c r="N2097">
        <f t="shared" si="41"/>
        <v>1604670.9700000032</v>
      </c>
      <c r="O2097" s="9" t="s">
        <v>4</v>
      </c>
    </row>
    <row r="2098" spans="1:15" x14ac:dyDescent="0.2">
      <c r="A2098">
        <v>51</v>
      </c>
      <c r="B2098">
        <v>5</v>
      </c>
      <c r="C2098">
        <v>6</v>
      </c>
      <c r="D2098" s="2">
        <v>2</v>
      </c>
      <c r="E2098" s="2">
        <v>3</v>
      </c>
      <c r="F2098" s="2" t="s">
        <v>4</v>
      </c>
      <c r="G2098" s="2">
        <v>476.39999999944399</v>
      </c>
      <c r="H2098" s="2" t="s">
        <v>8</v>
      </c>
      <c r="I2098" s="2">
        <v>1191722</v>
      </c>
      <c r="J2098" s="2">
        <v>2000</v>
      </c>
      <c r="K2098" s="2">
        <v>300</v>
      </c>
      <c r="L2098" s="2">
        <v>0</v>
      </c>
      <c r="M2098" s="2">
        <v>797604.37</v>
      </c>
      <c r="N2098">
        <f t="shared" si="41"/>
        <v>1989802.7699999996</v>
      </c>
      <c r="O2098" s="9" t="s">
        <v>4</v>
      </c>
    </row>
    <row r="2099" spans="1:15" x14ac:dyDescent="0.2">
      <c r="A2099">
        <v>52</v>
      </c>
      <c r="B2099">
        <v>5</v>
      </c>
      <c r="C2099">
        <v>7</v>
      </c>
      <c r="D2099" s="2">
        <v>2</v>
      </c>
      <c r="E2099" s="2">
        <v>1</v>
      </c>
      <c r="F2099" s="2" t="s">
        <v>4</v>
      </c>
      <c r="G2099" s="2">
        <v>407.79999999998</v>
      </c>
      <c r="H2099" s="2" t="s">
        <v>8</v>
      </c>
      <c r="I2099" s="2">
        <v>1069360</v>
      </c>
      <c r="J2099" s="2">
        <v>2000</v>
      </c>
      <c r="K2099" s="2">
        <v>300</v>
      </c>
      <c r="L2099" s="2">
        <v>0</v>
      </c>
      <c r="M2099" s="2">
        <v>812528.77</v>
      </c>
      <c r="N2099">
        <f t="shared" si="41"/>
        <v>1882296.57</v>
      </c>
      <c r="O2099" s="9" t="s">
        <v>4</v>
      </c>
    </row>
    <row r="2100" spans="1:15" x14ac:dyDescent="0.2">
      <c r="A2100">
        <v>53</v>
      </c>
      <c r="B2100">
        <v>5</v>
      </c>
      <c r="C2100">
        <v>7</v>
      </c>
      <c r="D2100" s="2">
        <v>2</v>
      </c>
      <c r="E2100" s="2">
        <v>2</v>
      </c>
      <c r="F2100" s="2" t="s">
        <v>4</v>
      </c>
      <c r="G2100" s="2">
        <v>396.99999999953701</v>
      </c>
      <c r="H2100" s="2" t="s">
        <v>8</v>
      </c>
      <c r="I2100" s="2">
        <v>2505793</v>
      </c>
      <c r="J2100" s="2">
        <v>2000</v>
      </c>
      <c r="K2100" s="2">
        <v>300</v>
      </c>
      <c r="L2100" s="2">
        <v>0</v>
      </c>
      <c r="M2100" s="2">
        <v>795286.37</v>
      </c>
      <c r="N2100">
        <f t="shared" si="41"/>
        <v>3301476.3699999996</v>
      </c>
      <c r="O2100" s="9" t="s">
        <v>4</v>
      </c>
    </row>
    <row r="2101" spans="1:15" x14ac:dyDescent="0.2">
      <c r="A2101">
        <v>54</v>
      </c>
      <c r="B2101">
        <v>5</v>
      </c>
      <c r="C2101">
        <v>7</v>
      </c>
      <c r="D2101" s="2">
        <v>2</v>
      </c>
      <c r="E2101" s="2">
        <v>3</v>
      </c>
      <c r="F2101" s="2" t="s">
        <v>4</v>
      </c>
      <c r="G2101" s="2">
        <v>497.99999999997601</v>
      </c>
      <c r="H2101" s="2" t="s">
        <v>8</v>
      </c>
      <c r="I2101" s="2">
        <v>3244514</v>
      </c>
      <c r="J2101" s="2">
        <v>2000</v>
      </c>
      <c r="K2101" s="2">
        <v>300</v>
      </c>
      <c r="L2101" s="2">
        <v>0</v>
      </c>
      <c r="M2101" s="2">
        <v>772405.57</v>
      </c>
      <c r="N2101">
        <f t="shared" si="41"/>
        <v>4017417.57</v>
      </c>
      <c r="O2101" s="9" t="s">
        <v>4</v>
      </c>
    </row>
    <row r="2102" spans="1:15" x14ac:dyDescent="0.2">
      <c r="A2102">
        <v>55</v>
      </c>
      <c r="B2102">
        <v>5</v>
      </c>
      <c r="C2102">
        <v>5</v>
      </c>
      <c r="D2102" s="2">
        <v>2</v>
      </c>
      <c r="E2102" s="2">
        <v>1</v>
      </c>
      <c r="F2102" s="2" t="s">
        <v>4</v>
      </c>
      <c r="G2102" s="2">
        <v>289.40000000012799</v>
      </c>
      <c r="H2102" s="2" t="s">
        <v>8</v>
      </c>
      <c r="I2102" s="2">
        <v>783248</v>
      </c>
      <c r="J2102" s="2">
        <v>2000</v>
      </c>
      <c r="K2102" s="2">
        <v>300</v>
      </c>
      <c r="L2102" s="2">
        <v>0</v>
      </c>
      <c r="M2102" s="2">
        <v>766885.57</v>
      </c>
      <c r="N2102">
        <f t="shared" si="41"/>
        <v>1550422.9700000002</v>
      </c>
      <c r="O2102" s="9" t="s">
        <v>4</v>
      </c>
    </row>
    <row r="2103" spans="1:15" x14ac:dyDescent="0.2">
      <c r="A2103">
        <v>56</v>
      </c>
      <c r="B2103">
        <v>5</v>
      </c>
      <c r="C2103">
        <v>5</v>
      </c>
      <c r="D2103" s="2">
        <v>2</v>
      </c>
      <c r="E2103" s="2">
        <v>2</v>
      </c>
      <c r="F2103" s="2" t="s">
        <v>4</v>
      </c>
      <c r="G2103" s="2">
        <v>287.00000000014802</v>
      </c>
      <c r="H2103" s="2" t="s">
        <v>8</v>
      </c>
      <c r="I2103" s="2">
        <v>544256.00000000396</v>
      </c>
      <c r="J2103" s="2">
        <v>2000</v>
      </c>
      <c r="K2103" s="2">
        <v>300</v>
      </c>
      <c r="L2103" s="2">
        <v>0</v>
      </c>
      <c r="M2103" s="2">
        <v>786286.37</v>
      </c>
      <c r="N2103">
        <f t="shared" si="41"/>
        <v>1330829.3700000041</v>
      </c>
      <c r="O2103" s="9" t="s">
        <v>4</v>
      </c>
    </row>
    <row r="2104" spans="1:15" x14ac:dyDescent="0.2">
      <c r="A2104">
        <v>57</v>
      </c>
      <c r="B2104">
        <v>5</v>
      </c>
      <c r="C2104">
        <v>5</v>
      </c>
      <c r="D2104" s="2">
        <v>2</v>
      </c>
      <c r="E2104" s="2">
        <v>3</v>
      </c>
      <c r="F2104" s="2" t="s">
        <v>4</v>
      </c>
      <c r="G2104" s="2">
        <v>362.39999999949703</v>
      </c>
      <c r="H2104" s="2" t="s">
        <v>8</v>
      </c>
      <c r="I2104" s="2">
        <v>801326.00000000303</v>
      </c>
      <c r="J2104" s="2">
        <v>2000</v>
      </c>
      <c r="K2104" s="2">
        <v>300</v>
      </c>
      <c r="L2104" s="2">
        <v>0</v>
      </c>
      <c r="M2104" s="2">
        <v>878646.37</v>
      </c>
      <c r="N2104">
        <f t="shared" si="41"/>
        <v>1680334.7700000023</v>
      </c>
      <c r="O2104" s="9" t="s">
        <v>4</v>
      </c>
    </row>
    <row r="2105" spans="1:15" x14ac:dyDescent="0.2">
      <c r="A2105">
        <v>58</v>
      </c>
      <c r="B2105">
        <v>5</v>
      </c>
      <c r="C2105">
        <v>6</v>
      </c>
      <c r="D2105" s="2">
        <v>2</v>
      </c>
      <c r="E2105" s="2">
        <v>1</v>
      </c>
      <c r="F2105" s="2" t="s">
        <v>4</v>
      </c>
      <c r="G2105" s="2">
        <v>340.79999999967498</v>
      </c>
      <c r="H2105" s="2" t="s">
        <v>8</v>
      </c>
      <c r="I2105" s="2">
        <v>868777.00000000198</v>
      </c>
      <c r="J2105" s="2">
        <v>2000</v>
      </c>
      <c r="K2105" s="2">
        <v>300</v>
      </c>
      <c r="L2105" s="2">
        <v>0</v>
      </c>
      <c r="M2105" s="2">
        <v>871926.77</v>
      </c>
      <c r="N2105">
        <f t="shared" si="41"/>
        <v>1741044.5700000017</v>
      </c>
      <c r="O2105" s="9" t="s">
        <v>4</v>
      </c>
    </row>
    <row r="2106" spans="1:15" x14ac:dyDescent="0.2">
      <c r="A2106">
        <v>59</v>
      </c>
      <c r="B2106">
        <v>5</v>
      </c>
      <c r="C2106">
        <v>6</v>
      </c>
      <c r="D2106" s="2">
        <v>2</v>
      </c>
      <c r="E2106" s="2">
        <v>2</v>
      </c>
      <c r="F2106" s="2" t="s">
        <v>4</v>
      </c>
      <c r="G2106" s="2">
        <v>334.19999999999601</v>
      </c>
      <c r="H2106" s="2" t="s">
        <v>8</v>
      </c>
      <c r="I2106" s="2">
        <v>583774.00000000501</v>
      </c>
      <c r="J2106" s="2">
        <v>2000</v>
      </c>
      <c r="K2106" s="2">
        <v>300</v>
      </c>
      <c r="L2106" s="2">
        <v>0</v>
      </c>
      <c r="M2106" s="2">
        <v>808046.77</v>
      </c>
      <c r="N2106">
        <f t="shared" si="41"/>
        <v>1392154.9700000049</v>
      </c>
      <c r="O2106" s="9" t="s">
        <v>4</v>
      </c>
    </row>
    <row r="2107" spans="1:15" x14ac:dyDescent="0.2">
      <c r="A2107">
        <v>60</v>
      </c>
      <c r="B2107">
        <v>5</v>
      </c>
      <c r="C2107">
        <v>6</v>
      </c>
      <c r="D2107" s="2">
        <v>2</v>
      </c>
      <c r="E2107" s="2">
        <v>3</v>
      </c>
      <c r="F2107" s="2" t="s">
        <v>4</v>
      </c>
      <c r="G2107" s="2">
        <v>401.39999999979602</v>
      </c>
      <c r="H2107" s="2" t="s">
        <v>8</v>
      </c>
      <c r="I2107" s="2">
        <v>2144212.9999999902</v>
      </c>
      <c r="J2107" s="2">
        <v>2000</v>
      </c>
      <c r="K2107" s="2">
        <v>300</v>
      </c>
      <c r="L2107" s="2">
        <v>0</v>
      </c>
      <c r="M2107" s="2">
        <v>882285.57</v>
      </c>
      <c r="N2107">
        <f t="shared" si="41"/>
        <v>3026899.96999999</v>
      </c>
      <c r="O2107" s="9" t="s">
        <v>4</v>
      </c>
    </row>
    <row r="2108" spans="1:15" x14ac:dyDescent="0.2">
      <c r="A2108">
        <v>61</v>
      </c>
      <c r="B2108">
        <v>5</v>
      </c>
      <c r="C2108">
        <v>7</v>
      </c>
      <c r="D2108" s="2">
        <v>2</v>
      </c>
      <c r="E2108" s="2">
        <v>1</v>
      </c>
      <c r="F2108" s="2" t="s">
        <v>4</v>
      </c>
      <c r="G2108" s="2">
        <v>364.79999999983198</v>
      </c>
      <c r="H2108" s="2" t="s">
        <v>8</v>
      </c>
      <c r="I2108" s="2">
        <v>2195942</v>
      </c>
      <c r="J2108" s="2">
        <v>2000</v>
      </c>
      <c r="K2108" s="2">
        <v>300</v>
      </c>
      <c r="L2108" s="2">
        <v>0</v>
      </c>
      <c r="M2108" s="2">
        <v>877764.77</v>
      </c>
      <c r="N2108">
        <f t="shared" si="41"/>
        <v>3074071.57</v>
      </c>
      <c r="O2108" s="9" t="s">
        <v>4</v>
      </c>
    </row>
    <row r="2109" spans="1:15" x14ac:dyDescent="0.2">
      <c r="A2109">
        <v>62</v>
      </c>
      <c r="B2109">
        <v>5</v>
      </c>
      <c r="C2109">
        <v>7</v>
      </c>
      <c r="D2109" s="2">
        <v>2</v>
      </c>
      <c r="E2109" s="2">
        <v>2</v>
      </c>
      <c r="F2109" s="2" t="s">
        <v>4</v>
      </c>
      <c r="G2109" s="2">
        <v>382.79999999950599</v>
      </c>
      <c r="H2109" s="2" t="s">
        <v>8</v>
      </c>
      <c r="I2109" s="2">
        <v>1972765</v>
      </c>
      <c r="J2109" s="2">
        <v>2000</v>
      </c>
      <c r="K2109" s="2">
        <v>300</v>
      </c>
      <c r="L2109" s="2">
        <v>0</v>
      </c>
      <c r="M2109" s="2">
        <v>800367.17</v>
      </c>
      <c r="N2109">
        <f t="shared" si="41"/>
        <v>2773514.9699999997</v>
      </c>
      <c r="O2109" s="9" t="s">
        <v>4</v>
      </c>
    </row>
    <row r="2110" spans="1:15" x14ac:dyDescent="0.2">
      <c r="A2110">
        <v>63</v>
      </c>
      <c r="B2110">
        <v>5</v>
      </c>
      <c r="C2110">
        <v>7</v>
      </c>
      <c r="D2110" s="2">
        <v>2</v>
      </c>
      <c r="E2110" s="2">
        <v>3</v>
      </c>
      <c r="F2110" s="2" t="s">
        <v>4</v>
      </c>
      <c r="G2110" s="2">
        <v>469.999999999615</v>
      </c>
      <c r="H2110" s="2" t="s">
        <v>8</v>
      </c>
      <c r="I2110" s="2">
        <v>2183012.0000000098</v>
      </c>
      <c r="J2110" s="2">
        <v>2000</v>
      </c>
      <c r="K2110" s="2">
        <v>300</v>
      </c>
      <c r="L2110" s="2">
        <v>0</v>
      </c>
      <c r="M2110" s="2">
        <v>823523.57</v>
      </c>
      <c r="N2110">
        <f t="shared" si="41"/>
        <v>3007005.5700000091</v>
      </c>
      <c r="O2110" s="9" t="s">
        <v>4</v>
      </c>
    </row>
    <row r="2111" spans="1:15" x14ac:dyDescent="0.2">
      <c r="A2111">
        <v>64</v>
      </c>
      <c r="B2111">
        <v>5</v>
      </c>
      <c r="C2111">
        <v>8</v>
      </c>
      <c r="D2111" s="2">
        <v>2</v>
      </c>
      <c r="E2111" s="2">
        <v>1</v>
      </c>
      <c r="F2111" s="2" t="s">
        <v>4</v>
      </c>
      <c r="G2111" s="2">
        <v>408.600000000092</v>
      </c>
      <c r="H2111" s="2" t="s">
        <v>8</v>
      </c>
      <c r="I2111" s="2">
        <v>1707695</v>
      </c>
      <c r="J2111" s="2">
        <v>2000</v>
      </c>
      <c r="K2111" s="2">
        <v>300</v>
      </c>
      <c r="L2111" s="2">
        <v>0</v>
      </c>
      <c r="M2111" s="2">
        <v>762364.77</v>
      </c>
      <c r="N2111">
        <f t="shared" si="41"/>
        <v>2470468.37</v>
      </c>
      <c r="O2111" s="9" t="s">
        <v>4</v>
      </c>
    </row>
    <row r="2112" spans="1:15" x14ac:dyDescent="0.2">
      <c r="A2112">
        <v>65</v>
      </c>
      <c r="B2112">
        <v>5</v>
      </c>
      <c r="C2112">
        <v>8</v>
      </c>
      <c r="D2112" s="2">
        <v>2</v>
      </c>
      <c r="E2112" s="2">
        <v>2</v>
      </c>
      <c r="F2112" s="2" t="s">
        <v>4</v>
      </c>
      <c r="G2112" s="2">
        <v>427.200000000383</v>
      </c>
      <c r="H2112" s="2" t="s">
        <v>8</v>
      </c>
      <c r="I2112" s="2">
        <v>1389962.99999999</v>
      </c>
      <c r="J2112" s="2">
        <v>2000</v>
      </c>
      <c r="K2112" s="2">
        <v>300</v>
      </c>
      <c r="L2112" s="2">
        <v>0</v>
      </c>
      <c r="M2112" s="2">
        <v>813405.97</v>
      </c>
      <c r="N2112">
        <f t="shared" si="41"/>
        <v>2203796.1699999906</v>
      </c>
      <c r="O2112" s="9" t="s">
        <v>4</v>
      </c>
    </row>
    <row r="2113" spans="1:15" x14ac:dyDescent="0.2">
      <c r="A2113">
        <v>66</v>
      </c>
      <c r="B2113">
        <v>5</v>
      </c>
      <c r="C2113">
        <v>8</v>
      </c>
      <c r="D2113" s="2">
        <v>2</v>
      </c>
      <c r="E2113" s="2">
        <v>3</v>
      </c>
      <c r="F2113" s="2" t="s">
        <v>4</v>
      </c>
      <c r="G2113" s="2">
        <v>553.79999999942697</v>
      </c>
      <c r="H2113" s="2" t="s">
        <v>8</v>
      </c>
      <c r="I2113" s="2">
        <v>1964170.00000001</v>
      </c>
      <c r="J2113" s="2">
        <v>2000</v>
      </c>
      <c r="K2113" s="2">
        <v>300</v>
      </c>
      <c r="L2113" s="2">
        <v>0</v>
      </c>
      <c r="M2113" s="2">
        <v>830284.37</v>
      </c>
      <c r="N2113">
        <f t="shared" si="41"/>
        <v>2795008.1700000092</v>
      </c>
      <c r="O2113" s="9" t="s">
        <v>4</v>
      </c>
    </row>
    <row r="2114" spans="1:15" x14ac:dyDescent="0.2">
      <c r="A2114">
        <v>67</v>
      </c>
      <c r="B2114">
        <v>5</v>
      </c>
      <c r="C2114">
        <v>7</v>
      </c>
      <c r="D2114" s="2">
        <v>2</v>
      </c>
      <c r="E2114" s="2">
        <v>1</v>
      </c>
      <c r="F2114" s="2" t="s">
        <v>4</v>
      </c>
      <c r="G2114" s="2">
        <v>358.99999999990899</v>
      </c>
      <c r="H2114" s="2" t="s">
        <v>8</v>
      </c>
      <c r="I2114" s="2">
        <v>937139.00000000198</v>
      </c>
      <c r="J2114" s="2">
        <v>2000</v>
      </c>
      <c r="K2114" s="2">
        <v>300</v>
      </c>
      <c r="L2114" s="2">
        <v>0</v>
      </c>
      <c r="M2114" s="2">
        <v>756205.97</v>
      </c>
      <c r="N2114">
        <f t="shared" si="41"/>
        <v>1693703.9700000018</v>
      </c>
      <c r="O2114" s="9" t="s">
        <v>4</v>
      </c>
    </row>
    <row r="2115" spans="1:15" x14ac:dyDescent="0.2">
      <c r="A2115">
        <v>68</v>
      </c>
      <c r="B2115">
        <v>5</v>
      </c>
      <c r="C2115">
        <v>7</v>
      </c>
      <c r="D2115" s="2">
        <v>2</v>
      </c>
      <c r="E2115" s="2">
        <v>2</v>
      </c>
      <c r="F2115" s="2" t="s">
        <v>4</v>
      </c>
      <c r="G2115" s="2">
        <v>373.80000000055702</v>
      </c>
      <c r="H2115" s="2" t="s">
        <v>8</v>
      </c>
      <c r="I2115" s="2">
        <v>1556484</v>
      </c>
      <c r="J2115" s="2">
        <v>2000</v>
      </c>
      <c r="K2115" s="2">
        <v>300</v>
      </c>
      <c r="L2115" s="2">
        <v>0</v>
      </c>
      <c r="M2115" s="2">
        <v>802647.57</v>
      </c>
      <c r="N2115">
        <f t="shared" si="41"/>
        <v>2359505.3700000006</v>
      </c>
      <c r="O2115" s="9" t="s">
        <v>4</v>
      </c>
    </row>
    <row r="2116" spans="1:15" x14ac:dyDescent="0.2">
      <c r="A2116">
        <v>69</v>
      </c>
      <c r="B2116">
        <v>5</v>
      </c>
      <c r="C2116">
        <v>7</v>
      </c>
      <c r="D2116" s="2">
        <v>2</v>
      </c>
      <c r="E2116" s="2">
        <v>3</v>
      </c>
      <c r="F2116" s="2" t="s">
        <v>4</v>
      </c>
      <c r="G2116" s="2">
        <v>458.79999999947103</v>
      </c>
      <c r="H2116" s="2" t="s">
        <v>8</v>
      </c>
      <c r="I2116" s="2">
        <v>1994440.99999999</v>
      </c>
      <c r="J2116" s="2">
        <v>2000</v>
      </c>
      <c r="K2116" s="2">
        <v>300</v>
      </c>
      <c r="L2116" s="2">
        <v>0</v>
      </c>
      <c r="M2116" s="2">
        <v>815006.77</v>
      </c>
      <c r="N2116">
        <f t="shared" si="41"/>
        <v>2809906.5699999896</v>
      </c>
      <c r="O2116" s="9" t="s">
        <v>4</v>
      </c>
    </row>
    <row r="2117" spans="1:15" x14ac:dyDescent="0.2">
      <c r="A2117">
        <v>28</v>
      </c>
      <c r="B2117">
        <v>5</v>
      </c>
      <c r="C2117">
        <v>4</v>
      </c>
      <c r="D2117" s="2">
        <v>2</v>
      </c>
      <c r="E2117" s="2">
        <v>1</v>
      </c>
      <c r="F2117" s="2" t="s">
        <v>4</v>
      </c>
      <c r="G2117" s="2">
        <v>901.80000000010796</v>
      </c>
      <c r="H2117" s="2" t="s">
        <v>16</v>
      </c>
      <c r="I2117" s="2">
        <v>226247.99999999799</v>
      </c>
      <c r="J2117" s="2">
        <v>3000</v>
      </c>
      <c r="K2117" s="2">
        <v>20</v>
      </c>
      <c r="L2117" s="2">
        <v>0</v>
      </c>
      <c r="M2117" s="2">
        <v>276147.61</v>
      </c>
      <c r="N2117">
        <f t="shared" si="41"/>
        <v>503297.40999999805</v>
      </c>
      <c r="O2117" s="9" t="s">
        <v>4</v>
      </c>
    </row>
    <row r="2118" spans="1:15" x14ac:dyDescent="0.2">
      <c r="A2118">
        <v>29</v>
      </c>
      <c r="B2118">
        <v>5</v>
      </c>
      <c r="C2118">
        <v>5</v>
      </c>
      <c r="D2118" s="2">
        <v>2</v>
      </c>
      <c r="E2118" s="2">
        <v>2</v>
      </c>
      <c r="F2118" s="2" t="s">
        <v>4</v>
      </c>
      <c r="G2118" s="2">
        <v>926.20000000032098</v>
      </c>
      <c r="H2118" s="2" t="s">
        <v>16</v>
      </c>
      <c r="I2118" s="2">
        <v>333011.99999999697</v>
      </c>
      <c r="J2118" s="2">
        <v>3000</v>
      </c>
      <c r="K2118" s="2">
        <v>20</v>
      </c>
      <c r="L2118" s="2">
        <v>0</v>
      </c>
      <c r="M2118" s="2">
        <v>373227.21</v>
      </c>
      <c r="N2118">
        <f t="shared" si="41"/>
        <v>707165.40999999736</v>
      </c>
      <c r="O2118" s="9" t="s">
        <v>4</v>
      </c>
    </row>
    <row r="2119" spans="1:15" x14ac:dyDescent="0.2">
      <c r="A2119">
        <v>30</v>
      </c>
      <c r="B2119">
        <v>5</v>
      </c>
      <c r="C2119">
        <v>5</v>
      </c>
      <c r="D2119" s="2">
        <v>2</v>
      </c>
      <c r="E2119" s="2">
        <v>3</v>
      </c>
      <c r="F2119" s="2" t="s">
        <v>4</v>
      </c>
      <c r="G2119" s="2">
        <v>922.99999999951899</v>
      </c>
      <c r="H2119" s="2" t="s">
        <v>16</v>
      </c>
      <c r="I2119" s="2">
        <v>1243228.99999999</v>
      </c>
      <c r="J2119" s="2">
        <v>3000</v>
      </c>
      <c r="K2119" s="2">
        <v>20</v>
      </c>
      <c r="L2119" s="2">
        <v>0</v>
      </c>
      <c r="M2119" s="2">
        <v>294507.61</v>
      </c>
      <c r="N2119">
        <f t="shared" si="41"/>
        <v>1538659.6099999896</v>
      </c>
      <c r="O2119" s="9" t="s">
        <v>4</v>
      </c>
    </row>
    <row r="2120" spans="1:15" x14ac:dyDescent="0.2">
      <c r="A2120">
        <v>31</v>
      </c>
      <c r="B2120">
        <v>5</v>
      </c>
      <c r="C2120">
        <v>5</v>
      </c>
      <c r="D2120" s="2">
        <v>2</v>
      </c>
      <c r="E2120" s="2">
        <v>1</v>
      </c>
      <c r="F2120" s="2" t="s">
        <v>4</v>
      </c>
      <c r="G2120" s="2">
        <v>780.99999999920999</v>
      </c>
      <c r="H2120" s="2" t="s">
        <v>16</v>
      </c>
      <c r="I2120" s="2">
        <v>565414.00000003295</v>
      </c>
      <c r="J2120" s="2">
        <v>3000</v>
      </c>
      <c r="K2120" s="2">
        <v>20</v>
      </c>
      <c r="L2120" s="2">
        <v>0</v>
      </c>
      <c r="M2120" s="2">
        <v>308308.40999999997</v>
      </c>
      <c r="N2120">
        <f t="shared" ref="N2120:N2309" si="42">G2120+I2120+M2120</f>
        <v>874503.41000003205</v>
      </c>
      <c r="O2120" s="9" t="s">
        <v>4</v>
      </c>
    </row>
    <row r="2121" spans="1:15" x14ac:dyDescent="0.2">
      <c r="A2121">
        <v>32</v>
      </c>
      <c r="B2121">
        <v>5</v>
      </c>
      <c r="C2121">
        <v>5</v>
      </c>
      <c r="D2121" s="2">
        <v>2</v>
      </c>
      <c r="E2121" s="2">
        <v>2</v>
      </c>
      <c r="F2121" s="2" t="s">
        <v>4</v>
      </c>
      <c r="G2121" s="2">
        <v>720.199999999949</v>
      </c>
      <c r="H2121" s="2" t="s">
        <v>16</v>
      </c>
      <c r="I2121" s="2">
        <v>428542.99999999098</v>
      </c>
      <c r="J2121" s="2">
        <v>3000</v>
      </c>
      <c r="K2121" s="2">
        <v>20</v>
      </c>
      <c r="L2121" s="2">
        <v>0</v>
      </c>
      <c r="M2121" s="2">
        <v>363387.61</v>
      </c>
      <c r="N2121">
        <f t="shared" si="42"/>
        <v>792650.80999999098</v>
      </c>
      <c r="O2121" s="9" t="s">
        <v>4</v>
      </c>
    </row>
    <row r="2122" spans="1:15" x14ac:dyDescent="0.2">
      <c r="A2122">
        <v>33</v>
      </c>
      <c r="B2122">
        <v>5</v>
      </c>
      <c r="C2122">
        <v>5</v>
      </c>
      <c r="D2122" s="2">
        <v>2</v>
      </c>
      <c r="E2122" s="2">
        <v>3</v>
      </c>
      <c r="F2122" s="2" t="s">
        <v>4</v>
      </c>
      <c r="G2122" s="2">
        <v>762.79999999968595</v>
      </c>
      <c r="H2122" s="2" t="s">
        <v>16</v>
      </c>
      <c r="I2122" s="2">
        <v>873103.00000001502</v>
      </c>
      <c r="J2122" s="2">
        <v>3000</v>
      </c>
      <c r="K2122" s="2">
        <v>20</v>
      </c>
      <c r="L2122" s="2">
        <v>0</v>
      </c>
      <c r="M2122" s="2">
        <v>369987.61</v>
      </c>
      <c r="N2122">
        <f t="shared" si="42"/>
        <v>1243853.4100000146</v>
      </c>
      <c r="O2122" s="9" t="s">
        <v>4</v>
      </c>
    </row>
    <row r="2123" spans="1:15" x14ac:dyDescent="0.2">
      <c r="A2123">
        <v>34</v>
      </c>
      <c r="B2123">
        <v>5</v>
      </c>
      <c r="C2123">
        <v>5</v>
      </c>
      <c r="D2123" s="2">
        <v>2</v>
      </c>
      <c r="E2123" s="2">
        <v>1</v>
      </c>
      <c r="F2123" s="2" t="s">
        <v>4</v>
      </c>
      <c r="G2123" s="2">
        <v>563.600000000264</v>
      </c>
      <c r="H2123" s="2" t="s">
        <v>16</v>
      </c>
      <c r="I2123" s="2">
        <v>344550.00000002701</v>
      </c>
      <c r="J2123" s="2">
        <v>3000</v>
      </c>
      <c r="K2123" s="2">
        <v>20</v>
      </c>
      <c r="L2123" s="2">
        <v>0</v>
      </c>
      <c r="M2123" s="2">
        <v>380309.21</v>
      </c>
      <c r="N2123">
        <f t="shared" si="42"/>
        <v>725422.8100000273</v>
      </c>
      <c r="O2123" s="9" t="s">
        <v>4</v>
      </c>
    </row>
    <row r="2124" spans="1:15" x14ac:dyDescent="0.2">
      <c r="A2124">
        <v>35</v>
      </c>
      <c r="B2124">
        <v>5</v>
      </c>
      <c r="C2124">
        <v>6</v>
      </c>
      <c r="D2124" s="2">
        <v>2</v>
      </c>
      <c r="E2124" s="2">
        <v>1</v>
      </c>
      <c r="F2124" s="2" t="s">
        <v>4</v>
      </c>
      <c r="G2124" s="2">
        <v>467.000000000439</v>
      </c>
      <c r="H2124" s="2" t="s">
        <v>16</v>
      </c>
      <c r="I2124" s="2">
        <v>1064708.99999999</v>
      </c>
      <c r="J2124" s="2">
        <v>3000</v>
      </c>
      <c r="K2124" s="2">
        <v>20</v>
      </c>
      <c r="L2124" s="2">
        <v>0</v>
      </c>
      <c r="M2124" s="2">
        <v>368788.01</v>
      </c>
      <c r="N2124">
        <f t="shared" si="42"/>
        <v>1433964.0099999905</v>
      </c>
      <c r="O2124" s="9" t="s">
        <v>4</v>
      </c>
    </row>
    <row r="2125" spans="1:15" x14ac:dyDescent="0.2">
      <c r="A2125">
        <v>36</v>
      </c>
      <c r="B2125">
        <v>5</v>
      </c>
      <c r="C2125">
        <v>6</v>
      </c>
      <c r="D2125" s="2">
        <v>2</v>
      </c>
      <c r="E2125" s="2">
        <v>2</v>
      </c>
      <c r="F2125" s="2" t="s">
        <v>4</v>
      </c>
      <c r="G2125" s="2">
        <v>432.59999999953902</v>
      </c>
      <c r="H2125" s="2" t="s">
        <v>16</v>
      </c>
      <c r="I2125" s="2">
        <v>657116.99999997101</v>
      </c>
      <c r="J2125" s="2">
        <v>3000</v>
      </c>
      <c r="K2125" s="2">
        <v>20</v>
      </c>
      <c r="L2125" s="2">
        <v>0</v>
      </c>
      <c r="M2125" s="2">
        <v>382108.81</v>
      </c>
      <c r="N2125">
        <f t="shared" si="42"/>
        <v>1039658.4099999706</v>
      </c>
      <c r="O2125" s="9" t="s">
        <v>4</v>
      </c>
    </row>
    <row r="2126" spans="1:15" x14ac:dyDescent="0.2">
      <c r="A2126">
        <v>37</v>
      </c>
      <c r="B2126">
        <v>5</v>
      </c>
      <c r="C2126">
        <v>6</v>
      </c>
      <c r="D2126" s="2">
        <v>2</v>
      </c>
      <c r="E2126" s="2">
        <v>3</v>
      </c>
      <c r="F2126" s="2" t="s">
        <v>4</v>
      </c>
      <c r="G2126" s="2">
        <v>535.40000000005296</v>
      </c>
      <c r="H2126" s="2" t="s">
        <v>16</v>
      </c>
      <c r="I2126" s="2">
        <v>638085.99999998696</v>
      </c>
      <c r="J2126" s="2">
        <v>3000</v>
      </c>
      <c r="K2126" s="2">
        <v>20</v>
      </c>
      <c r="L2126" s="2">
        <v>0</v>
      </c>
      <c r="M2126" s="2">
        <v>276387.21000000002</v>
      </c>
      <c r="N2126">
        <f t="shared" si="42"/>
        <v>915008.60999998706</v>
      </c>
      <c r="O2126" s="9" t="s">
        <v>4</v>
      </c>
    </row>
    <row r="2127" spans="1:15" x14ac:dyDescent="0.2">
      <c r="A2127">
        <v>38</v>
      </c>
      <c r="B2127">
        <v>5</v>
      </c>
      <c r="C2127">
        <v>6</v>
      </c>
      <c r="D2127" s="2">
        <v>2</v>
      </c>
      <c r="E2127" s="2">
        <v>1</v>
      </c>
      <c r="F2127" s="2" t="s">
        <v>4</v>
      </c>
      <c r="G2127" s="2">
        <v>394.79999999976201</v>
      </c>
      <c r="H2127" s="2" t="s">
        <v>16</v>
      </c>
      <c r="I2127" s="2">
        <v>402707.00000002101</v>
      </c>
      <c r="J2127" s="2">
        <v>3000</v>
      </c>
      <c r="K2127" s="2">
        <v>20</v>
      </c>
      <c r="L2127" s="2">
        <v>0</v>
      </c>
      <c r="M2127" s="2">
        <v>274108.01</v>
      </c>
      <c r="N2127">
        <f t="shared" si="42"/>
        <v>677209.81000002078</v>
      </c>
      <c r="O2127" s="9" t="s">
        <v>4</v>
      </c>
    </row>
    <row r="2128" spans="1:15" x14ac:dyDescent="0.2">
      <c r="A2128">
        <v>39</v>
      </c>
      <c r="B2128">
        <v>5</v>
      </c>
      <c r="C2128">
        <v>7</v>
      </c>
      <c r="D2128" s="2">
        <v>2</v>
      </c>
      <c r="E2128" s="2">
        <v>1</v>
      </c>
      <c r="F2128" s="2" t="s">
        <v>4</v>
      </c>
      <c r="G2128" s="2">
        <v>470.600000000232</v>
      </c>
      <c r="H2128" s="2" t="s">
        <v>16</v>
      </c>
      <c r="I2128" s="2">
        <v>1193374.00000001</v>
      </c>
      <c r="J2128" s="2">
        <v>3000</v>
      </c>
      <c r="K2128" s="2">
        <v>20</v>
      </c>
      <c r="L2128" s="2">
        <v>0</v>
      </c>
      <c r="M2128" s="2">
        <v>366148.01</v>
      </c>
      <c r="N2128">
        <f t="shared" si="42"/>
        <v>1559992.6100000103</v>
      </c>
      <c r="O2128" s="9" t="s">
        <v>4</v>
      </c>
    </row>
    <row r="2129" spans="1:15" x14ac:dyDescent="0.2">
      <c r="A2129">
        <v>40</v>
      </c>
      <c r="B2129">
        <v>5</v>
      </c>
      <c r="C2129">
        <v>7</v>
      </c>
      <c r="D2129" s="2">
        <v>2</v>
      </c>
      <c r="E2129" s="2">
        <v>2</v>
      </c>
      <c r="F2129" s="2" t="s">
        <v>4</v>
      </c>
      <c r="G2129" s="2">
        <v>455.20000000074401</v>
      </c>
      <c r="H2129" s="2" t="s">
        <v>16</v>
      </c>
      <c r="I2129" s="2">
        <v>517399.00000001199</v>
      </c>
      <c r="J2129" s="2">
        <v>3000</v>
      </c>
      <c r="K2129" s="2">
        <v>20</v>
      </c>
      <c r="L2129" s="2">
        <v>0</v>
      </c>
      <c r="M2129" s="2">
        <v>355108.01</v>
      </c>
      <c r="N2129">
        <f t="shared" si="42"/>
        <v>872962.21000001277</v>
      </c>
      <c r="O2129" s="9" t="s">
        <v>4</v>
      </c>
    </row>
    <row r="2130" spans="1:15" x14ac:dyDescent="0.2">
      <c r="A2130">
        <v>41</v>
      </c>
      <c r="B2130">
        <v>5</v>
      </c>
      <c r="C2130">
        <v>7</v>
      </c>
      <c r="D2130" s="2">
        <v>2</v>
      </c>
      <c r="E2130" s="2">
        <v>3</v>
      </c>
      <c r="F2130" s="2" t="s">
        <v>4</v>
      </c>
      <c r="G2130" s="2">
        <v>556.20000000047298</v>
      </c>
      <c r="H2130" s="2" t="s">
        <v>16</v>
      </c>
      <c r="I2130" s="2">
        <v>1178815.99999998</v>
      </c>
      <c r="J2130" s="2">
        <v>3000</v>
      </c>
      <c r="K2130" s="2">
        <v>20</v>
      </c>
      <c r="L2130" s="2">
        <v>0</v>
      </c>
      <c r="M2130" s="2">
        <v>353427.21</v>
      </c>
      <c r="N2130">
        <f t="shared" si="42"/>
        <v>1532799.4099999804</v>
      </c>
      <c r="O2130" s="9" t="s">
        <v>4</v>
      </c>
    </row>
    <row r="2131" spans="1:15" x14ac:dyDescent="0.2">
      <c r="A2131">
        <v>42</v>
      </c>
      <c r="B2131">
        <v>5</v>
      </c>
      <c r="C2131">
        <v>4</v>
      </c>
      <c r="D2131" s="2">
        <v>2</v>
      </c>
      <c r="E2131" s="2">
        <v>1</v>
      </c>
      <c r="F2131" s="2" t="s">
        <v>4</v>
      </c>
      <c r="G2131" s="2">
        <v>288.80000000022198</v>
      </c>
      <c r="H2131" s="2" t="s">
        <v>16</v>
      </c>
      <c r="I2131" s="2">
        <v>190006.99999998001</v>
      </c>
      <c r="J2131" s="2">
        <v>3000</v>
      </c>
      <c r="K2131" s="2">
        <v>20</v>
      </c>
      <c r="L2131" s="2">
        <v>0</v>
      </c>
      <c r="M2131" s="2">
        <v>272307.61</v>
      </c>
      <c r="N2131">
        <f t="shared" si="42"/>
        <v>462603.40999998024</v>
      </c>
      <c r="O2131" s="9" t="s">
        <v>4</v>
      </c>
    </row>
    <row r="2132" spans="1:15" x14ac:dyDescent="0.2">
      <c r="A2132">
        <v>43</v>
      </c>
      <c r="B2132">
        <v>5</v>
      </c>
      <c r="C2132">
        <v>5</v>
      </c>
      <c r="D2132" s="2">
        <v>2</v>
      </c>
      <c r="E2132" s="2">
        <v>1</v>
      </c>
      <c r="F2132" s="2" t="s">
        <v>4</v>
      </c>
      <c r="G2132" s="2">
        <v>340.19999999976801</v>
      </c>
      <c r="H2132" s="2" t="s">
        <v>16</v>
      </c>
      <c r="I2132" s="2">
        <v>342902.999999978</v>
      </c>
      <c r="J2132" s="2">
        <v>3000</v>
      </c>
      <c r="K2132" s="2">
        <v>20</v>
      </c>
      <c r="L2132" s="2">
        <v>0</v>
      </c>
      <c r="M2132" s="2">
        <v>274708.01</v>
      </c>
      <c r="N2132">
        <f t="shared" si="42"/>
        <v>617951.20999997784</v>
      </c>
      <c r="O2132" s="9" t="s">
        <v>4</v>
      </c>
    </row>
    <row r="2133" spans="1:15" x14ac:dyDescent="0.2">
      <c r="A2133">
        <v>44</v>
      </c>
      <c r="B2133">
        <v>5</v>
      </c>
      <c r="C2133">
        <v>5</v>
      </c>
      <c r="D2133" s="2">
        <v>2</v>
      </c>
      <c r="E2133" s="2">
        <v>2</v>
      </c>
      <c r="F2133" s="2" t="s">
        <v>4</v>
      </c>
      <c r="G2133" s="2">
        <v>325.80000000024302</v>
      </c>
      <c r="H2133" s="2" t="s">
        <v>16</v>
      </c>
      <c r="I2133" s="2">
        <v>548630.00000000303</v>
      </c>
      <c r="J2133" s="2">
        <v>3000</v>
      </c>
      <c r="K2133" s="2">
        <v>20</v>
      </c>
      <c r="L2133" s="2">
        <v>0</v>
      </c>
      <c r="M2133" s="2">
        <v>367827.61</v>
      </c>
      <c r="N2133">
        <f t="shared" si="42"/>
        <v>916783.41000000329</v>
      </c>
      <c r="O2133" s="9" t="s">
        <v>4</v>
      </c>
    </row>
    <row r="2134" spans="1:15" x14ac:dyDescent="0.2">
      <c r="A2134">
        <v>45</v>
      </c>
      <c r="B2134">
        <v>5</v>
      </c>
      <c r="C2134">
        <v>5</v>
      </c>
      <c r="D2134" s="2">
        <v>2</v>
      </c>
      <c r="E2134" s="2">
        <v>3</v>
      </c>
      <c r="F2134" s="2" t="s">
        <v>4</v>
      </c>
      <c r="G2134" s="2">
        <v>420.79999999948802</v>
      </c>
      <c r="H2134" s="2" t="s">
        <v>16</v>
      </c>
      <c r="I2134" s="2">
        <v>490144.99999998399</v>
      </c>
      <c r="J2134" s="2">
        <v>3000</v>
      </c>
      <c r="K2134" s="2">
        <v>20</v>
      </c>
      <c r="L2134" s="2">
        <v>0</v>
      </c>
      <c r="M2134" s="2">
        <v>352827.61</v>
      </c>
      <c r="N2134">
        <f t="shared" si="42"/>
        <v>843393.40999998339</v>
      </c>
      <c r="O2134" s="9" t="s">
        <v>4</v>
      </c>
    </row>
    <row r="2135" spans="1:15" x14ac:dyDescent="0.2">
      <c r="A2135">
        <v>46</v>
      </c>
      <c r="B2135">
        <v>5</v>
      </c>
      <c r="C2135">
        <v>6</v>
      </c>
      <c r="D2135" s="2">
        <v>2</v>
      </c>
      <c r="E2135" s="2">
        <v>1</v>
      </c>
      <c r="F2135" s="2" t="s">
        <v>4</v>
      </c>
      <c r="G2135" s="2">
        <v>431.79999999978202</v>
      </c>
      <c r="H2135" s="2" t="s">
        <v>16</v>
      </c>
      <c r="I2135" s="2">
        <v>886569.00000000896</v>
      </c>
      <c r="J2135" s="2">
        <v>3000</v>
      </c>
      <c r="K2135" s="2">
        <v>20</v>
      </c>
      <c r="L2135" s="2">
        <v>0</v>
      </c>
      <c r="M2135" s="2">
        <v>369748.01</v>
      </c>
      <c r="N2135">
        <f t="shared" si="42"/>
        <v>1256748.8100000089</v>
      </c>
      <c r="O2135" s="9" t="s">
        <v>4</v>
      </c>
    </row>
    <row r="2136" spans="1:15" x14ac:dyDescent="0.2">
      <c r="A2136">
        <v>47</v>
      </c>
      <c r="B2136">
        <v>5</v>
      </c>
      <c r="C2136">
        <v>6</v>
      </c>
      <c r="D2136" s="2">
        <v>2</v>
      </c>
      <c r="E2136" s="2">
        <v>2</v>
      </c>
      <c r="F2136" s="2" t="s">
        <v>4</v>
      </c>
      <c r="G2136" s="2">
        <v>392.80000000019299</v>
      </c>
      <c r="H2136" s="2" t="s">
        <v>16</v>
      </c>
      <c r="I2136" s="2">
        <v>289421.00000000402</v>
      </c>
      <c r="J2136" s="2">
        <v>3000</v>
      </c>
      <c r="K2136" s="2">
        <v>20</v>
      </c>
      <c r="L2136" s="2">
        <v>0</v>
      </c>
      <c r="M2136" s="2">
        <v>271827.21000000002</v>
      </c>
      <c r="N2136">
        <f t="shared" si="42"/>
        <v>561641.0100000042</v>
      </c>
      <c r="O2136" s="9" t="s">
        <v>4</v>
      </c>
    </row>
    <row r="2137" spans="1:15" x14ac:dyDescent="0.2">
      <c r="A2137">
        <v>48</v>
      </c>
      <c r="B2137">
        <v>5</v>
      </c>
      <c r="C2137">
        <v>6</v>
      </c>
      <c r="D2137" s="2">
        <v>2</v>
      </c>
      <c r="E2137" s="2">
        <v>3</v>
      </c>
      <c r="F2137" s="2" t="s">
        <v>4</v>
      </c>
      <c r="G2137" s="2">
        <v>479.99999999994702</v>
      </c>
      <c r="H2137" s="2" t="s">
        <v>16</v>
      </c>
      <c r="I2137" s="2">
        <v>752868.00000003504</v>
      </c>
      <c r="J2137" s="2">
        <v>3000</v>
      </c>
      <c r="K2137" s="2">
        <v>20</v>
      </c>
      <c r="L2137" s="2">
        <v>0</v>
      </c>
      <c r="M2137" s="2">
        <v>357027.61</v>
      </c>
      <c r="N2137">
        <f t="shared" si="42"/>
        <v>1110375.610000035</v>
      </c>
      <c r="O2137" s="9" t="s">
        <v>4</v>
      </c>
    </row>
    <row r="2138" spans="1:15" x14ac:dyDescent="0.2">
      <c r="A2138">
        <v>49</v>
      </c>
      <c r="B2138">
        <v>5</v>
      </c>
      <c r="C2138">
        <v>6</v>
      </c>
      <c r="D2138" s="2">
        <v>2</v>
      </c>
      <c r="E2138" s="2">
        <v>1</v>
      </c>
      <c r="F2138" s="2" t="s">
        <v>4</v>
      </c>
      <c r="G2138" s="2">
        <v>379.40000000027402</v>
      </c>
      <c r="H2138" s="2" t="s">
        <v>16</v>
      </c>
      <c r="I2138" s="2">
        <v>862047.00000001804</v>
      </c>
      <c r="J2138" s="2">
        <v>3000</v>
      </c>
      <c r="K2138" s="2">
        <v>20</v>
      </c>
      <c r="L2138" s="2">
        <v>0</v>
      </c>
      <c r="M2138" s="2">
        <v>315028.01</v>
      </c>
      <c r="N2138">
        <f t="shared" si="42"/>
        <v>1177454.4100000183</v>
      </c>
      <c r="O2138" s="9" t="s">
        <v>4</v>
      </c>
    </row>
    <row r="2139" spans="1:15" x14ac:dyDescent="0.2">
      <c r="A2139">
        <v>50</v>
      </c>
      <c r="B2139">
        <v>5</v>
      </c>
      <c r="C2139">
        <v>6</v>
      </c>
      <c r="D2139" s="2">
        <v>2</v>
      </c>
      <c r="E2139" s="2">
        <v>2</v>
      </c>
      <c r="F2139" s="2" t="s">
        <v>4</v>
      </c>
      <c r="G2139" s="2">
        <v>387.60000000017698</v>
      </c>
      <c r="H2139" s="2" t="s">
        <v>16</v>
      </c>
      <c r="I2139" s="2">
        <v>510372.99999995902</v>
      </c>
      <c r="J2139" s="2">
        <v>3000</v>
      </c>
      <c r="K2139" s="2">
        <v>20</v>
      </c>
      <c r="L2139" s="2">
        <v>0</v>
      </c>
      <c r="M2139" s="2">
        <v>377067.61</v>
      </c>
      <c r="N2139">
        <f t="shared" si="42"/>
        <v>887828.20999995922</v>
      </c>
      <c r="O2139" s="9" t="s">
        <v>4</v>
      </c>
    </row>
    <row r="2140" spans="1:15" x14ac:dyDescent="0.2">
      <c r="A2140">
        <v>51</v>
      </c>
      <c r="B2140">
        <v>5</v>
      </c>
      <c r="C2140">
        <v>6</v>
      </c>
      <c r="D2140" s="2">
        <v>2</v>
      </c>
      <c r="E2140" s="2">
        <v>3</v>
      </c>
      <c r="F2140" s="2" t="s">
        <v>4</v>
      </c>
      <c r="G2140" s="2">
        <v>476.39999999944399</v>
      </c>
      <c r="H2140" s="2" t="s">
        <v>16</v>
      </c>
      <c r="I2140" s="2">
        <v>1073153.99999999</v>
      </c>
      <c r="J2140" s="2">
        <v>3000</v>
      </c>
      <c r="K2140" s="2">
        <v>20</v>
      </c>
      <c r="L2140" s="2">
        <v>0</v>
      </c>
      <c r="M2140" s="2">
        <v>384867.21</v>
      </c>
      <c r="N2140">
        <f t="shared" si="42"/>
        <v>1458497.6099999894</v>
      </c>
      <c r="O2140" s="9" t="s">
        <v>4</v>
      </c>
    </row>
    <row r="2141" spans="1:15" x14ac:dyDescent="0.2">
      <c r="A2141">
        <v>52</v>
      </c>
      <c r="B2141">
        <v>5</v>
      </c>
      <c r="C2141">
        <v>7</v>
      </c>
      <c r="D2141" s="2">
        <v>2</v>
      </c>
      <c r="E2141" s="2">
        <v>1</v>
      </c>
      <c r="F2141" s="2" t="s">
        <v>4</v>
      </c>
      <c r="G2141" s="2">
        <v>407.79999999998</v>
      </c>
      <c r="H2141" s="2" t="s">
        <v>16</v>
      </c>
      <c r="I2141" s="2">
        <v>757241.000000022</v>
      </c>
      <c r="J2141" s="2">
        <v>3000</v>
      </c>
      <c r="K2141" s="2">
        <v>20</v>
      </c>
      <c r="L2141" s="2">
        <v>0</v>
      </c>
      <c r="M2141" s="2">
        <v>361348.41</v>
      </c>
      <c r="N2141">
        <f t="shared" si="42"/>
        <v>1118997.2100000218</v>
      </c>
      <c r="O2141" s="9" t="s">
        <v>4</v>
      </c>
    </row>
    <row r="2142" spans="1:15" x14ac:dyDescent="0.2">
      <c r="A2142">
        <v>53</v>
      </c>
      <c r="B2142">
        <v>5</v>
      </c>
      <c r="C2142">
        <v>7</v>
      </c>
      <c r="D2142" s="2">
        <v>2</v>
      </c>
      <c r="E2142" s="2">
        <v>2</v>
      </c>
      <c r="F2142" s="2" t="s">
        <v>4</v>
      </c>
      <c r="G2142" s="2">
        <v>396.99999999953701</v>
      </c>
      <c r="H2142" s="2" t="s">
        <v>16</v>
      </c>
      <c r="I2142" s="2">
        <v>929575.99999999697</v>
      </c>
      <c r="J2142" s="2">
        <v>3000</v>
      </c>
      <c r="K2142" s="2">
        <v>20</v>
      </c>
      <c r="L2142" s="2">
        <v>0</v>
      </c>
      <c r="M2142" s="2">
        <v>373947.61</v>
      </c>
      <c r="N2142">
        <f t="shared" si="42"/>
        <v>1303920.6099999966</v>
      </c>
      <c r="O2142" s="9" t="s">
        <v>4</v>
      </c>
    </row>
    <row r="2143" spans="1:15" x14ac:dyDescent="0.2">
      <c r="A2143">
        <v>54</v>
      </c>
      <c r="B2143">
        <v>5</v>
      </c>
      <c r="C2143">
        <v>7</v>
      </c>
      <c r="D2143" s="2">
        <v>2</v>
      </c>
      <c r="E2143" s="2">
        <v>3</v>
      </c>
      <c r="F2143" s="2" t="s">
        <v>4</v>
      </c>
      <c r="G2143" s="2">
        <v>497.99999999997601</v>
      </c>
      <c r="H2143" s="2" t="s">
        <v>16</v>
      </c>
      <c r="I2143" s="2">
        <v>1425852.99999996</v>
      </c>
      <c r="J2143" s="2">
        <v>3000</v>
      </c>
      <c r="K2143" s="2">
        <v>20</v>
      </c>
      <c r="L2143" s="2">
        <v>0</v>
      </c>
      <c r="M2143" s="2">
        <v>350187.21</v>
      </c>
      <c r="N2143">
        <f t="shared" si="42"/>
        <v>1776538.2099999599</v>
      </c>
      <c r="O2143" s="9" t="s">
        <v>4</v>
      </c>
    </row>
    <row r="2144" spans="1:15" x14ac:dyDescent="0.2">
      <c r="A2144">
        <v>55</v>
      </c>
      <c r="B2144">
        <v>5</v>
      </c>
      <c r="C2144">
        <v>5</v>
      </c>
      <c r="D2144" s="2">
        <v>2</v>
      </c>
      <c r="E2144" s="2">
        <v>1</v>
      </c>
      <c r="F2144" s="2" t="s">
        <v>4</v>
      </c>
      <c r="G2144" s="2">
        <v>289.40000000012799</v>
      </c>
      <c r="H2144" s="2" t="s">
        <v>16</v>
      </c>
      <c r="I2144" s="2">
        <v>330494.99999998498</v>
      </c>
      <c r="J2144" s="2">
        <v>3000</v>
      </c>
      <c r="K2144" s="2">
        <v>20</v>
      </c>
      <c r="L2144" s="2">
        <v>0</v>
      </c>
      <c r="M2144" s="2">
        <v>273507.21000000002</v>
      </c>
      <c r="N2144">
        <f t="shared" si="42"/>
        <v>604291.6099999852</v>
      </c>
      <c r="O2144" s="9" t="s">
        <v>4</v>
      </c>
    </row>
    <row r="2145" spans="1:15" x14ac:dyDescent="0.2">
      <c r="A2145">
        <v>56</v>
      </c>
      <c r="B2145">
        <v>5</v>
      </c>
      <c r="C2145">
        <v>5</v>
      </c>
      <c r="D2145" s="2">
        <v>2</v>
      </c>
      <c r="E2145" s="2">
        <v>2</v>
      </c>
      <c r="F2145" s="2" t="s">
        <v>4</v>
      </c>
      <c r="G2145" s="2">
        <v>287.00000000014802</v>
      </c>
      <c r="H2145" s="2" t="s">
        <v>16</v>
      </c>
      <c r="I2145" s="2">
        <v>437728.99999998999</v>
      </c>
      <c r="J2145" s="2">
        <v>3000</v>
      </c>
      <c r="K2145" s="2">
        <v>20</v>
      </c>
      <c r="L2145" s="2">
        <v>0</v>
      </c>
      <c r="M2145" s="2">
        <v>269307.61</v>
      </c>
      <c r="N2145">
        <f t="shared" si="42"/>
        <v>707323.60999999009</v>
      </c>
      <c r="O2145" s="9" t="s">
        <v>4</v>
      </c>
    </row>
    <row r="2146" spans="1:15" x14ac:dyDescent="0.2">
      <c r="A2146">
        <v>57</v>
      </c>
      <c r="B2146">
        <v>5</v>
      </c>
      <c r="C2146">
        <v>5</v>
      </c>
      <c r="D2146" s="2">
        <v>2</v>
      </c>
      <c r="E2146" s="2">
        <v>3</v>
      </c>
      <c r="F2146" s="2" t="s">
        <v>4</v>
      </c>
      <c r="G2146" s="2">
        <v>362.39999999949703</v>
      </c>
      <c r="H2146" s="2" t="s">
        <v>16</v>
      </c>
      <c r="I2146" s="2">
        <v>461844.999999983</v>
      </c>
      <c r="J2146" s="2">
        <v>3000</v>
      </c>
      <c r="K2146" s="2">
        <v>20</v>
      </c>
      <c r="L2146" s="2">
        <v>0</v>
      </c>
      <c r="M2146" s="2">
        <v>319108.01</v>
      </c>
      <c r="N2146">
        <f t="shared" si="42"/>
        <v>781315.40999998245</v>
      </c>
      <c r="O2146" s="9" t="s">
        <v>4</v>
      </c>
    </row>
    <row r="2147" spans="1:15" x14ac:dyDescent="0.2">
      <c r="A2147">
        <v>58</v>
      </c>
      <c r="B2147">
        <v>5</v>
      </c>
      <c r="C2147">
        <v>6</v>
      </c>
      <c r="D2147" s="2">
        <v>2</v>
      </c>
      <c r="E2147" s="2">
        <v>1</v>
      </c>
      <c r="F2147" s="2" t="s">
        <v>4</v>
      </c>
      <c r="G2147" s="2">
        <v>340.79999999967498</v>
      </c>
      <c r="H2147" s="2" t="s">
        <v>16</v>
      </c>
      <c r="I2147" s="2">
        <v>736719.00000005099</v>
      </c>
      <c r="J2147" s="2">
        <v>3000</v>
      </c>
      <c r="K2147" s="2">
        <v>20</v>
      </c>
      <c r="L2147" s="2">
        <v>0</v>
      </c>
      <c r="M2147" s="2">
        <v>363027.61</v>
      </c>
      <c r="N2147">
        <f t="shared" si="42"/>
        <v>1100087.4100000507</v>
      </c>
      <c r="O2147" s="9" t="s">
        <v>4</v>
      </c>
    </row>
    <row r="2148" spans="1:15" x14ac:dyDescent="0.2">
      <c r="A2148">
        <v>59</v>
      </c>
      <c r="B2148">
        <v>5</v>
      </c>
      <c r="C2148">
        <v>6</v>
      </c>
      <c r="D2148" s="2">
        <v>2</v>
      </c>
      <c r="E2148" s="2">
        <v>2</v>
      </c>
      <c r="F2148" s="2" t="s">
        <v>4</v>
      </c>
      <c r="G2148" s="2">
        <v>334.19999999999601</v>
      </c>
      <c r="H2148" s="2" t="s">
        <v>16</v>
      </c>
      <c r="I2148" s="2">
        <v>494259</v>
      </c>
      <c r="J2148" s="2">
        <v>3000</v>
      </c>
      <c r="K2148" s="2">
        <v>20</v>
      </c>
      <c r="L2148" s="2">
        <v>0</v>
      </c>
      <c r="M2148" s="2">
        <v>378628.81</v>
      </c>
      <c r="N2148">
        <f t="shared" si="42"/>
        <v>873222.01</v>
      </c>
      <c r="O2148" s="9" t="s">
        <v>4</v>
      </c>
    </row>
    <row r="2149" spans="1:15" x14ac:dyDescent="0.2">
      <c r="A2149">
        <v>60</v>
      </c>
      <c r="B2149">
        <v>5</v>
      </c>
      <c r="C2149">
        <v>6</v>
      </c>
      <c r="D2149" s="2">
        <v>2</v>
      </c>
      <c r="E2149" s="2">
        <v>3</v>
      </c>
      <c r="F2149" s="2" t="s">
        <v>4</v>
      </c>
      <c r="G2149" s="2">
        <v>401.39999999979602</v>
      </c>
      <c r="H2149" s="2" t="s">
        <v>16</v>
      </c>
      <c r="I2149" s="2">
        <v>678708.99999996903</v>
      </c>
      <c r="J2149" s="2">
        <v>3000</v>
      </c>
      <c r="K2149" s="2">
        <v>20</v>
      </c>
      <c r="L2149" s="2">
        <v>0</v>
      </c>
      <c r="M2149" s="2">
        <v>372508.81</v>
      </c>
      <c r="N2149">
        <f t="shared" si="42"/>
        <v>1051619.2099999688</v>
      </c>
      <c r="O2149" s="9" t="s">
        <v>4</v>
      </c>
    </row>
    <row r="2150" spans="1:15" x14ac:dyDescent="0.2">
      <c r="A2150">
        <v>61</v>
      </c>
      <c r="B2150">
        <v>5</v>
      </c>
      <c r="C2150">
        <v>7</v>
      </c>
      <c r="D2150" s="2">
        <v>2</v>
      </c>
      <c r="E2150" s="2">
        <v>1</v>
      </c>
      <c r="F2150" s="2" t="s">
        <v>4</v>
      </c>
      <c r="G2150" s="2">
        <v>364.79999999983198</v>
      </c>
      <c r="H2150" s="2" t="s">
        <v>16</v>
      </c>
      <c r="I2150" s="2">
        <v>900666.99999999895</v>
      </c>
      <c r="J2150" s="2">
        <v>3000</v>
      </c>
      <c r="K2150" s="2">
        <v>20</v>
      </c>
      <c r="L2150" s="2">
        <v>0</v>
      </c>
      <c r="M2150" s="2">
        <v>366507.61</v>
      </c>
      <c r="N2150">
        <f t="shared" si="42"/>
        <v>1267539.4099999988</v>
      </c>
      <c r="O2150" s="9" t="s">
        <v>4</v>
      </c>
    </row>
    <row r="2151" spans="1:15" x14ac:dyDescent="0.2">
      <c r="A2151">
        <v>62</v>
      </c>
      <c r="B2151">
        <v>5</v>
      </c>
      <c r="C2151">
        <v>7</v>
      </c>
      <c r="D2151" s="2">
        <v>2</v>
      </c>
      <c r="E2151" s="2">
        <v>2</v>
      </c>
      <c r="F2151" s="2" t="s">
        <v>4</v>
      </c>
      <c r="G2151" s="2">
        <v>382.79999999950599</v>
      </c>
      <c r="H2151" s="2" t="s">
        <v>16</v>
      </c>
      <c r="I2151" s="2">
        <v>843414.99999999302</v>
      </c>
      <c r="J2151" s="2">
        <v>3000</v>
      </c>
      <c r="K2151" s="2">
        <v>20</v>
      </c>
      <c r="L2151" s="2">
        <v>0</v>
      </c>
      <c r="M2151" s="2">
        <v>315507.61</v>
      </c>
      <c r="N2151">
        <f t="shared" si="42"/>
        <v>1159305.4099999925</v>
      </c>
      <c r="O2151" s="9" t="s">
        <v>4</v>
      </c>
    </row>
    <row r="2152" spans="1:15" x14ac:dyDescent="0.2">
      <c r="A2152">
        <v>63</v>
      </c>
      <c r="B2152">
        <v>5</v>
      </c>
      <c r="C2152">
        <v>7</v>
      </c>
      <c r="D2152" s="2">
        <v>2</v>
      </c>
      <c r="E2152" s="2">
        <v>3</v>
      </c>
      <c r="F2152" s="2" t="s">
        <v>4</v>
      </c>
      <c r="G2152" s="2">
        <v>469.999999999615</v>
      </c>
      <c r="H2152" s="2" t="s">
        <v>16</v>
      </c>
      <c r="I2152" s="2">
        <v>1507850.99999996</v>
      </c>
      <c r="J2152" s="2">
        <v>3000</v>
      </c>
      <c r="K2152" s="2">
        <v>20</v>
      </c>
      <c r="L2152" s="2">
        <v>0</v>
      </c>
      <c r="M2152" s="2">
        <v>347787.21</v>
      </c>
      <c r="N2152">
        <f t="shared" si="42"/>
        <v>1856108.2099999595</v>
      </c>
      <c r="O2152" s="9" t="s">
        <v>4</v>
      </c>
    </row>
    <row r="2153" spans="1:15" x14ac:dyDescent="0.2">
      <c r="A2153">
        <v>64</v>
      </c>
      <c r="B2153">
        <v>5</v>
      </c>
      <c r="C2153">
        <v>8</v>
      </c>
      <c r="D2153" s="2">
        <v>2</v>
      </c>
      <c r="E2153" s="2">
        <v>1</v>
      </c>
      <c r="F2153" s="2" t="s">
        <v>4</v>
      </c>
      <c r="G2153" s="2">
        <v>408.600000000092</v>
      </c>
      <c r="H2153" s="2" t="s">
        <v>16</v>
      </c>
      <c r="I2153" s="2">
        <v>1353122.99999998</v>
      </c>
      <c r="J2153" s="2">
        <v>3000</v>
      </c>
      <c r="K2153" s="2">
        <v>20</v>
      </c>
      <c r="L2153" s="2">
        <v>0</v>
      </c>
      <c r="M2153" s="2">
        <v>352467.21</v>
      </c>
      <c r="N2153">
        <f t="shared" si="42"/>
        <v>1705998.80999998</v>
      </c>
      <c r="O2153" s="9" t="s">
        <v>4</v>
      </c>
    </row>
    <row r="2154" spans="1:15" x14ac:dyDescent="0.2">
      <c r="A2154">
        <v>65</v>
      </c>
      <c r="B2154">
        <v>5</v>
      </c>
      <c r="C2154">
        <v>8</v>
      </c>
      <c r="D2154" s="2">
        <v>2</v>
      </c>
      <c r="E2154" s="2">
        <v>2</v>
      </c>
      <c r="F2154" s="2" t="s">
        <v>4</v>
      </c>
      <c r="G2154" s="2">
        <v>427.200000000383</v>
      </c>
      <c r="H2154" s="2" t="s">
        <v>16</v>
      </c>
      <c r="I2154" s="2">
        <v>1920556.00000003</v>
      </c>
      <c r="J2154" s="2">
        <v>3000</v>
      </c>
      <c r="K2154" s="2">
        <v>20</v>
      </c>
      <c r="L2154" s="2">
        <v>0</v>
      </c>
      <c r="M2154" s="2">
        <v>312987.61</v>
      </c>
      <c r="N2154">
        <f t="shared" si="42"/>
        <v>2233970.8100000303</v>
      </c>
      <c r="O2154" s="9" t="s">
        <v>4</v>
      </c>
    </row>
    <row r="2155" spans="1:15" x14ac:dyDescent="0.2">
      <c r="A2155">
        <v>66</v>
      </c>
      <c r="B2155">
        <v>5</v>
      </c>
      <c r="C2155">
        <v>8</v>
      </c>
      <c r="D2155" s="2">
        <v>2</v>
      </c>
      <c r="E2155" s="2">
        <v>3</v>
      </c>
      <c r="F2155" s="2" t="s">
        <v>4</v>
      </c>
      <c r="G2155" s="2">
        <v>553.79999999942697</v>
      </c>
      <c r="H2155" s="2" t="s">
        <v>16</v>
      </c>
      <c r="I2155" s="2">
        <v>1980976</v>
      </c>
      <c r="J2155" s="2">
        <v>3000</v>
      </c>
      <c r="K2155" s="2">
        <v>20</v>
      </c>
      <c r="L2155" s="2">
        <v>0</v>
      </c>
      <c r="M2155" s="2">
        <v>381628.01</v>
      </c>
      <c r="N2155">
        <f t="shared" si="42"/>
        <v>2363157.8099999996</v>
      </c>
      <c r="O2155" s="9" t="s">
        <v>4</v>
      </c>
    </row>
    <row r="2156" spans="1:15" x14ac:dyDescent="0.2">
      <c r="A2156">
        <v>67</v>
      </c>
      <c r="B2156">
        <v>5</v>
      </c>
      <c r="C2156">
        <v>7</v>
      </c>
      <c r="D2156" s="2">
        <v>2</v>
      </c>
      <c r="E2156" s="2">
        <v>1</v>
      </c>
      <c r="F2156" s="2" t="s">
        <v>4</v>
      </c>
      <c r="G2156" s="2">
        <v>358.99999999990899</v>
      </c>
      <c r="H2156" s="2" t="s">
        <v>16</v>
      </c>
      <c r="I2156" s="2">
        <v>736641.00000002002</v>
      </c>
      <c r="J2156" s="2">
        <v>3000</v>
      </c>
      <c r="K2156" s="2">
        <v>20</v>
      </c>
      <c r="L2156" s="2">
        <v>0</v>
      </c>
      <c r="M2156" s="2">
        <v>343708.01</v>
      </c>
      <c r="N2156">
        <f t="shared" si="42"/>
        <v>1080708.0100000198</v>
      </c>
      <c r="O2156" s="9" t="s">
        <v>4</v>
      </c>
    </row>
    <row r="2157" spans="1:15" x14ac:dyDescent="0.2">
      <c r="A2157">
        <v>68</v>
      </c>
      <c r="B2157">
        <v>5</v>
      </c>
      <c r="C2157">
        <v>7</v>
      </c>
      <c r="D2157" s="2">
        <v>2</v>
      </c>
      <c r="E2157" s="2">
        <v>2</v>
      </c>
      <c r="F2157" s="2" t="s">
        <v>4</v>
      </c>
      <c r="G2157" s="2">
        <v>373.80000000055702</v>
      </c>
      <c r="H2157" s="2" t="s">
        <v>16</v>
      </c>
      <c r="I2157" s="2">
        <v>1227076.9999999499</v>
      </c>
      <c r="J2157" s="2">
        <v>3000</v>
      </c>
      <c r="K2157" s="2">
        <v>20</v>
      </c>
      <c r="L2157" s="2">
        <v>0</v>
      </c>
      <c r="M2157" s="2">
        <v>278426.81</v>
      </c>
      <c r="N2157">
        <f t="shared" si="42"/>
        <v>1505877.6099999505</v>
      </c>
      <c r="O2157" s="9" t="s">
        <v>4</v>
      </c>
    </row>
    <row r="2158" spans="1:15" x14ac:dyDescent="0.2">
      <c r="A2158">
        <v>69</v>
      </c>
      <c r="B2158">
        <v>5</v>
      </c>
      <c r="C2158">
        <v>7</v>
      </c>
      <c r="D2158" s="2">
        <v>2</v>
      </c>
      <c r="E2158" s="2">
        <v>3</v>
      </c>
      <c r="F2158" s="2" t="s">
        <v>4</v>
      </c>
      <c r="G2158" s="2">
        <v>458.79999999947103</v>
      </c>
      <c r="H2158" s="2" t="s">
        <v>16</v>
      </c>
      <c r="I2158" s="2">
        <v>949294.00000000896</v>
      </c>
      <c r="J2158" s="2">
        <v>3000</v>
      </c>
      <c r="K2158" s="2">
        <v>20</v>
      </c>
      <c r="L2158" s="2">
        <v>0</v>
      </c>
      <c r="M2158" s="2">
        <v>348148.41</v>
      </c>
      <c r="N2158">
        <f t="shared" si="42"/>
        <v>1297901.2100000083</v>
      </c>
      <c r="O2158" s="9" t="s">
        <v>4</v>
      </c>
    </row>
    <row r="2159" spans="1:15" x14ac:dyDescent="0.2">
      <c r="A2159">
        <v>28</v>
      </c>
      <c r="B2159">
        <v>5</v>
      </c>
      <c r="C2159">
        <v>4</v>
      </c>
      <c r="D2159" s="2">
        <v>2</v>
      </c>
      <c r="E2159" s="2">
        <v>1</v>
      </c>
      <c r="F2159" s="2" t="s">
        <v>4</v>
      </c>
      <c r="G2159" s="2">
        <v>901.80000000010796</v>
      </c>
      <c r="H2159" s="2" t="s">
        <v>16</v>
      </c>
      <c r="I2159" s="2">
        <v>226247.99999999799</v>
      </c>
      <c r="J2159" s="2">
        <v>3000</v>
      </c>
      <c r="K2159" s="2">
        <v>100</v>
      </c>
      <c r="L2159" s="2">
        <v>0</v>
      </c>
      <c r="M2159" s="2">
        <v>516147.21</v>
      </c>
      <c r="N2159">
        <f t="shared" si="42"/>
        <v>743297.00999999815</v>
      </c>
      <c r="O2159" s="2" t="s">
        <v>4</v>
      </c>
    </row>
    <row r="2160" spans="1:15" x14ac:dyDescent="0.2">
      <c r="A2160">
        <v>29</v>
      </c>
      <c r="B2160">
        <v>5</v>
      </c>
      <c r="C2160">
        <v>5</v>
      </c>
      <c r="D2160" s="2">
        <v>2</v>
      </c>
      <c r="E2160" s="2">
        <v>2</v>
      </c>
      <c r="F2160" s="2" t="s">
        <v>4</v>
      </c>
      <c r="G2160" s="2">
        <v>926.20000000032098</v>
      </c>
      <c r="H2160" s="2" t="s">
        <v>16</v>
      </c>
      <c r="I2160" s="2">
        <v>333011.99999999697</v>
      </c>
      <c r="J2160" s="2">
        <v>3000</v>
      </c>
      <c r="K2160" s="2">
        <v>100</v>
      </c>
      <c r="L2160" s="2">
        <v>0</v>
      </c>
      <c r="M2160" s="2">
        <v>613226.81000000006</v>
      </c>
      <c r="N2160">
        <f t="shared" si="42"/>
        <v>947165.00999999733</v>
      </c>
      <c r="O2160" s="2" t="s">
        <v>4</v>
      </c>
    </row>
    <row r="2161" spans="1:15" x14ac:dyDescent="0.2">
      <c r="A2161">
        <v>30</v>
      </c>
      <c r="B2161">
        <v>5</v>
      </c>
      <c r="C2161">
        <v>5</v>
      </c>
      <c r="D2161" s="2">
        <v>2</v>
      </c>
      <c r="E2161" s="2">
        <v>3</v>
      </c>
      <c r="F2161" s="2" t="s">
        <v>4</v>
      </c>
      <c r="G2161" s="2">
        <v>922.99999999951899</v>
      </c>
      <c r="H2161" s="2" t="s">
        <v>16</v>
      </c>
      <c r="I2161" s="2">
        <v>1243228.99999999</v>
      </c>
      <c r="J2161" s="2">
        <v>3000</v>
      </c>
      <c r="K2161" s="2">
        <v>100</v>
      </c>
      <c r="L2161" s="2">
        <v>0</v>
      </c>
      <c r="M2161" s="2">
        <v>534507.21</v>
      </c>
      <c r="N2161">
        <f t="shared" si="42"/>
        <v>1778659.2099999895</v>
      </c>
      <c r="O2161" s="2" t="s">
        <v>4</v>
      </c>
    </row>
    <row r="2162" spans="1:15" x14ac:dyDescent="0.2">
      <c r="A2162">
        <v>31</v>
      </c>
      <c r="B2162">
        <v>5</v>
      </c>
      <c r="C2162">
        <v>5</v>
      </c>
      <c r="D2162" s="2">
        <v>2</v>
      </c>
      <c r="E2162" s="2">
        <v>1</v>
      </c>
      <c r="F2162" s="2" t="s">
        <v>4</v>
      </c>
      <c r="G2162" s="2">
        <v>780.99999999920999</v>
      </c>
      <c r="H2162" s="2" t="s">
        <v>16</v>
      </c>
      <c r="I2162" s="2">
        <v>565414.00000003295</v>
      </c>
      <c r="J2162" s="2">
        <v>3000</v>
      </c>
      <c r="K2162" s="2">
        <v>100</v>
      </c>
      <c r="L2162" s="2">
        <v>0</v>
      </c>
      <c r="M2162" s="2">
        <v>548308.01</v>
      </c>
      <c r="N2162">
        <f t="shared" ref="N2162:N2203" si="43">G2162+I2162+M2162</f>
        <v>1114503.0100000321</v>
      </c>
      <c r="O2162" s="2" t="s">
        <v>4</v>
      </c>
    </row>
    <row r="2163" spans="1:15" x14ac:dyDescent="0.2">
      <c r="A2163">
        <v>32</v>
      </c>
      <c r="B2163">
        <v>5</v>
      </c>
      <c r="C2163">
        <v>5</v>
      </c>
      <c r="D2163" s="2">
        <v>2</v>
      </c>
      <c r="E2163" s="2">
        <v>2</v>
      </c>
      <c r="F2163" s="2" t="s">
        <v>4</v>
      </c>
      <c r="G2163" s="2">
        <v>720.199999999949</v>
      </c>
      <c r="H2163" s="2" t="s">
        <v>16</v>
      </c>
      <c r="I2163" s="2">
        <v>428542.99999999098</v>
      </c>
      <c r="J2163" s="2">
        <v>3000</v>
      </c>
      <c r="K2163" s="2">
        <v>100</v>
      </c>
      <c r="L2163" s="2">
        <v>0</v>
      </c>
      <c r="M2163" s="2">
        <v>603387.21</v>
      </c>
      <c r="N2163">
        <f t="shared" si="43"/>
        <v>1032650.4099999908</v>
      </c>
      <c r="O2163" s="2" t="s">
        <v>4</v>
      </c>
    </row>
    <row r="2164" spans="1:15" x14ac:dyDescent="0.2">
      <c r="A2164">
        <v>33</v>
      </c>
      <c r="B2164">
        <v>5</v>
      </c>
      <c r="C2164">
        <v>5</v>
      </c>
      <c r="D2164" s="2">
        <v>2</v>
      </c>
      <c r="E2164" s="2">
        <v>3</v>
      </c>
      <c r="F2164" s="2" t="s">
        <v>4</v>
      </c>
      <c r="G2164" s="2">
        <v>762.79999999968595</v>
      </c>
      <c r="H2164" s="2" t="s">
        <v>16</v>
      </c>
      <c r="I2164" s="2">
        <v>873103.00000001502</v>
      </c>
      <c r="J2164" s="2">
        <v>3000</v>
      </c>
      <c r="K2164" s="2">
        <v>100</v>
      </c>
      <c r="L2164" s="2">
        <v>0</v>
      </c>
      <c r="M2164" s="2">
        <v>609987.21</v>
      </c>
      <c r="N2164">
        <f t="shared" si="43"/>
        <v>1483853.0100000147</v>
      </c>
      <c r="O2164" s="2" t="s">
        <v>4</v>
      </c>
    </row>
    <row r="2165" spans="1:15" x14ac:dyDescent="0.2">
      <c r="A2165">
        <v>34</v>
      </c>
      <c r="B2165">
        <v>5</v>
      </c>
      <c r="C2165">
        <v>5</v>
      </c>
      <c r="D2165" s="2">
        <v>2</v>
      </c>
      <c r="E2165" s="2">
        <v>1</v>
      </c>
      <c r="F2165" s="2" t="s">
        <v>4</v>
      </c>
      <c r="G2165" s="2">
        <v>563.600000000264</v>
      </c>
      <c r="H2165" s="2" t="s">
        <v>16</v>
      </c>
      <c r="I2165" s="2">
        <v>344550.00000002701</v>
      </c>
      <c r="J2165" s="2">
        <v>3000</v>
      </c>
      <c r="K2165" s="2">
        <v>100</v>
      </c>
      <c r="L2165" s="2">
        <v>0</v>
      </c>
      <c r="M2165" s="2">
        <v>620308.81000000006</v>
      </c>
      <c r="N2165">
        <f t="shared" si="43"/>
        <v>965422.41000002739</v>
      </c>
      <c r="O2165" s="2" t="s">
        <v>4</v>
      </c>
    </row>
    <row r="2166" spans="1:15" x14ac:dyDescent="0.2">
      <c r="A2166">
        <v>35</v>
      </c>
      <c r="B2166">
        <v>5</v>
      </c>
      <c r="C2166">
        <v>6</v>
      </c>
      <c r="D2166" s="2">
        <v>2</v>
      </c>
      <c r="E2166" s="2">
        <v>1</v>
      </c>
      <c r="F2166" s="2" t="s">
        <v>4</v>
      </c>
      <c r="G2166" s="2">
        <v>467.000000000439</v>
      </c>
      <c r="H2166" s="2" t="s">
        <v>16</v>
      </c>
      <c r="I2166" s="2">
        <v>1064708.99999999</v>
      </c>
      <c r="J2166" s="2">
        <v>3000</v>
      </c>
      <c r="K2166" s="2">
        <v>100</v>
      </c>
      <c r="L2166" s="2">
        <v>0</v>
      </c>
      <c r="M2166" s="2">
        <v>608787.61</v>
      </c>
      <c r="N2166">
        <f t="shared" si="43"/>
        <v>1673963.6099999906</v>
      </c>
      <c r="O2166" s="2" t="s">
        <v>4</v>
      </c>
    </row>
    <row r="2167" spans="1:15" x14ac:dyDescent="0.2">
      <c r="A2167">
        <v>36</v>
      </c>
      <c r="B2167">
        <v>5</v>
      </c>
      <c r="C2167">
        <v>6</v>
      </c>
      <c r="D2167" s="2">
        <v>2</v>
      </c>
      <c r="E2167" s="2">
        <v>2</v>
      </c>
      <c r="F2167" s="2" t="s">
        <v>4</v>
      </c>
      <c r="G2167" s="2">
        <v>432.59999999953902</v>
      </c>
      <c r="H2167" s="2" t="s">
        <v>16</v>
      </c>
      <c r="I2167" s="2">
        <v>657116.99999997101</v>
      </c>
      <c r="J2167" s="2">
        <v>3000</v>
      </c>
      <c r="K2167" s="2">
        <v>100</v>
      </c>
      <c r="L2167" s="2">
        <v>0</v>
      </c>
      <c r="M2167" s="2">
        <v>622108.41</v>
      </c>
      <c r="N2167">
        <f t="shared" si="43"/>
        <v>1279658.0099999704</v>
      </c>
      <c r="O2167" s="2" t="s">
        <v>4</v>
      </c>
    </row>
    <row r="2168" spans="1:15" x14ac:dyDescent="0.2">
      <c r="A2168">
        <v>37</v>
      </c>
      <c r="B2168">
        <v>5</v>
      </c>
      <c r="C2168">
        <v>6</v>
      </c>
      <c r="D2168" s="2">
        <v>2</v>
      </c>
      <c r="E2168" s="2">
        <v>3</v>
      </c>
      <c r="F2168" s="2" t="s">
        <v>4</v>
      </c>
      <c r="G2168" s="2">
        <v>535.40000000005296</v>
      </c>
      <c r="H2168" s="2" t="s">
        <v>16</v>
      </c>
      <c r="I2168" s="2">
        <v>638085.99999998696</v>
      </c>
      <c r="J2168" s="2">
        <v>3000</v>
      </c>
      <c r="K2168" s="2">
        <v>100</v>
      </c>
      <c r="L2168" s="2">
        <v>0</v>
      </c>
      <c r="M2168" s="2">
        <v>516386.81</v>
      </c>
      <c r="N2168">
        <f t="shared" si="43"/>
        <v>1155008.2099999869</v>
      </c>
      <c r="O2168" s="2" t="s">
        <v>4</v>
      </c>
    </row>
    <row r="2169" spans="1:15" x14ac:dyDescent="0.2">
      <c r="A2169">
        <v>38</v>
      </c>
      <c r="B2169">
        <v>5</v>
      </c>
      <c r="C2169">
        <v>6</v>
      </c>
      <c r="D2169" s="2">
        <v>2</v>
      </c>
      <c r="E2169" s="2">
        <v>1</v>
      </c>
      <c r="F2169" s="2" t="s">
        <v>4</v>
      </c>
      <c r="G2169" s="2">
        <v>394.79999999976201</v>
      </c>
      <c r="H2169" s="2" t="s">
        <v>16</v>
      </c>
      <c r="I2169" s="2">
        <v>402707.00000002101</v>
      </c>
      <c r="J2169" s="2">
        <v>3000</v>
      </c>
      <c r="K2169" s="2">
        <v>100</v>
      </c>
      <c r="L2169" s="2">
        <v>0</v>
      </c>
      <c r="M2169" s="2">
        <v>514107.61</v>
      </c>
      <c r="N2169">
        <f t="shared" si="43"/>
        <v>917209.41000002075</v>
      </c>
      <c r="O2169" s="2" t="s">
        <v>4</v>
      </c>
    </row>
    <row r="2170" spans="1:15" x14ac:dyDescent="0.2">
      <c r="A2170">
        <v>39</v>
      </c>
      <c r="B2170">
        <v>5</v>
      </c>
      <c r="C2170">
        <v>7</v>
      </c>
      <c r="D2170" s="2">
        <v>2</v>
      </c>
      <c r="E2170" s="2">
        <v>1</v>
      </c>
      <c r="F2170" s="2" t="s">
        <v>4</v>
      </c>
      <c r="G2170" s="2">
        <v>470.600000000232</v>
      </c>
      <c r="H2170" s="2" t="s">
        <v>16</v>
      </c>
      <c r="I2170" s="2">
        <v>1193374.00000001</v>
      </c>
      <c r="J2170" s="2">
        <v>3000</v>
      </c>
      <c r="K2170" s="2">
        <v>100</v>
      </c>
      <c r="L2170" s="2">
        <v>0</v>
      </c>
      <c r="M2170" s="2">
        <v>606147.61</v>
      </c>
      <c r="N2170">
        <f t="shared" si="43"/>
        <v>1799992.2100000102</v>
      </c>
      <c r="O2170" s="2" t="s">
        <v>4</v>
      </c>
    </row>
    <row r="2171" spans="1:15" x14ac:dyDescent="0.2">
      <c r="A2171">
        <v>40</v>
      </c>
      <c r="B2171">
        <v>5</v>
      </c>
      <c r="C2171">
        <v>7</v>
      </c>
      <c r="D2171" s="2">
        <v>2</v>
      </c>
      <c r="E2171" s="2">
        <v>2</v>
      </c>
      <c r="F2171" s="2" t="s">
        <v>4</v>
      </c>
      <c r="G2171" s="2">
        <v>455.20000000074401</v>
      </c>
      <c r="H2171" s="2" t="s">
        <v>16</v>
      </c>
      <c r="I2171" s="2">
        <v>517399.00000001199</v>
      </c>
      <c r="J2171" s="2">
        <v>3000</v>
      </c>
      <c r="K2171" s="2">
        <v>100</v>
      </c>
      <c r="L2171" s="2">
        <v>0</v>
      </c>
      <c r="M2171" s="2">
        <v>595107.61</v>
      </c>
      <c r="N2171">
        <f t="shared" si="43"/>
        <v>1112961.8100000126</v>
      </c>
      <c r="O2171" s="2" t="s">
        <v>4</v>
      </c>
    </row>
    <row r="2172" spans="1:15" x14ac:dyDescent="0.2">
      <c r="A2172">
        <v>41</v>
      </c>
      <c r="B2172">
        <v>5</v>
      </c>
      <c r="C2172">
        <v>7</v>
      </c>
      <c r="D2172" s="2">
        <v>2</v>
      </c>
      <c r="E2172" s="2">
        <v>3</v>
      </c>
      <c r="F2172" s="2" t="s">
        <v>4</v>
      </c>
      <c r="G2172" s="2">
        <v>556.20000000047298</v>
      </c>
      <c r="H2172" s="2" t="s">
        <v>16</v>
      </c>
      <c r="I2172" s="2">
        <v>1178815.99999998</v>
      </c>
      <c r="J2172" s="2">
        <v>3000</v>
      </c>
      <c r="K2172" s="2">
        <v>100</v>
      </c>
      <c r="L2172" s="2">
        <v>0</v>
      </c>
      <c r="M2172" s="2">
        <v>593426.81000000006</v>
      </c>
      <c r="N2172">
        <f t="shared" si="43"/>
        <v>1772799.0099999805</v>
      </c>
      <c r="O2172" s="2" t="s">
        <v>4</v>
      </c>
    </row>
    <row r="2173" spans="1:15" x14ac:dyDescent="0.2">
      <c r="A2173">
        <v>42</v>
      </c>
      <c r="B2173">
        <v>5</v>
      </c>
      <c r="C2173">
        <v>4</v>
      </c>
      <c r="D2173" s="2">
        <v>2</v>
      </c>
      <c r="E2173" s="2">
        <v>1</v>
      </c>
      <c r="F2173" s="2" t="s">
        <v>4</v>
      </c>
      <c r="G2173" s="2">
        <v>288.80000000022198</v>
      </c>
      <c r="H2173" s="2" t="s">
        <v>16</v>
      </c>
      <c r="I2173" s="2">
        <v>190006.99999998001</v>
      </c>
      <c r="J2173" s="2">
        <v>3000</v>
      </c>
      <c r="K2173" s="2">
        <v>100</v>
      </c>
      <c r="L2173" s="2">
        <v>0</v>
      </c>
      <c r="M2173" s="2">
        <v>512307.21</v>
      </c>
      <c r="N2173">
        <f t="shared" si="43"/>
        <v>702603.00999998022</v>
      </c>
      <c r="O2173" s="2" t="s">
        <v>5</v>
      </c>
    </row>
    <row r="2174" spans="1:15" x14ac:dyDescent="0.2">
      <c r="A2174">
        <v>43</v>
      </c>
      <c r="B2174">
        <v>5</v>
      </c>
      <c r="C2174">
        <v>5</v>
      </c>
      <c r="D2174" s="2">
        <v>2</v>
      </c>
      <c r="E2174" s="2">
        <v>1</v>
      </c>
      <c r="F2174" s="2" t="s">
        <v>4</v>
      </c>
      <c r="G2174" s="2">
        <v>340.19999999976801</v>
      </c>
      <c r="H2174" s="2" t="s">
        <v>16</v>
      </c>
      <c r="I2174" s="2">
        <v>342902.999999978</v>
      </c>
      <c r="J2174" s="2">
        <v>3000</v>
      </c>
      <c r="K2174" s="2">
        <v>100</v>
      </c>
      <c r="L2174" s="2">
        <v>0</v>
      </c>
      <c r="M2174" s="2">
        <v>514707.61</v>
      </c>
      <c r="N2174">
        <f t="shared" si="43"/>
        <v>857950.8099999777</v>
      </c>
      <c r="O2174" s="2" t="s">
        <v>4</v>
      </c>
    </row>
    <row r="2175" spans="1:15" x14ac:dyDescent="0.2">
      <c r="A2175">
        <v>44</v>
      </c>
      <c r="B2175">
        <v>5</v>
      </c>
      <c r="C2175">
        <v>5</v>
      </c>
      <c r="D2175" s="2">
        <v>2</v>
      </c>
      <c r="E2175" s="2">
        <v>2</v>
      </c>
      <c r="F2175" s="2" t="s">
        <v>4</v>
      </c>
      <c r="G2175" s="2">
        <v>325.80000000024302</v>
      </c>
      <c r="H2175" s="2" t="s">
        <v>16</v>
      </c>
      <c r="I2175" s="2">
        <v>548630.00000000303</v>
      </c>
      <c r="J2175" s="2">
        <v>3000</v>
      </c>
      <c r="K2175" s="2">
        <v>100</v>
      </c>
      <c r="L2175" s="2">
        <v>0</v>
      </c>
      <c r="M2175" s="2">
        <v>607827.21</v>
      </c>
      <c r="N2175">
        <f t="shared" si="43"/>
        <v>1156783.0100000033</v>
      </c>
      <c r="O2175" s="2" t="s">
        <v>4</v>
      </c>
    </row>
    <row r="2176" spans="1:15" x14ac:dyDescent="0.2">
      <c r="A2176">
        <v>45</v>
      </c>
      <c r="B2176">
        <v>5</v>
      </c>
      <c r="C2176">
        <v>5</v>
      </c>
      <c r="D2176" s="2">
        <v>2</v>
      </c>
      <c r="E2176" s="2">
        <v>3</v>
      </c>
      <c r="F2176" s="2" t="s">
        <v>4</v>
      </c>
      <c r="G2176" s="2">
        <v>420.79999999948802</v>
      </c>
      <c r="H2176" s="2" t="s">
        <v>16</v>
      </c>
      <c r="I2176" s="2">
        <v>490144.99999998399</v>
      </c>
      <c r="J2176" s="2">
        <v>3000</v>
      </c>
      <c r="K2176" s="2">
        <v>100</v>
      </c>
      <c r="L2176" s="2">
        <v>0</v>
      </c>
      <c r="M2176" s="2">
        <v>592827.21</v>
      </c>
      <c r="N2176">
        <f t="shared" si="43"/>
        <v>1083393.0099999835</v>
      </c>
      <c r="O2176" s="2" t="s">
        <v>4</v>
      </c>
    </row>
    <row r="2177" spans="1:15" x14ac:dyDescent="0.2">
      <c r="A2177">
        <v>46</v>
      </c>
      <c r="B2177">
        <v>5</v>
      </c>
      <c r="C2177">
        <v>6</v>
      </c>
      <c r="D2177" s="2">
        <v>2</v>
      </c>
      <c r="E2177" s="2">
        <v>1</v>
      </c>
      <c r="F2177" s="2" t="s">
        <v>4</v>
      </c>
      <c r="G2177" s="2">
        <v>431.79999999978202</v>
      </c>
      <c r="H2177" s="2" t="s">
        <v>16</v>
      </c>
      <c r="I2177" s="2">
        <v>886569.00000000896</v>
      </c>
      <c r="J2177" s="2">
        <v>3000</v>
      </c>
      <c r="K2177" s="2">
        <v>100</v>
      </c>
      <c r="L2177" s="2">
        <v>0</v>
      </c>
      <c r="M2177" s="2">
        <v>609747.61</v>
      </c>
      <c r="N2177">
        <f t="shared" si="43"/>
        <v>1496748.4100000088</v>
      </c>
      <c r="O2177" s="2" t="s">
        <v>4</v>
      </c>
    </row>
    <row r="2178" spans="1:15" x14ac:dyDescent="0.2">
      <c r="A2178">
        <v>47</v>
      </c>
      <c r="B2178">
        <v>5</v>
      </c>
      <c r="C2178">
        <v>6</v>
      </c>
      <c r="D2178" s="2">
        <v>2</v>
      </c>
      <c r="E2178" s="2">
        <v>2</v>
      </c>
      <c r="F2178" s="2" t="s">
        <v>4</v>
      </c>
      <c r="G2178" s="2">
        <v>392.80000000019299</v>
      </c>
      <c r="H2178" s="2" t="s">
        <v>16</v>
      </c>
      <c r="I2178" s="2">
        <v>289421.00000000402</v>
      </c>
      <c r="J2178" s="2">
        <v>3000</v>
      </c>
      <c r="K2178" s="2">
        <v>100</v>
      </c>
      <c r="L2178" s="2">
        <v>0</v>
      </c>
      <c r="M2178" s="2">
        <v>511826.81</v>
      </c>
      <c r="N2178">
        <f t="shared" si="43"/>
        <v>801640.61000000429</v>
      </c>
      <c r="O2178" s="2" t="s">
        <v>4</v>
      </c>
    </row>
    <row r="2179" spans="1:15" x14ac:dyDescent="0.2">
      <c r="A2179">
        <v>48</v>
      </c>
      <c r="B2179">
        <v>5</v>
      </c>
      <c r="C2179">
        <v>6</v>
      </c>
      <c r="D2179" s="2">
        <v>2</v>
      </c>
      <c r="E2179" s="2">
        <v>3</v>
      </c>
      <c r="F2179" s="2" t="s">
        <v>4</v>
      </c>
      <c r="G2179" s="2">
        <v>479.99999999994702</v>
      </c>
      <c r="H2179" s="2" t="s">
        <v>16</v>
      </c>
      <c r="I2179" s="2">
        <v>752868.00000003504</v>
      </c>
      <c r="J2179" s="2">
        <v>3000</v>
      </c>
      <c r="K2179" s="2">
        <v>100</v>
      </c>
      <c r="L2179" s="2">
        <v>0</v>
      </c>
      <c r="M2179" s="2">
        <v>597027.21</v>
      </c>
      <c r="N2179">
        <f t="shared" si="43"/>
        <v>1350375.2100000349</v>
      </c>
      <c r="O2179" s="2" t="s">
        <v>4</v>
      </c>
    </row>
    <row r="2180" spans="1:15" x14ac:dyDescent="0.2">
      <c r="A2180">
        <v>49</v>
      </c>
      <c r="B2180">
        <v>5</v>
      </c>
      <c r="C2180">
        <v>6</v>
      </c>
      <c r="D2180" s="2">
        <v>2</v>
      </c>
      <c r="E2180" s="2">
        <v>1</v>
      </c>
      <c r="F2180" s="2" t="s">
        <v>4</v>
      </c>
      <c r="G2180" s="2">
        <v>379.40000000027402</v>
      </c>
      <c r="H2180" s="2" t="s">
        <v>16</v>
      </c>
      <c r="I2180" s="2">
        <v>862047.00000001804</v>
      </c>
      <c r="J2180" s="2">
        <v>3000</v>
      </c>
      <c r="K2180" s="2">
        <v>100</v>
      </c>
      <c r="L2180" s="2">
        <v>0</v>
      </c>
      <c r="M2180" s="2">
        <v>555027.61</v>
      </c>
      <c r="N2180">
        <f t="shared" si="43"/>
        <v>1417454.0100000184</v>
      </c>
      <c r="O2180" s="2" t="s">
        <v>4</v>
      </c>
    </row>
    <row r="2181" spans="1:15" x14ac:dyDescent="0.2">
      <c r="A2181">
        <v>50</v>
      </c>
      <c r="B2181">
        <v>5</v>
      </c>
      <c r="C2181">
        <v>6</v>
      </c>
      <c r="D2181" s="2">
        <v>2</v>
      </c>
      <c r="E2181" s="2">
        <v>2</v>
      </c>
      <c r="F2181" s="2" t="s">
        <v>4</v>
      </c>
      <c r="G2181" s="2">
        <v>387.60000000017698</v>
      </c>
      <c r="H2181" s="2" t="s">
        <v>16</v>
      </c>
      <c r="I2181" s="2">
        <v>510372.99999995902</v>
      </c>
      <c r="J2181" s="2">
        <v>3000</v>
      </c>
      <c r="K2181" s="2">
        <v>100</v>
      </c>
      <c r="L2181" s="2">
        <v>0</v>
      </c>
      <c r="M2181" s="2">
        <v>617067.21</v>
      </c>
      <c r="N2181">
        <f t="shared" si="43"/>
        <v>1127827.8099999591</v>
      </c>
      <c r="O2181" s="2" t="s">
        <v>4</v>
      </c>
    </row>
    <row r="2182" spans="1:15" x14ac:dyDescent="0.2">
      <c r="A2182">
        <v>51</v>
      </c>
      <c r="B2182">
        <v>5</v>
      </c>
      <c r="C2182">
        <v>6</v>
      </c>
      <c r="D2182" s="2">
        <v>2</v>
      </c>
      <c r="E2182" s="2">
        <v>3</v>
      </c>
      <c r="F2182" s="2" t="s">
        <v>4</v>
      </c>
      <c r="G2182" s="2">
        <v>476.39999999944399</v>
      </c>
      <c r="H2182" s="2" t="s">
        <v>16</v>
      </c>
      <c r="I2182" s="2">
        <v>1073153.99999999</v>
      </c>
      <c r="J2182" s="2">
        <v>3000</v>
      </c>
      <c r="K2182" s="2">
        <v>100</v>
      </c>
      <c r="L2182" s="2">
        <v>0</v>
      </c>
      <c r="M2182" s="2">
        <v>624866.81000000006</v>
      </c>
      <c r="N2182">
        <f t="shared" si="43"/>
        <v>1698497.2099999895</v>
      </c>
      <c r="O2182" s="2" t="s">
        <v>4</v>
      </c>
    </row>
    <row r="2183" spans="1:15" x14ac:dyDescent="0.2">
      <c r="A2183">
        <v>52</v>
      </c>
      <c r="B2183">
        <v>5</v>
      </c>
      <c r="C2183">
        <v>7</v>
      </c>
      <c r="D2183" s="2">
        <v>2</v>
      </c>
      <c r="E2183" s="2">
        <v>1</v>
      </c>
      <c r="F2183" s="2" t="s">
        <v>4</v>
      </c>
      <c r="G2183" s="2">
        <v>407.79999999998</v>
      </c>
      <c r="H2183" s="2" t="s">
        <v>16</v>
      </c>
      <c r="I2183" s="2">
        <v>757241.000000022</v>
      </c>
      <c r="J2183" s="2">
        <v>3000</v>
      </c>
      <c r="K2183" s="2">
        <v>100</v>
      </c>
      <c r="L2183" s="2">
        <v>0</v>
      </c>
      <c r="M2183" s="2">
        <v>601348.01</v>
      </c>
      <c r="N2183">
        <f t="shared" si="43"/>
        <v>1358996.8100000219</v>
      </c>
      <c r="O2183" s="2" t="s">
        <v>4</v>
      </c>
    </row>
    <row r="2184" spans="1:15" x14ac:dyDescent="0.2">
      <c r="A2184">
        <v>53</v>
      </c>
      <c r="B2184">
        <v>5</v>
      </c>
      <c r="C2184">
        <v>7</v>
      </c>
      <c r="D2184" s="2">
        <v>2</v>
      </c>
      <c r="E2184" s="2">
        <v>2</v>
      </c>
      <c r="F2184" s="2" t="s">
        <v>4</v>
      </c>
      <c r="G2184" s="2">
        <v>396.99999999953701</v>
      </c>
      <c r="H2184" s="2" t="s">
        <v>16</v>
      </c>
      <c r="I2184" s="2">
        <v>929575.99999999697</v>
      </c>
      <c r="J2184" s="2">
        <v>3000</v>
      </c>
      <c r="K2184" s="2">
        <v>100</v>
      </c>
      <c r="L2184" s="2">
        <v>0</v>
      </c>
      <c r="M2184" s="2">
        <v>613947.21</v>
      </c>
      <c r="N2184">
        <f t="shared" si="43"/>
        <v>1543920.2099999965</v>
      </c>
      <c r="O2184" s="2" t="s">
        <v>4</v>
      </c>
    </row>
    <row r="2185" spans="1:15" x14ac:dyDescent="0.2">
      <c r="A2185">
        <v>54</v>
      </c>
      <c r="B2185">
        <v>5</v>
      </c>
      <c r="C2185">
        <v>7</v>
      </c>
      <c r="D2185" s="2">
        <v>2</v>
      </c>
      <c r="E2185" s="2">
        <v>3</v>
      </c>
      <c r="F2185" s="2" t="s">
        <v>4</v>
      </c>
      <c r="G2185" s="2">
        <v>497.99999999997601</v>
      </c>
      <c r="H2185" s="2" t="s">
        <v>16</v>
      </c>
      <c r="I2185" s="2">
        <v>1425852.99999996</v>
      </c>
      <c r="J2185" s="2">
        <v>3000</v>
      </c>
      <c r="K2185" s="2">
        <v>100</v>
      </c>
      <c r="L2185" s="2">
        <v>0</v>
      </c>
      <c r="M2185" s="2">
        <v>590186.81000000006</v>
      </c>
      <c r="N2185">
        <f t="shared" si="43"/>
        <v>2016537.80999996</v>
      </c>
      <c r="O2185" s="2" t="s">
        <v>4</v>
      </c>
    </row>
    <row r="2186" spans="1:15" x14ac:dyDescent="0.2">
      <c r="A2186">
        <v>55</v>
      </c>
      <c r="B2186">
        <v>5</v>
      </c>
      <c r="C2186">
        <v>5</v>
      </c>
      <c r="D2186" s="2">
        <v>2</v>
      </c>
      <c r="E2186" s="2">
        <v>1</v>
      </c>
      <c r="F2186" s="2" t="s">
        <v>4</v>
      </c>
      <c r="G2186" s="2">
        <v>289.40000000012799</v>
      </c>
      <c r="H2186" s="2" t="s">
        <v>16</v>
      </c>
      <c r="I2186" s="2">
        <v>330494.99999998498</v>
      </c>
      <c r="J2186" s="2">
        <v>3000</v>
      </c>
      <c r="K2186" s="2">
        <v>100</v>
      </c>
      <c r="L2186" s="2">
        <v>0</v>
      </c>
      <c r="M2186" s="2">
        <v>513506.81</v>
      </c>
      <c r="N2186">
        <f t="shared" si="43"/>
        <v>844291.20999998506</v>
      </c>
      <c r="O2186" s="2" t="s">
        <v>4</v>
      </c>
    </row>
    <row r="2187" spans="1:15" x14ac:dyDescent="0.2">
      <c r="A2187">
        <v>56</v>
      </c>
      <c r="B2187">
        <v>5</v>
      </c>
      <c r="C2187">
        <v>5</v>
      </c>
      <c r="D2187" s="2">
        <v>2</v>
      </c>
      <c r="E2187" s="2">
        <v>2</v>
      </c>
      <c r="F2187" s="2" t="s">
        <v>4</v>
      </c>
      <c r="G2187" s="2">
        <v>287.00000000014802</v>
      </c>
      <c r="H2187" s="2" t="s">
        <v>16</v>
      </c>
      <c r="I2187" s="2">
        <v>437728.99999998999</v>
      </c>
      <c r="J2187" s="2">
        <v>3000</v>
      </c>
      <c r="K2187" s="2">
        <v>100</v>
      </c>
      <c r="L2187" s="2">
        <v>0</v>
      </c>
      <c r="M2187" s="2">
        <v>509307.21</v>
      </c>
      <c r="N2187">
        <f t="shared" si="43"/>
        <v>947323.20999999018</v>
      </c>
      <c r="O2187" s="2" t="s">
        <v>4</v>
      </c>
    </row>
    <row r="2188" spans="1:15" x14ac:dyDescent="0.2">
      <c r="A2188">
        <v>57</v>
      </c>
      <c r="B2188">
        <v>5</v>
      </c>
      <c r="C2188">
        <v>5</v>
      </c>
      <c r="D2188" s="2">
        <v>2</v>
      </c>
      <c r="E2188" s="2">
        <v>3</v>
      </c>
      <c r="F2188" s="2" t="s">
        <v>4</v>
      </c>
      <c r="G2188" s="2">
        <v>362.39999999949703</v>
      </c>
      <c r="H2188" s="2" t="s">
        <v>16</v>
      </c>
      <c r="I2188" s="2">
        <v>461844.999999983</v>
      </c>
      <c r="J2188" s="2">
        <v>3000</v>
      </c>
      <c r="K2188" s="2">
        <v>100</v>
      </c>
      <c r="L2188" s="2">
        <v>0</v>
      </c>
      <c r="M2188" s="2">
        <v>559107.61</v>
      </c>
      <c r="N2188">
        <f t="shared" si="43"/>
        <v>1021315.0099999825</v>
      </c>
      <c r="O2188" s="2" t="s">
        <v>4</v>
      </c>
    </row>
    <row r="2189" spans="1:15" x14ac:dyDescent="0.2">
      <c r="A2189">
        <v>58</v>
      </c>
      <c r="B2189">
        <v>5</v>
      </c>
      <c r="C2189">
        <v>6</v>
      </c>
      <c r="D2189" s="2">
        <v>2</v>
      </c>
      <c r="E2189" s="2">
        <v>1</v>
      </c>
      <c r="F2189" s="2" t="s">
        <v>4</v>
      </c>
      <c r="G2189" s="2">
        <v>340.79999999967498</v>
      </c>
      <c r="H2189" s="2" t="s">
        <v>16</v>
      </c>
      <c r="I2189" s="2">
        <v>736719.00000005099</v>
      </c>
      <c r="J2189" s="2">
        <v>3000</v>
      </c>
      <c r="K2189" s="2">
        <v>100</v>
      </c>
      <c r="L2189" s="2">
        <v>0</v>
      </c>
      <c r="M2189" s="2">
        <v>603027.21</v>
      </c>
      <c r="N2189">
        <f t="shared" si="43"/>
        <v>1340087.0100000505</v>
      </c>
      <c r="O2189" s="2" t="s">
        <v>4</v>
      </c>
    </row>
    <row r="2190" spans="1:15" x14ac:dyDescent="0.2">
      <c r="A2190">
        <v>59</v>
      </c>
      <c r="B2190">
        <v>5</v>
      </c>
      <c r="C2190">
        <v>6</v>
      </c>
      <c r="D2190" s="2">
        <v>2</v>
      </c>
      <c r="E2190" s="2">
        <v>2</v>
      </c>
      <c r="F2190" s="2" t="s">
        <v>4</v>
      </c>
      <c r="G2190" s="2">
        <v>334.19999999999601</v>
      </c>
      <c r="H2190" s="2" t="s">
        <v>16</v>
      </c>
      <c r="I2190" s="2">
        <v>494259</v>
      </c>
      <c r="J2190" s="2">
        <v>3000</v>
      </c>
      <c r="K2190" s="2">
        <v>100</v>
      </c>
      <c r="L2190" s="2">
        <v>0</v>
      </c>
      <c r="M2190" s="2">
        <v>618628.41</v>
      </c>
      <c r="N2190">
        <f t="shared" si="43"/>
        <v>1113221.6100000001</v>
      </c>
      <c r="O2190" s="2" t="s">
        <v>4</v>
      </c>
    </row>
    <row r="2191" spans="1:15" x14ac:dyDescent="0.2">
      <c r="A2191">
        <v>60</v>
      </c>
      <c r="B2191">
        <v>5</v>
      </c>
      <c r="C2191">
        <v>6</v>
      </c>
      <c r="D2191" s="2">
        <v>2</v>
      </c>
      <c r="E2191" s="2">
        <v>3</v>
      </c>
      <c r="F2191" s="2" t="s">
        <v>4</v>
      </c>
      <c r="G2191" s="2">
        <v>401.39999999979602</v>
      </c>
      <c r="H2191" s="2" t="s">
        <v>16</v>
      </c>
      <c r="I2191" s="2">
        <v>678708.99999996903</v>
      </c>
      <c r="J2191" s="2">
        <v>3000</v>
      </c>
      <c r="K2191" s="2">
        <v>100</v>
      </c>
      <c r="L2191" s="2">
        <v>0</v>
      </c>
      <c r="M2191" s="2">
        <v>612508.41</v>
      </c>
      <c r="N2191">
        <f t="shared" si="43"/>
        <v>1291618.8099999689</v>
      </c>
      <c r="O2191" s="2" t="s">
        <v>4</v>
      </c>
    </row>
    <row r="2192" spans="1:15" x14ac:dyDescent="0.2">
      <c r="A2192">
        <v>61</v>
      </c>
      <c r="B2192">
        <v>5</v>
      </c>
      <c r="C2192">
        <v>7</v>
      </c>
      <c r="D2192" s="2">
        <v>2</v>
      </c>
      <c r="E2192" s="2">
        <v>1</v>
      </c>
      <c r="F2192" s="2" t="s">
        <v>4</v>
      </c>
      <c r="G2192" s="2">
        <v>364.79999999983198</v>
      </c>
      <c r="H2192" s="2" t="s">
        <v>16</v>
      </c>
      <c r="I2192" s="2">
        <v>900666.99999999895</v>
      </c>
      <c r="J2192" s="2">
        <v>3000</v>
      </c>
      <c r="K2192" s="2">
        <v>100</v>
      </c>
      <c r="L2192" s="2">
        <v>0</v>
      </c>
      <c r="M2192" s="2">
        <v>606507.21</v>
      </c>
      <c r="N2192">
        <f t="shared" si="43"/>
        <v>1507539.0099999988</v>
      </c>
      <c r="O2192" s="2" t="s">
        <v>4</v>
      </c>
    </row>
    <row r="2193" spans="1:15" x14ac:dyDescent="0.2">
      <c r="A2193">
        <v>62</v>
      </c>
      <c r="B2193">
        <v>5</v>
      </c>
      <c r="C2193">
        <v>7</v>
      </c>
      <c r="D2193" s="2">
        <v>2</v>
      </c>
      <c r="E2193" s="2">
        <v>2</v>
      </c>
      <c r="F2193" s="2" t="s">
        <v>4</v>
      </c>
      <c r="G2193" s="2">
        <v>382.79999999950599</v>
      </c>
      <c r="H2193" s="2" t="s">
        <v>16</v>
      </c>
      <c r="I2193" s="2">
        <v>843414.99999999302</v>
      </c>
      <c r="J2193" s="2">
        <v>3000</v>
      </c>
      <c r="K2193" s="2">
        <v>100</v>
      </c>
      <c r="L2193" s="2">
        <v>0</v>
      </c>
      <c r="M2193" s="2">
        <v>555507.21</v>
      </c>
      <c r="N2193">
        <f t="shared" si="43"/>
        <v>1399305.0099999923</v>
      </c>
      <c r="O2193" s="2" t="s">
        <v>4</v>
      </c>
    </row>
    <row r="2194" spans="1:15" x14ac:dyDescent="0.2">
      <c r="A2194">
        <v>63</v>
      </c>
      <c r="B2194">
        <v>5</v>
      </c>
      <c r="C2194">
        <v>7</v>
      </c>
      <c r="D2194" s="2">
        <v>2</v>
      </c>
      <c r="E2194" s="2">
        <v>3</v>
      </c>
      <c r="F2194" s="2" t="s">
        <v>4</v>
      </c>
      <c r="G2194" s="2">
        <v>469.999999999615</v>
      </c>
      <c r="H2194" s="2" t="s">
        <v>16</v>
      </c>
      <c r="I2194" s="2">
        <v>1507850.99999996</v>
      </c>
      <c r="J2194" s="2">
        <v>3000</v>
      </c>
      <c r="K2194" s="2">
        <v>100</v>
      </c>
      <c r="L2194" s="2">
        <v>0</v>
      </c>
      <c r="M2194" s="2">
        <v>587786.81000000006</v>
      </c>
      <c r="N2194">
        <f t="shared" si="43"/>
        <v>2096107.8099999595</v>
      </c>
      <c r="O2194" s="2" t="s">
        <v>4</v>
      </c>
    </row>
    <row r="2195" spans="1:15" x14ac:dyDescent="0.2">
      <c r="A2195">
        <v>64</v>
      </c>
      <c r="B2195">
        <v>5</v>
      </c>
      <c r="C2195">
        <v>8</v>
      </c>
      <c r="D2195" s="2">
        <v>2</v>
      </c>
      <c r="E2195" s="2">
        <v>1</v>
      </c>
      <c r="F2195" s="2" t="s">
        <v>4</v>
      </c>
      <c r="G2195" s="2">
        <v>408.600000000092</v>
      </c>
      <c r="H2195" s="2" t="s">
        <v>16</v>
      </c>
      <c r="I2195" s="2">
        <v>1353122.99999998</v>
      </c>
      <c r="J2195" s="2">
        <v>3000</v>
      </c>
      <c r="K2195" s="2">
        <v>100</v>
      </c>
      <c r="L2195" s="2">
        <v>0</v>
      </c>
      <c r="M2195" s="2">
        <v>592466.81000000006</v>
      </c>
      <c r="N2195">
        <f t="shared" si="43"/>
        <v>1945998.4099999801</v>
      </c>
      <c r="O2195" s="2" t="s">
        <v>4</v>
      </c>
    </row>
    <row r="2196" spans="1:15" x14ac:dyDescent="0.2">
      <c r="A2196">
        <v>65</v>
      </c>
      <c r="B2196">
        <v>5</v>
      </c>
      <c r="C2196">
        <v>8</v>
      </c>
      <c r="D2196" s="2">
        <v>2</v>
      </c>
      <c r="E2196" s="2">
        <v>2</v>
      </c>
      <c r="F2196" s="2" t="s">
        <v>4</v>
      </c>
      <c r="G2196" s="2">
        <v>427.200000000383</v>
      </c>
      <c r="H2196" s="2" t="s">
        <v>16</v>
      </c>
      <c r="I2196" s="2">
        <v>1920556.00000003</v>
      </c>
      <c r="J2196" s="2">
        <v>3000</v>
      </c>
      <c r="K2196" s="2">
        <v>100</v>
      </c>
      <c r="L2196" s="2">
        <v>0</v>
      </c>
      <c r="M2196" s="2">
        <v>552987.21</v>
      </c>
      <c r="N2196">
        <f t="shared" si="43"/>
        <v>2473970.4100000304</v>
      </c>
      <c r="O2196" s="2" t="s">
        <v>4</v>
      </c>
    </row>
    <row r="2197" spans="1:15" x14ac:dyDescent="0.2">
      <c r="A2197">
        <v>66</v>
      </c>
      <c r="B2197">
        <v>5</v>
      </c>
      <c r="C2197">
        <v>8</v>
      </c>
      <c r="D2197" s="2">
        <v>2</v>
      </c>
      <c r="E2197" s="2">
        <v>3</v>
      </c>
      <c r="F2197" s="2" t="s">
        <v>4</v>
      </c>
      <c r="G2197" s="2">
        <v>553.79999999942697</v>
      </c>
      <c r="H2197" s="2" t="s">
        <v>16</v>
      </c>
      <c r="I2197" s="2">
        <v>1980976</v>
      </c>
      <c r="J2197" s="2">
        <v>3000</v>
      </c>
      <c r="K2197" s="2">
        <v>100</v>
      </c>
      <c r="L2197" s="2">
        <v>0</v>
      </c>
      <c r="M2197" s="2">
        <v>621627.61</v>
      </c>
      <c r="N2197">
        <f t="shared" si="43"/>
        <v>2603157.4099999992</v>
      </c>
      <c r="O2197" s="2" t="s">
        <v>4</v>
      </c>
    </row>
    <row r="2198" spans="1:15" x14ac:dyDescent="0.2">
      <c r="A2198">
        <v>67</v>
      </c>
      <c r="B2198">
        <v>5</v>
      </c>
      <c r="C2198">
        <v>7</v>
      </c>
      <c r="D2198" s="2">
        <v>2</v>
      </c>
      <c r="E2198" s="2">
        <v>1</v>
      </c>
      <c r="F2198" s="2" t="s">
        <v>4</v>
      </c>
      <c r="G2198" s="2">
        <v>358.99999999990899</v>
      </c>
      <c r="H2198" s="2" t="s">
        <v>16</v>
      </c>
      <c r="I2198" s="2">
        <v>736641.00000002002</v>
      </c>
      <c r="J2198" s="2">
        <v>3000</v>
      </c>
      <c r="K2198" s="2">
        <v>100</v>
      </c>
      <c r="L2198" s="2">
        <v>0</v>
      </c>
      <c r="M2198" s="2">
        <v>583707.61</v>
      </c>
      <c r="N2198">
        <f t="shared" si="43"/>
        <v>1320707.6100000199</v>
      </c>
      <c r="O2198" s="2" t="s">
        <v>4</v>
      </c>
    </row>
    <row r="2199" spans="1:15" x14ac:dyDescent="0.2">
      <c r="A2199">
        <v>68</v>
      </c>
      <c r="B2199">
        <v>5</v>
      </c>
      <c r="C2199">
        <v>7</v>
      </c>
      <c r="D2199" s="2">
        <v>2</v>
      </c>
      <c r="E2199" s="2">
        <v>2</v>
      </c>
      <c r="F2199" s="2" t="s">
        <v>4</v>
      </c>
      <c r="G2199" s="2">
        <v>373.80000000055702</v>
      </c>
      <c r="H2199" s="2" t="s">
        <v>16</v>
      </c>
      <c r="I2199" s="2">
        <v>1227076.9999999499</v>
      </c>
      <c r="J2199" s="2">
        <v>3000</v>
      </c>
      <c r="K2199" s="2">
        <v>100</v>
      </c>
      <c r="L2199" s="2">
        <v>0</v>
      </c>
      <c r="M2199" s="2">
        <v>518426.41</v>
      </c>
      <c r="N2199">
        <f t="shared" si="43"/>
        <v>1745877.2099999504</v>
      </c>
      <c r="O2199" s="2" t="s">
        <v>4</v>
      </c>
    </row>
    <row r="2200" spans="1:15" x14ac:dyDescent="0.2">
      <c r="A2200">
        <v>69</v>
      </c>
      <c r="B2200">
        <v>5</v>
      </c>
      <c r="C2200">
        <v>7</v>
      </c>
      <c r="D2200" s="2">
        <v>2</v>
      </c>
      <c r="E2200" s="2">
        <v>3</v>
      </c>
      <c r="F2200" s="2" t="s">
        <v>4</v>
      </c>
      <c r="G2200" s="2">
        <v>458.79999999947103</v>
      </c>
      <c r="H2200" s="2" t="s">
        <v>16</v>
      </c>
      <c r="I2200" s="2">
        <v>949294.00000000896</v>
      </c>
      <c r="J2200" s="2">
        <v>3000</v>
      </c>
      <c r="K2200" s="2">
        <v>100</v>
      </c>
      <c r="L2200" s="2">
        <v>0</v>
      </c>
      <c r="M2200" s="2">
        <v>588148.01</v>
      </c>
      <c r="N2200">
        <f t="shared" si="43"/>
        <v>1537900.8100000084</v>
      </c>
      <c r="O2200" s="2" t="s">
        <v>4</v>
      </c>
    </row>
    <row r="2201" spans="1:15" x14ac:dyDescent="0.2">
      <c r="A2201">
        <v>28</v>
      </c>
      <c r="B2201">
        <v>5</v>
      </c>
      <c r="C2201">
        <v>4</v>
      </c>
      <c r="D2201" s="2">
        <v>2</v>
      </c>
      <c r="E2201" s="2">
        <v>1</v>
      </c>
      <c r="F2201" s="2" t="s">
        <v>4</v>
      </c>
      <c r="G2201" s="2">
        <v>901.80000000010796</v>
      </c>
      <c r="H2201" s="2" t="s">
        <v>16</v>
      </c>
      <c r="I2201" s="2">
        <v>226247.99999999799</v>
      </c>
      <c r="J2201" s="2">
        <v>2000</v>
      </c>
      <c r="K2201" s="2">
        <v>200</v>
      </c>
      <c r="L2201" s="2">
        <v>0</v>
      </c>
      <c r="M2201" s="2">
        <v>550507.21</v>
      </c>
      <c r="N2201">
        <f t="shared" si="43"/>
        <v>777657.00999999803</v>
      </c>
      <c r="O2201" s="2" t="s">
        <v>4</v>
      </c>
    </row>
    <row r="2202" spans="1:15" x14ac:dyDescent="0.2">
      <c r="A2202">
        <v>29</v>
      </c>
      <c r="B2202">
        <v>5</v>
      </c>
      <c r="C2202">
        <v>5</v>
      </c>
      <c r="D2202" s="2">
        <v>2</v>
      </c>
      <c r="E2202" s="2">
        <v>2</v>
      </c>
      <c r="F2202" s="2" t="s">
        <v>4</v>
      </c>
      <c r="G2202" s="2">
        <v>926.20000000032098</v>
      </c>
      <c r="H2202" s="2" t="s">
        <v>16</v>
      </c>
      <c r="I2202" s="2">
        <v>333011.99999999697</v>
      </c>
      <c r="J2202" s="2">
        <v>2000</v>
      </c>
      <c r="K2202" s="2">
        <v>200</v>
      </c>
      <c r="L2202" s="2">
        <v>0</v>
      </c>
      <c r="M2202" s="2">
        <v>615226.81000000006</v>
      </c>
      <c r="N2202">
        <f t="shared" si="43"/>
        <v>949165.00999999733</v>
      </c>
      <c r="O2202" s="2" t="s">
        <v>4</v>
      </c>
    </row>
    <row r="2203" spans="1:15" x14ac:dyDescent="0.2">
      <c r="A2203">
        <v>30</v>
      </c>
      <c r="B2203">
        <v>5</v>
      </c>
      <c r="C2203">
        <v>5</v>
      </c>
      <c r="D2203" s="2">
        <v>2</v>
      </c>
      <c r="E2203" s="2">
        <v>3</v>
      </c>
      <c r="F2203" s="2" t="s">
        <v>4</v>
      </c>
      <c r="G2203" s="2">
        <v>922.99999999951899</v>
      </c>
      <c r="H2203" s="2" t="s">
        <v>16</v>
      </c>
      <c r="I2203" s="2">
        <v>1243228.99999999</v>
      </c>
      <c r="J2203" s="2">
        <v>2000</v>
      </c>
      <c r="K2203" s="2">
        <v>200</v>
      </c>
      <c r="L2203" s="2">
        <v>0</v>
      </c>
      <c r="M2203" s="2">
        <v>562747.21</v>
      </c>
      <c r="N2203">
        <f t="shared" si="43"/>
        <v>1806899.2099999895</v>
      </c>
      <c r="O2203" s="2" t="s">
        <v>4</v>
      </c>
    </row>
    <row r="2204" spans="1:15" x14ac:dyDescent="0.2">
      <c r="A2204">
        <v>31</v>
      </c>
      <c r="B2204">
        <v>5</v>
      </c>
      <c r="C2204">
        <v>5</v>
      </c>
      <c r="D2204" s="2">
        <v>2</v>
      </c>
      <c r="E2204" s="2">
        <v>1</v>
      </c>
      <c r="F2204" s="2" t="s">
        <v>4</v>
      </c>
      <c r="G2204" s="2">
        <v>780.99999999920999</v>
      </c>
      <c r="H2204" s="2" t="s">
        <v>16</v>
      </c>
      <c r="I2204" s="2">
        <v>565414.00000003295</v>
      </c>
      <c r="J2204" s="2">
        <v>2000</v>
      </c>
      <c r="K2204" s="2">
        <v>200</v>
      </c>
      <c r="L2204" s="2">
        <v>0</v>
      </c>
      <c r="M2204" s="2">
        <v>571948.01</v>
      </c>
      <c r="N2204">
        <f t="shared" ref="N2204:N2245" si="44">G2204+I2204+M2204</f>
        <v>1138143.0100000321</v>
      </c>
      <c r="O2204" s="2" t="s">
        <v>4</v>
      </c>
    </row>
    <row r="2205" spans="1:15" x14ac:dyDescent="0.2">
      <c r="A2205">
        <v>32</v>
      </c>
      <c r="B2205">
        <v>5</v>
      </c>
      <c r="C2205">
        <v>5</v>
      </c>
      <c r="D2205" s="2">
        <v>2</v>
      </c>
      <c r="E2205" s="2">
        <v>2</v>
      </c>
      <c r="F2205" s="2" t="s">
        <v>4</v>
      </c>
      <c r="G2205" s="2">
        <v>720.199999999949</v>
      </c>
      <c r="H2205" s="2" t="s">
        <v>16</v>
      </c>
      <c r="I2205" s="2">
        <v>428542.99999999098</v>
      </c>
      <c r="J2205" s="2">
        <v>2000</v>
      </c>
      <c r="K2205" s="2">
        <v>200</v>
      </c>
      <c r="L2205" s="2">
        <v>0</v>
      </c>
      <c r="M2205" s="2">
        <v>608667.21</v>
      </c>
      <c r="N2205">
        <f t="shared" si="44"/>
        <v>1037930.4099999908</v>
      </c>
      <c r="O2205" s="2" t="s">
        <v>4</v>
      </c>
    </row>
    <row r="2206" spans="1:15" x14ac:dyDescent="0.2">
      <c r="A2206">
        <v>33</v>
      </c>
      <c r="B2206">
        <v>5</v>
      </c>
      <c r="C2206">
        <v>5</v>
      </c>
      <c r="D2206" s="2">
        <v>2</v>
      </c>
      <c r="E2206" s="2">
        <v>3</v>
      </c>
      <c r="F2206" s="2" t="s">
        <v>4</v>
      </c>
      <c r="G2206" s="2">
        <v>762.79999999968595</v>
      </c>
      <c r="H2206" s="2" t="s">
        <v>16</v>
      </c>
      <c r="I2206" s="2">
        <v>873103.00000001502</v>
      </c>
      <c r="J2206" s="2">
        <v>2000</v>
      </c>
      <c r="K2206" s="2">
        <v>200</v>
      </c>
      <c r="L2206" s="2">
        <v>0</v>
      </c>
      <c r="M2206" s="2">
        <v>613067.21</v>
      </c>
      <c r="N2206">
        <f t="shared" si="44"/>
        <v>1486933.0100000147</v>
      </c>
      <c r="O2206" s="2" t="s">
        <v>4</v>
      </c>
    </row>
    <row r="2207" spans="1:15" x14ac:dyDescent="0.2">
      <c r="A2207">
        <v>34</v>
      </c>
      <c r="B2207">
        <v>5</v>
      </c>
      <c r="C2207">
        <v>5</v>
      </c>
      <c r="D2207" s="2">
        <v>2</v>
      </c>
      <c r="E2207" s="2">
        <v>1</v>
      </c>
      <c r="F2207" s="2" t="s">
        <v>4</v>
      </c>
      <c r="G2207" s="2">
        <v>563.600000000264</v>
      </c>
      <c r="H2207" s="2" t="s">
        <v>16</v>
      </c>
      <c r="I2207" s="2">
        <v>344550.00000002701</v>
      </c>
      <c r="J2207" s="2">
        <v>2000</v>
      </c>
      <c r="K2207" s="2">
        <v>200</v>
      </c>
      <c r="L2207" s="2">
        <v>0</v>
      </c>
      <c r="M2207" s="2">
        <v>619948.81000000006</v>
      </c>
      <c r="N2207">
        <f t="shared" si="44"/>
        <v>965062.41000002739</v>
      </c>
      <c r="O2207" s="2" t="s">
        <v>4</v>
      </c>
    </row>
    <row r="2208" spans="1:15" x14ac:dyDescent="0.2">
      <c r="A2208">
        <v>35</v>
      </c>
      <c r="B2208">
        <v>5</v>
      </c>
      <c r="C2208">
        <v>6</v>
      </c>
      <c r="D2208" s="2">
        <v>2</v>
      </c>
      <c r="E2208" s="2">
        <v>1</v>
      </c>
      <c r="F2208" s="2" t="s">
        <v>4</v>
      </c>
      <c r="G2208" s="2">
        <v>467.000000000439</v>
      </c>
      <c r="H2208" s="2" t="s">
        <v>16</v>
      </c>
      <c r="I2208" s="2">
        <v>1064708.99999999</v>
      </c>
      <c r="J2208" s="2">
        <v>2000</v>
      </c>
      <c r="K2208" s="2">
        <v>200</v>
      </c>
      <c r="L2208" s="2">
        <v>0</v>
      </c>
      <c r="M2208" s="2">
        <v>612267.61</v>
      </c>
      <c r="N2208">
        <f t="shared" si="44"/>
        <v>1677443.6099999906</v>
      </c>
      <c r="O2208" s="2" t="s">
        <v>4</v>
      </c>
    </row>
    <row r="2209" spans="1:15" x14ac:dyDescent="0.2">
      <c r="A2209">
        <v>36</v>
      </c>
      <c r="B2209">
        <v>5</v>
      </c>
      <c r="C2209">
        <v>6</v>
      </c>
      <c r="D2209" s="2">
        <v>2</v>
      </c>
      <c r="E2209" s="2">
        <v>2</v>
      </c>
      <c r="F2209" s="2" t="s">
        <v>4</v>
      </c>
      <c r="G2209" s="2">
        <v>432.59999999953902</v>
      </c>
      <c r="H2209" s="2" t="s">
        <v>16</v>
      </c>
      <c r="I2209" s="2">
        <v>657116.99999997101</v>
      </c>
      <c r="J2209" s="2">
        <v>2000</v>
      </c>
      <c r="K2209" s="2">
        <v>200</v>
      </c>
      <c r="L2209" s="2">
        <v>0</v>
      </c>
      <c r="M2209" s="2">
        <v>621148.41</v>
      </c>
      <c r="N2209">
        <f t="shared" si="44"/>
        <v>1278698.0099999704</v>
      </c>
      <c r="O2209" s="2" t="s">
        <v>4</v>
      </c>
    </row>
    <row r="2210" spans="1:15" x14ac:dyDescent="0.2">
      <c r="A2210">
        <v>37</v>
      </c>
      <c r="B2210">
        <v>5</v>
      </c>
      <c r="C2210">
        <v>6</v>
      </c>
      <c r="D2210" s="2">
        <v>2</v>
      </c>
      <c r="E2210" s="2">
        <v>3</v>
      </c>
      <c r="F2210" s="2" t="s">
        <v>4</v>
      </c>
      <c r="G2210" s="2">
        <v>535.40000000005296</v>
      </c>
      <c r="H2210" s="2" t="s">
        <v>16</v>
      </c>
      <c r="I2210" s="2">
        <v>638085.99999998696</v>
      </c>
      <c r="J2210" s="2">
        <v>2000</v>
      </c>
      <c r="K2210" s="2">
        <v>200</v>
      </c>
      <c r="L2210" s="2">
        <v>0</v>
      </c>
      <c r="M2210" s="2">
        <v>550666.81000000006</v>
      </c>
      <c r="N2210">
        <f t="shared" si="44"/>
        <v>1189288.2099999869</v>
      </c>
      <c r="O2210" s="2" t="s">
        <v>4</v>
      </c>
    </row>
    <row r="2211" spans="1:15" x14ac:dyDescent="0.2">
      <c r="A2211">
        <v>38</v>
      </c>
      <c r="B2211">
        <v>5</v>
      </c>
      <c r="C2211">
        <v>6</v>
      </c>
      <c r="D2211" s="2">
        <v>2</v>
      </c>
      <c r="E2211" s="2">
        <v>1</v>
      </c>
      <c r="F2211" s="2" t="s">
        <v>4</v>
      </c>
      <c r="G2211" s="2">
        <v>394.79999999976201</v>
      </c>
      <c r="H2211" s="2" t="s">
        <v>16</v>
      </c>
      <c r="I2211" s="2">
        <v>402707.00000002101</v>
      </c>
      <c r="J2211" s="2">
        <v>2000</v>
      </c>
      <c r="K2211" s="2">
        <v>200</v>
      </c>
      <c r="L2211" s="2">
        <v>0</v>
      </c>
      <c r="M2211" s="2">
        <v>549147.61</v>
      </c>
      <c r="N2211">
        <f t="shared" si="44"/>
        <v>952249.41000002075</v>
      </c>
      <c r="O2211" s="2" t="s">
        <v>4</v>
      </c>
    </row>
    <row r="2212" spans="1:15" x14ac:dyDescent="0.2">
      <c r="A2212">
        <v>39</v>
      </c>
      <c r="B2212">
        <v>5</v>
      </c>
      <c r="C2212">
        <v>7</v>
      </c>
      <c r="D2212" s="2">
        <v>2</v>
      </c>
      <c r="E2212" s="2">
        <v>1</v>
      </c>
      <c r="F2212" s="2" t="s">
        <v>4</v>
      </c>
      <c r="G2212" s="2">
        <v>470.600000000232</v>
      </c>
      <c r="H2212" s="2" t="s">
        <v>16</v>
      </c>
      <c r="I2212" s="2">
        <v>1193374.00000001</v>
      </c>
      <c r="J2212" s="2">
        <v>2000</v>
      </c>
      <c r="K2212" s="2">
        <v>200</v>
      </c>
      <c r="L2212" s="2">
        <v>0</v>
      </c>
      <c r="M2212" s="2">
        <v>610507.61</v>
      </c>
      <c r="N2212">
        <f t="shared" si="44"/>
        <v>1804352.2100000102</v>
      </c>
      <c r="O2212" s="2" t="s">
        <v>4</v>
      </c>
    </row>
    <row r="2213" spans="1:15" x14ac:dyDescent="0.2">
      <c r="A2213">
        <v>40</v>
      </c>
      <c r="B2213">
        <v>5</v>
      </c>
      <c r="C2213">
        <v>7</v>
      </c>
      <c r="D2213" s="2">
        <v>2</v>
      </c>
      <c r="E2213" s="2">
        <v>2</v>
      </c>
      <c r="F2213" s="2" t="s">
        <v>4</v>
      </c>
      <c r="G2213" s="2">
        <v>455.20000000074401</v>
      </c>
      <c r="H2213" s="2" t="s">
        <v>16</v>
      </c>
      <c r="I2213" s="2">
        <v>517399.00000001199</v>
      </c>
      <c r="J2213" s="2">
        <v>2000</v>
      </c>
      <c r="K2213" s="2">
        <v>200</v>
      </c>
      <c r="L2213" s="2">
        <v>0</v>
      </c>
      <c r="M2213" s="2">
        <v>603147.61</v>
      </c>
      <c r="N2213">
        <f t="shared" si="44"/>
        <v>1121001.8100000126</v>
      </c>
      <c r="O2213" s="2" t="s">
        <v>4</v>
      </c>
    </row>
    <row r="2214" spans="1:15" x14ac:dyDescent="0.2">
      <c r="A2214">
        <v>41</v>
      </c>
      <c r="B2214">
        <v>5</v>
      </c>
      <c r="C2214">
        <v>7</v>
      </c>
      <c r="D2214" s="2">
        <v>2</v>
      </c>
      <c r="E2214" s="2">
        <v>3</v>
      </c>
      <c r="F2214" s="2" t="s">
        <v>4</v>
      </c>
      <c r="G2214" s="2">
        <v>556.20000000047298</v>
      </c>
      <c r="H2214" s="2" t="s">
        <v>16</v>
      </c>
      <c r="I2214" s="2">
        <v>1178815.99999998</v>
      </c>
      <c r="J2214" s="2">
        <v>2000</v>
      </c>
      <c r="K2214" s="2">
        <v>200</v>
      </c>
      <c r="L2214" s="2">
        <v>0</v>
      </c>
      <c r="M2214" s="2">
        <v>602026.81000000006</v>
      </c>
      <c r="N2214">
        <f t="shared" si="44"/>
        <v>1781399.0099999805</v>
      </c>
      <c r="O2214" s="2" t="s">
        <v>4</v>
      </c>
    </row>
    <row r="2215" spans="1:15" x14ac:dyDescent="0.2">
      <c r="A2215">
        <v>42</v>
      </c>
      <c r="B2215">
        <v>5</v>
      </c>
      <c r="C2215">
        <v>4</v>
      </c>
      <c r="D2215" s="2">
        <v>2</v>
      </c>
      <c r="E2215" s="2">
        <v>1</v>
      </c>
      <c r="F2215" s="2" t="s">
        <v>4</v>
      </c>
      <c r="G2215" s="2">
        <v>288.80000000022198</v>
      </c>
      <c r="H2215" s="2" t="s">
        <v>16</v>
      </c>
      <c r="I2215" s="2">
        <v>190006.99999998001</v>
      </c>
      <c r="J2215" s="2">
        <v>2000</v>
      </c>
      <c r="K2215" s="2">
        <v>200</v>
      </c>
      <c r="L2215" s="2">
        <v>0</v>
      </c>
      <c r="M2215" s="2">
        <v>547947.21</v>
      </c>
      <c r="N2215">
        <f t="shared" si="44"/>
        <v>738243.00999998022</v>
      </c>
      <c r="O2215" s="2" t="s">
        <v>4</v>
      </c>
    </row>
    <row r="2216" spans="1:15" x14ac:dyDescent="0.2">
      <c r="A2216">
        <v>43</v>
      </c>
      <c r="B2216">
        <v>5</v>
      </c>
      <c r="C2216">
        <v>5</v>
      </c>
      <c r="D2216" s="2">
        <v>2</v>
      </c>
      <c r="E2216" s="2">
        <v>1</v>
      </c>
      <c r="F2216" s="2" t="s">
        <v>4</v>
      </c>
      <c r="G2216" s="2">
        <v>340.19999999976801</v>
      </c>
      <c r="H2216" s="2" t="s">
        <v>16</v>
      </c>
      <c r="I2216" s="2">
        <v>342902.999999978</v>
      </c>
      <c r="J2216" s="2">
        <v>2000</v>
      </c>
      <c r="K2216" s="2">
        <v>200</v>
      </c>
      <c r="L2216" s="2">
        <v>0</v>
      </c>
      <c r="M2216" s="2">
        <v>549547.61</v>
      </c>
      <c r="N2216">
        <f t="shared" si="44"/>
        <v>892790.8099999777</v>
      </c>
      <c r="O2216" s="2" t="s">
        <v>4</v>
      </c>
    </row>
    <row r="2217" spans="1:15" x14ac:dyDescent="0.2">
      <c r="A2217">
        <v>44</v>
      </c>
      <c r="B2217">
        <v>5</v>
      </c>
      <c r="C2217">
        <v>5</v>
      </c>
      <c r="D2217" s="2">
        <v>2</v>
      </c>
      <c r="E2217" s="2">
        <v>2</v>
      </c>
      <c r="F2217" s="2" t="s">
        <v>4</v>
      </c>
      <c r="G2217" s="2">
        <v>325.80000000024302</v>
      </c>
      <c r="H2217" s="2" t="s">
        <v>16</v>
      </c>
      <c r="I2217" s="2">
        <v>548630.00000000303</v>
      </c>
      <c r="J2217" s="2">
        <v>2000</v>
      </c>
      <c r="K2217" s="2">
        <v>200</v>
      </c>
      <c r="L2217" s="2">
        <v>0</v>
      </c>
      <c r="M2217" s="2">
        <v>611627.21</v>
      </c>
      <c r="N2217">
        <f t="shared" si="44"/>
        <v>1160583.0100000033</v>
      </c>
      <c r="O2217" s="2" t="s">
        <v>4</v>
      </c>
    </row>
    <row r="2218" spans="1:15" x14ac:dyDescent="0.2">
      <c r="A2218">
        <v>45</v>
      </c>
      <c r="B2218">
        <v>5</v>
      </c>
      <c r="C2218">
        <v>5</v>
      </c>
      <c r="D2218" s="2">
        <v>2</v>
      </c>
      <c r="E2218" s="2">
        <v>3</v>
      </c>
      <c r="F2218" s="2" t="s">
        <v>4</v>
      </c>
      <c r="G2218" s="2">
        <v>420.79999999948802</v>
      </c>
      <c r="H2218" s="2" t="s">
        <v>16</v>
      </c>
      <c r="I2218" s="2">
        <v>490144.99999998399</v>
      </c>
      <c r="J2218" s="2">
        <v>2000</v>
      </c>
      <c r="K2218" s="2">
        <v>200</v>
      </c>
      <c r="L2218" s="2">
        <v>0</v>
      </c>
      <c r="M2218" s="2">
        <v>601627.21</v>
      </c>
      <c r="N2218">
        <f t="shared" si="44"/>
        <v>1092193.0099999835</v>
      </c>
      <c r="O2218" s="2" t="s">
        <v>4</v>
      </c>
    </row>
    <row r="2219" spans="1:15" x14ac:dyDescent="0.2">
      <c r="A2219">
        <v>46</v>
      </c>
      <c r="B2219">
        <v>5</v>
      </c>
      <c r="C2219">
        <v>6</v>
      </c>
      <c r="D2219" s="2">
        <v>2</v>
      </c>
      <c r="E2219" s="2">
        <v>1</v>
      </c>
      <c r="F2219" s="2" t="s">
        <v>4</v>
      </c>
      <c r="G2219" s="2">
        <v>431.79999999978202</v>
      </c>
      <c r="H2219" s="2" t="s">
        <v>16</v>
      </c>
      <c r="I2219" s="2">
        <v>886569.00000000896</v>
      </c>
      <c r="J2219" s="2">
        <v>2000</v>
      </c>
      <c r="K2219" s="2">
        <v>200</v>
      </c>
      <c r="L2219" s="2">
        <v>0</v>
      </c>
      <c r="M2219" s="2">
        <v>612907.61</v>
      </c>
      <c r="N2219">
        <f t="shared" si="44"/>
        <v>1499908.4100000088</v>
      </c>
      <c r="O2219" s="2" t="s">
        <v>4</v>
      </c>
    </row>
    <row r="2220" spans="1:15" x14ac:dyDescent="0.2">
      <c r="A2220">
        <v>47</v>
      </c>
      <c r="B2220">
        <v>5</v>
      </c>
      <c r="C2220">
        <v>6</v>
      </c>
      <c r="D2220" s="2">
        <v>2</v>
      </c>
      <c r="E2220" s="2">
        <v>2</v>
      </c>
      <c r="F2220" s="2" t="s">
        <v>4</v>
      </c>
      <c r="G2220" s="2">
        <v>392.80000000019299</v>
      </c>
      <c r="H2220" s="2" t="s">
        <v>16</v>
      </c>
      <c r="I2220" s="2">
        <v>289421.00000000402</v>
      </c>
      <c r="J2220" s="2">
        <v>2000</v>
      </c>
      <c r="K2220" s="2">
        <v>200</v>
      </c>
      <c r="L2220" s="2">
        <v>0</v>
      </c>
      <c r="M2220" s="2">
        <v>547626.81000000006</v>
      </c>
      <c r="N2220">
        <f t="shared" si="44"/>
        <v>837440.61000000429</v>
      </c>
      <c r="O2220" s="2" t="s">
        <v>4</v>
      </c>
    </row>
    <row r="2221" spans="1:15" x14ac:dyDescent="0.2">
      <c r="A2221">
        <v>48</v>
      </c>
      <c r="B2221">
        <v>5</v>
      </c>
      <c r="C2221">
        <v>6</v>
      </c>
      <c r="D2221" s="2">
        <v>2</v>
      </c>
      <c r="E2221" s="2">
        <v>3</v>
      </c>
      <c r="F2221" s="2" t="s">
        <v>4</v>
      </c>
      <c r="G2221" s="2">
        <v>479.99999999994702</v>
      </c>
      <c r="H2221" s="2" t="s">
        <v>16</v>
      </c>
      <c r="I2221" s="2">
        <v>752868.00000003504</v>
      </c>
      <c r="J2221" s="2">
        <v>2000</v>
      </c>
      <c r="K2221" s="2">
        <v>200</v>
      </c>
      <c r="L2221" s="2">
        <v>0</v>
      </c>
      <c r="M2221" s="2">
        <v>604427.21</v>
      </c>
      <c r="N2221">
        <f t="shared" si="44"/>
        <v>1357775.2100000349</v>
      </c>
      <c r="O2221" s="2" t="s">
        <v>4</v>
      </c>
    </row>
    <row r="2222" spans="1:15" x14ac:dyDescent="0.2">
      <c r="A2222">
        <v>49</v>
      </c>
      <c r="B2222">
        <v>5</v>
      </c>
      <c r="C2222">
        <v>6</v>
      </c>
      <c r="D2222" s="2">
        <v>2</v>
      </c>
      <c r="E2222" s="2">
        <v>1</v>
      </c>
      <c r="F2222" s="2" t="s">
        <v>4</v>
      </c>
      <c r="G2222" s="2">
        <v>379.40000000027402</v>
      </c>
      <c r="H2222" s="2" t="s">
        <v>16</v>
      </c>
      <c r="I2222" s="2">
        <v>862047.00000001804</v>
      </c>
      <c r="J2222" s="2">
        <v>2000</v>
      </c>
      <c r="K2222" s="2">
        <v>200</v>
      </c>
      <c r="L2222" s="2">
        <v>0</v>
      </c>
      <c r="M2222" s="2">
        <v>576427.61</v>
      </c>
      <c r="N2222">
        <f t="shared" si="44"/>
        <v>1438854.0100000184</v>
      </c>
      <c r="O2222" s="2" t="s">
        <v>4</v>
      </c>
    </row>
    <row r="2223" spans="1:15" x14ac:dyDescent="0.2">
      <c r="A2223">
        <v>50</v>
      </c>
      <c r="B2223">
        <v>5</v>
      </c>
      <c r="C2223">
        <v>6</v>
      </c>
      <c r="D2223" s="2">
        <v>2</v>
      </c>
      <c r="E2223" s="2">
        <v>2</v>
      </c>
      <c r="F2223" s="2" t="s">
        <v>4</v>
      </c>
      <c r="G2223" s="2">
        <v>387.60000000017698</v>
      </c>
      <c r="H2223" s="2" t="s">
        <v>16</v>
      </c>
      <c r="I2223" s="2">
        <v>510372.99999995902</v>
      </c>
      <c r="J2223" s="2">
        <v>2000</v>
      </c>
      <c r="K2223" s="2">
        <v>200</v>
      </c>
      <c r="L2223" s="2">
        <v>0</v>
      </c>
      <c r="M2223" s="2">
        <v>617787.21</v>
      </c>
      <c r="N2223">
        <f t="shared" si="44"/>
        <v>1128547.8099999591</v>
      </c>
      <c r="O2223" s="2" t="s">
        <v>4</v>
      </c>
    </row>
    <row r="2224" spans="1:15" x14ac:dyDescent="0.2">
      <c r="A2224">
        <v>51</v>
      </c>
      <c r="B2224">
        <v>5</v>
      </c>
      <c r="C2224">
        <v>6</v>
      </c>
      <c r="D2224" s="2">
        <v>2</v>
      </c>
      <c r="E2224" s="2">
        <v>3</v>
      </c>
      <c r="F2224" s="2" t="s">
        <v>4</v>
      </c>
      <c r="G2224" s="2">
        <v>476.39999999944399</v>
      </c>
      <c r="H2224" s="2" t="s">
        <v>16</v>
      </c>
      <c r="I2224" s="2">
        <v>1073153.99999999</v>
      </c>
      <c r="J2224" s="2">
        <v>2000</v>
      </c>
      <c r="K2224" s="2">
        <v>200</v>
      </c>
      <c r="L2224" s="2">
        <v>0</v>
      </c>
      <c r="M2224" s="2">
        <v>622986.81000000006</v>
      </c>
      <c r="N2224">
        <f t="shared" si="44"/>
        <v>1696617.2099999895</v>
      </c>
      <c r="O2224" s="2" t="s">
        <v>4</v>
      </c>
    </row>
    <row r="2225" spans="1:15" x14ac:dyDescent="0.2">
      <c r="A2225">
        <v>52</v>
      </c>
      <c r="B2225">
        <v>5</v>
      </c>
      <c r="C2225">
        <v>7</v>
      </c>
      <c r="D2225" s="2">
        <v>2</v>
      </c>
      <c r="E2225" s="2">
        <v>1</v>
      </c>
      <c r="F2225" s="2" t="s">
        <v>4</v>
      </c>
      <c r="G2225" s="2">
        <v>407.79999999998</v>
      </c>
      <c r="H2225" s="2" t="s">
        <v>16</v>
      </c>
      <c r="I2225" s="2">
        <v>757241.000000022</v>
      </c>
      <c r="J2225" s="2">
        <v>2000</v>
      </c>
      <c r="K2225" s="2">
        <v>200</v>
      </c>
      <c r="L2225" s="2">
        <v>0</v>
      </c>
      <c r="M2225" s="2">
        <v>607308.01</v>
      </c>
      <c r="N2225">
        <f t="shared" si="44"/>
        <v>1364956.8100000219</v>
      </c>
      <c r="O2225" s="2" t="s">
        <v>4</v>
      </c>
    </row>
    <row r="2226" spans="1:15" x14ac:dyDescent="0.2">
      <c r="A2226">
        <v>53</v>
      </c>
      <c r="B2226">
        <v>5</v>
      </c>
      <c r="C2226">
        <v>7</v>
      </c>
      <c r="D2226" s="2">
        <v>2</v>
      </c>
      <c r="E2226" s="2">
        <v>2</v>
      </c>
      <c r="F2226" s="2" t="s">
        <v>4</v>
      </c>
      <c r="G2226" s="2">
        <v>396.99999999953701</v>
      </c>
      <c r="H2226" s="2" t="s">
        <v>16</v>
      </c>
      <c r="I2226" s="2">
        <v>929575.99999999697</v>
      </c>
      <c r="J2226" s="2">
        <v>2000</v>
      </c>
      <c r="K2226" s="2">
        <v>200</v>
      </c>
      <c r="L2226" s="2">
        <v>0</v>
      </c>
      <c r="M2226" s="2">
        <v>615707.21</v>
      </c>
      <c r="N2226">
        <f t="shared" si="44"/>
        <v>1545680.2099999965</v>
      </c>
      <c r="O2226" s="2" t="s">
        <v>4</v>
      </c>
    </row>
    <row r="2227" spans="1:15" x14ac:dyDescent="0.2">
      <c r="A2227">
        <v>54</v>
      </c>
      <c r="B2227">
        <v>5</v>
      </c>
      <c r="C2227">
        <v>7</v>
      </c>
      <c r="D2227" s="2">
        <v>2</v>
      </c>
      <c r="E2227" s="2">
        <v>3</v>
      </c>
      <c r="F2227" s="2" t="s">
        <v>4</v>
      </c>
      <c r="G2227" s="2">
        <v>497.99999999997601</v>
      </c>
      <c r="H2227" s="2" t="s">
        <v>16</v>
      </c>
      <c r="I2227" s="2">
        <v>1425852.99999996</v>
      </c>
      <c r="J2227" s="2">
        <v>2000</v>
      </c>
      <c r="K2227" s="2">
        <v>200</v>
      </c>
      <c r="L2227" s="2">
        <v>0</v>
      </c>
      <c r="M2227" s="2">
        <v>599866.81000000006</v>
      </c>
      <c r="N2227">
        <f t="shared" si="44"/>
        <v>2026217.80999996</v>
      </c>
      <c r="O2227" s="2" t="s">
        <v>4</v>
      </c>
    </row>
    <row r="2228" spans="1:15" x14ac:dyDescent="0.2">
      <c r="A2228">
        <v>55</v>
      </c>
      <c r="B2228">
        <v>5</v>
      </c>
      <c r="C2228">
        <v>5</v>
      </c>
      <c r="D2228" s="2">
        <v>2</v>
      </c>
      <c r="E2228" s="2">
        <v>1</v>
      </c>
      <c r="F2228" s="2" t="s">
        <v>4</v>
      </c>
      <c r="G2228" s="2">
        <v>289.40000000012799</v>
      </c>
      <c r="H2228" s="2" t="s">
        <v>16</v>
      </c>
      <c r="I2228" s="2">
        <v>330494.99999998498</v>
      </c>
      <c r="J2228" s="2">
        <v>2000</v>
      </c>
      <c r="K2228" s="2">
        <v>200</v>
      </c>
      <c r="L2228" s="2">
        <v>0</v>
      </c>
      <c r="M2228" s="2">
        <v>548746.81000000006</v>
      </c>
      <c r="N2228">
        <f t="shared" si="44"/>
        <v>879531.20999998518</v>
      </c>
      <c r="O2228" s="2" t="s">
        <v>4</v>
      </c>
    </row>
    <row r="2229" spans="1:15" x14ac:dyDescent="0.2">
      <c r="A2229">
        <v>56</v>
      </c>
      <c r="B2229">
        <v>5</v>
      </c>
      <c r="C2229">
        <v>5</v>
      </c>
      <c r="D2229" s="2">
        <v>2</v>
      </c>
      <c r="E2229" s="2">
        <v>2</v>
      </c>
      <c r="F2229" s="2" t="s">
        <v>4</v>
      </c>
      <c r="G2229" s="2">
        <v>287.00000000014802</v>
      </c>
      <c r="H2229" s="2" t="s">
        <v>16</v>
      </c>
      <c r="I2229" s="2">
        <v>437728.99999998999</v>
      </c>
      <c r="J2229" s="2">
        <v>2000</v>
      </c>
      <c r="K2229" s="2">
        <v>200</v>
      </c>
      <c r="L2229" s="2">
        <v>0</v>
      </c>
      <c r="M2229" s="2">
        <v>545947.21</v>
      </c>
      <c r="N2229">
        <f t="shared" si="44"/>
        <v>983963.20999999018</v>
      </c>
      <c r="O2229" s="2" t="s">
        <v>4</v>
      </c>
    </row>
    <row r="2230" spans="1:15" x14ac:dyDescent="0.2">
      <c r="A2230">
        <v>57</v>
      </c>
      <c r="B2230">
        <v>5</v>
      </c>
      <c r="C2230">
        <v>5</v>
      </c>
      <c r="D2230" s="2">
        <v>2</v>
      </c>
      <c r="E2230" s="2">
        <v>3</v>
      </c>
      <c r="F2230" s="2" t="s">
        <v>4</v>
      </c>
      <c r="G2230" s="2">
        <v>362.39999999949703</v>
      </c>
      <c r="H2230" s="2" t="s">
        <v>16</v>
      </c>
      <c r="I2230" s="2">
        <v>461844.999999983</v>
      </c>
      <c r="J2230" s="2">
        <v>2000</v>
      </c>
      <c r="K2230" s="2">
        <v>200</v>
      </c>
      <c r="L2230" s="2">
        <v>0</v>
      </c>
      <c r="M2230" s="2">
        <v>579147.61</v>
      </c>
      <c r="N2230">
        <f t="shared" si="44"/>
        <v>1041355.0099999825</v>
      </c>
      <c r="O2230" s="2" t="s">
        <v>4</v>
      </c>
    </row>
    <row r="2231" spans="1:15" x14ac:dyDescent="0.2">
      <c r="A2231">
        <v>58</v>
      </c>
      <c r="B2231">
        <v>5</v>
      </c>
      <c r="C2231">
        <v>6</v>
      </c>
      <c r="D2231" s="2">
        <v>2</v>
      </c>
      <c r="E2231" s="2">
        <v>1</v>
      </c>
      <c r="F2231" s="2" t="s">
        <v>4</v>
      </c>
      <c r="G2231" s="2">
        <v>340.79999999967498</v>
      </c>
      <c r="H2231" s="2" t="s">
        <v>16</v>
      </c>
      <c r="I2231" s="2">
        <v>736719.00000005099</v>
      </c>
      <c r="J2231" s="2">
        <v>2000</v>
      </c>
      <c r="K2231" s="2">
        <v>200</v>
      </c>
      <c r="L2231" s="2">
        <v>0</v>
      </c>
      <c r="M2231" s="2">
        <v>608427.21</v>
      </c>
      <c r="N2231">
        <f t="shared" si="44"/>
        <v>1345487.0100000505</v>
      </c>
      <c r="O2231" s="2" t="s">
        <v>4</v>
      </c>
    </row>
    <row r="2232" spans="1:15" x14ac:dyDescent="0.2">
      <c r="A2232">
        <v>59</v>
      </c>
      <c r="B2232">
        <v>5</v>
      </c>
      <c r="C2232">
        <v>6</v>
      </c>
      <c r="D2232" s="2">
        <v>2</v>
      </c>
      <c r="E2232" s="2">
        <v>2</v>
      </c>
      <c r="F2232" s="2" t="s">
        <v>4</v>
      </c>
      <c r="G2232" s="2">
        <v>334.19999999999601</v>
      </c>
      <c r="H2232" s="2" t="s">
        <v>16</v>
      </c>
      <c r="I2232" s="2">
        <v>494259</v>
      </c>
      <c r="J2232" s="2">
        <v>2000</v>
      </c>
      <c r="K2232" s="2">
        <v>200</v>
      </c>
      <c r="L2232" s="2">
        <v>0</v>
      </c>
      <c r="M2232" s="2">
        <v>618828.41</v>
      </c>
      <c r="N2232">
        <f t="shared" si="44"/>
        <v>1113421.6100000001</v>
      </c>
      <c r="O2232" s="2" t="s">
        <v>4</v>
      </c>
    </row>
    <row r="2233" spans="1:15" x14ac:dyDescent="0.2">
      <c r="A2233">
        <v>60</v>
      </c>
      <c r="B2233">
        <v>5</v>
      </c>
      <c r="C2233">
        <v>6</v>
      </c>
      <c r="D2233" s="2">
        <v>2</v>
      </c>
      <c r="E2233" s="2">
        <v>3</v>
      </c>
      <c r="F2233" s="2" t="s">
        <v>4</v>
      </c>
      <c r="G2233" s="2">
        <v>401.39999999979602</v>
      </c>
      <c r="H2233" s="2" t="s">
        <v>16</v>
      </c>
      <c r="I2233" s="2">
        <v>678708.99999996903</v>
      </c>
      <c r="J2233" s="2">
        <v>2000</v>
      </c>
      <c r="K2233" s="2">
        <v>200</v>
      </c>
      <c r="L2233" s="2">
        <v>0</v>
      </c>
      <c r="M2233" s="2">
        <v>614748.41</v>
      </c>
      <c r="N2233">
        <f t="shared" si="44"/>
        <v>1293858.8099999689</v>
      </c>
      <c r="O2233" s="2" t="s">
        <v>4</v>
      </c>
    </row>
    <row r="2234" spans="1:15" x14ac:dyDescent="0.2">
      <c r="A2234">
        <v>61</v>
      </c>
      <c r="B2234">
        <v>5</v>
      </c>
      <c r="C2234">
        <v>7</v>
      </c>
      <c r="D2234" s="2">
        <v>2</v>
      </c>
      <c r="E2234" s="2">
        <v>1</v>
      </c>
      <c r="F2234" s="2" t="s">
        <v>4</v>
      </c>
      <c r="G2234" s="2">
        <v>364.79999999983198</v>
      </c>
      <c r="H2234" s="2" t="s">
        <v>16</v>
      </c>
      <c r="I2234" s="2">
        <v>900666.99999999895</v>
      </c>
      <c r="J2234" s="2">
        <v>2000</v>
      </c>
      <c r="K2234" s="2">
        <v>200</v>
      </c>
      <c r="L2234" s="2">
        <v>0</v>
      </c>
      <c r="M2234" s="2">
        <v>610747.21</v>
      </c>
      <c r="N2234">
        <f t="shared" si="44"/>
        <v>1511779.0099999988</v>
      </c>
      <c r="O2234" s="2" t="s">
        <v>4</v>
      </c>
    </row>
    <row r="2235" spans="1:15" x14ac:dyDescent="0.2">
      <c r="A2235">
        <v>62</v>
      </c>
      <c r="B2235">
        <v>5</v>
      </c>
      <c r="C2235">
        <v>7</v>
      </c>
      <c r="D2235" s="2">
        <v>2</v>
      </c>
      <c r="E2235" s="2">
        <v>2</v>
      </c>
      <c r="F2235" s="2" t="s">
        <v>4</v>
      </c>
      <c r="G2235" s="2">
        <v>382.79999999950599</v>
      </c>
      <c r="H2235" s="2" t="s">
        <v>16</v>
      </c>
      <c r="I2235" s="2">
        <v>843414.99999999302</v>
      </c>
      <c r="J2235" s="2">
        <v>2000</v>
      </c>
      <c r="K2235" s="2">
        <v>200</v>
      </c>
      <c r="L2235" s="2">
        <v>0</v>
      </c>
      <c r="M2235" s="2">
        <v>576747.21</v>
      </c>
      <c r="N2235">
        <f t="shared" si="44"/>
        <v>1420545.0099999923</v>
      </c>
      <c r="O2235" s="2" t="s">
        <v>4</v>
      </c>
    </row>
    <row r="2236" spans="1:15" x14ac:dyDescent="0.2">
      <c r="A2236">
        <v>63</v>
      </c>
      <c r="B2236">
        <v>5</v>
      </c>
      <c r="C2236">
        <v>7</v>
      </c>
      <c r="D2236" s="2">
        <v>2</v>
      </c>
      <c r="E2236" s="2">
        <v>3</v>
      </c>
      <c r="F2236" s="2" t="s">
        <v>4</v>
      </c>
      <c r="G2236" s="2">
        <v>469.999999999615</v>
      </c>
      <c r="H2236" s="2" t="s">
        <v>16</v>
      </c>
      <c r="I2236" s="2">
        <v>1507850.99999996</v>
      </c>
      <c r="J2236" s="2">
        <v>2000</v>
      </c>
      <c r="K2236" s="2">
        <v>200</v>
      </c>
      <c r="L2236" s="2">
        <v>0</v>
      </c>
      <c r="M2236" s="2">
        <v>598266.81000000006</v>
      </c>
      <c r="N2236">
        <f t="shared" si="44"/>
        <v>2106587.8099999595</v>
      </c>
      <c r="O2236" s="2" t="s">
        <v>4</v>
      </c>
    </row>
    <row r="2237" spans="1:15" x14ac:dyDescent="0.2">
      <c r="A2237">
        <v>64</v>
      </c>
      <c r="B2237">
        <v>5</v>
      </c>
      <c r="C2237">
        <v>8</v>
      </c>
      <c r="D2237" s="2">
        <v>2</v>
      </c>
      <c r="E2237" s="2">
        <v>1</v>
      </c>
      <c r="F2237" s="2" t="s">
        <v>4</v>
      </c>
      <c r="G2237" s="2">
        <v>408.600000000092</v>
      </c>
      <c r="H2237" s="2" t="s">
        <v>16</v>
      </c>
      <c r="I2237" s="2">
        <v>1353122.99999998</v>
      </c>
      <c r="J2237" s="2">
        <v>2000</v>
      </c>
      <c r="K2237" s="2">
        <v>200</v>
      </c>
      <c r="L2237" s="2">
        <v>0</v>
      </c>
      <c r="M2237" s="2">
        <v>601386.81000000006</v>
      </c>
      <c r="N2237">
        <f t="shared" si="44"/>
        <v>1954918.4099999801</v>
      </c>
      <c r="O2237" s="2" t="s">
        <v>4</v>
      </c>
    </row>
    <row r="2238" spans="1:15" x14ac:dyDescent="0.2">
      <c r="A2238">
        <v>65</v>
      </c>
      <c r="B2238">
        <v>5</v>
      </c>
      <c r="C2238">
        <v>8</v>
      </c>
      <c r="D2238" s="2">
        <v>2</v>
      </c>
      <c r="E2238" s="2">
        <v>2</v>
      </c>
      <c r="F2238" s="2" t="s">
        <v>4</v>
      </c>
      <c r="G2238" s="2">
        <v>427.200000000383</v>
      </c>
      <c r="H2238" s="2" t="s">
        <v>16</v>
      </c>
      <c r="I2238" s="2">
        <v>1920556.00000003</v>
      </c>
      <c r="J2238" s="2">
        <v>2000</v>
      </c>
      <c r="K2238" s="2">
        <v>200</v>
      </c>
      <c r="L2238" s="2">
        <v>0</v>
      </c>
      <c r="M2238" s="2">
        <v>575067.21</v>
      </c>
      <c r="N2238">
        <f t="shared" si="44"/>
        <v>2496050.4100000304</v>
      </c>
      <c r="O2238" s="2" t="s">
        <v>4</v>
      </c>
    </row>
    <row r="2239" spans="1:15" x14ac:dyDescent="0.2">
      <c r="A2239">
        <v>66</v>
      </c>
      <c r="B2239">
        <v>5</v>
      </c>
      <c r="C2239">
        <v>8</v>
      </c>
      <c r="D2239" s="2">
        <v>2</v>
      </c>
      <c r="E2239" s="2">
        <v>3</v>
      </c>
      <c r="F2239" s="2" t="s">
        <v>4</v>
      </c>
      <c r="G2239" s="2">
        <v>553.79999999942697</v>
      </c>
      <c r="H2239" s="2" t="s">
        <v>16</v>
      </c>
      <c r="I2239" s="2">
        <v>1980976</v>
      </c>
      <c r="J2239" s="2">
        <v>2000</v>
      </c>
      <c r="K2239" s="2">
        <v>200</v>
      </c>
      <c r="L2239" s="2">
        <v>0</v>
      </c>
      <c r="M2239" s="2">
        <v>620827.61</v>
      </c>
      <c r="N2239">
        <f t="shared" si="44"/>
        <v>2602357.4099999992</v>
      </c>
      <c r="O2239" s="2" t="s">
        <v>4</v>
      </c>
    </row>
    <row r="2240" spans="1:15" x14ac:dyDescent="0.2">
      <c r="A2240">
        <v>67</v>
      </c>
      <c r="B2240">
        <v>5</v>
      </c>
      <c r="C2240">
        <v>7</v>
      </c>
      <c r="D2240" s="2">
        <v>2</v>
      </c>
      <c r="E2240" s="2">
        <v>1</v>
      </c>
      <c r="F2240" s="2" t="s">
        <v>4</v>
      </c>
      <c r="G2240" s="2">
        <v>358.99999999990899</v>
      </c>
      <c r="H2240" s="2" t="s">
        <v>16</v>
      </c>
      <c r="I2240" s="2">
        <v>736641.00000002002</v>
      </c>
      <c r="J2240" s="2">
        <v>2000</v>
      </c>
      <c r="K2240" s="2">
        <v>200</v>
      </c>
      <c r="L2240" s="2">
        <v>0</v>
      </c>
      <c r="M2240" s="2">
        <v>595547.61</v>
      </c>
      <c r="N2240">
        <f t="shared" si="44"/>
        <v>1332547.6100000199</v>
      </c>
      <c r="O2240" s="2" t="s">
        <v>4</v>
      </c>
    </row>
    <row r="2241" spans="1:15" x14ac:dyDescent="0.2">
      <c r="A2241">
        <v>68</v>
      </c>
      <c r="B2241">
        <v>5</v>
      </c>
      <c r="C2241">
        <v>7</v>
      </c>
      <c r="D2241" s="2">
        <v>2</v>
      </c>
      <c r="E2241" s="2">
        <v>2</v>
      </c>
      <c r="F2241" s="2" t="s">
        <v>4</v>
      </c>
      <c r="G2241" s="2">
        <v>373.80000000055702</v>
      </c>
      <c r="H2241" s="2" t="s">
        <v>16</v>
      </c>
      <c r="I2241" s="2">
        <v>1227076.9999999499</v>
      </c>
      <c r="J2241" s="2">
        <v>2000</v>
      </c>
      <c r="K2241" s="2">
        <v>200</v>
      </c>
      <c r="L2241" s="2">
        <v>0</v>
      </c>
      <c r="M2241" s="2">
        <v>552026.41</v>
      </c>
      <c r="N2241">
        <f t="shared" si="44"/>
        <v>1779477.2099999506</v>
      </c>
      <c r="O2241" s="2" t="s">
        <v>4</v>
      </c>
    </row>
    <row r="2242" spans="1:15" x14ac:dyDescent="0.2">
      <c r="A2242">
        <v>69</v>
      </c>
      <c r="B2242">
        <v>5</v>
      </c>
      <c r="C2242">
        <v>7</v>
      </c>
      <c r="D2242" s="2">
        <v>2</v>
      </c>
      <c r="E2242" s="2">
        <v>3</v>
      </c>
      <c r="F2242" s="2" t="s">
        <v>4</v>
      </c>
      <c r="G2242" s="2">
        <v>458.79999999947103</v>
      </c>
      <c r="H2242" s="2" t="s">
        <v>16</v>
      </c>
      <c r="I2242" s="2">
        <v>949294.00000000896</v>
      </c>
      <c r="J2242" s="2">
        <v>2000</v>
      </c>
      <c r="K2242" s="2">
        <v>200</v>
      </c>
      <c r="L2242" s="2">
        <v>0</v>
      </c>
      <c r="M2242" s="2">
        <v>598508.01</v>
      </c>
      <c r="N2242">
        <f t="shared" si="44"/>
        <v>1548260.8100000084</v>
      </c>
      <c r="O2242" s="2" t="s">
        <v>4</v>
      </c>
    </row>
    <row r="2243" spans="1:15" x14ac:dyDescent="0.2">
      <c r="A2243">
        <v>28</v>
      </c>
      <c r="B2243">
        <v>5</v>
      </c>
      <c r="C2243">
        <v>4</v>
      </c>
      <c r="D2243" s="2">
        <v>2</v>
      </c>
      <c r="E2243" s="2">
        <v>1</v>
      </c>
      <c r="F2243" s="2" t="s">
        <v>4</v>
      </c>
      <c r="G2243" s="2">
        <v>901.80000000010796</v>
      </c>
      <c r="H2243" s="2" t="s">
        <v>16</v>
      </c>
      <c r="I2243" s="2">
        <v>226247.99999999799</v>
      </c>
      <c r="J2243" s="2">
        <v>1000</v>
      </c>
      <c r="K2243" s="2">
        <v>500</v>
      </c>
      <c r="L2243" s="2">
        <v>0</v>
      </c>
      <c r="M2243" s="2">
        <v>584867.21</v>
      </c>
      <c r="N2243">
        <f t="shared" si="44"/>
        <v>812017.00999999803</v>
      </c>
      <c r="O2243" s="2" t="s">
        <v>4</v>
      </c>
    </row>
    <row r="2244" spans="1:15" x14ac:dyDescent="0.2">
      <c r="A2244">
        <v>29</v>
      </c>
      <c r="B2244">
        <v>5</v>
      </c>
      <c r="C2244">
        <v>5</v>
      </c>
      <c r="D2244" s="2">
        <v>2</v>
      </c>
      <c r="E2244" s="2">
        <v>2</v>
      </c>
      <c r="F2244" s="2" t="s">
        <v>4</v>
      </c>
      <c r="G2244" s="2">
        <v>926.20000000032098</v>
      </c>
      <c r="H2244" s="2" t="s">
        <v>16</v>
      </c>
      <c r="I2244" s="2">
        <v>333011.99999999697</v>
      </c>
      <c r="J2244" s="2">
        <v>1000</v>
      </c>
      <c r="K2244" s="2">
        <v>500</v>
      </c>
      <c r="L2244" s="2">
        <v>0</v>
      </c>
      <c r="M2244" s="2">
        <v>617226.81000000006</v>
      </c>
      <c r="N2244">
        <f t="shared" si="44"/>
        <v>951165.00999999733</v>
      </c>
      <c r="O2244" s="2" t="s">
        <v>4</v>
      </c>
    </row>
    <row r="2245" spans="1:15" x14ac:dyDescent="0.2">
      <c r="A2245">
        <v>30</v>
      </c>
      <c r="B2245">
        <v>5</v>
      </c>
      <c r="C2245">
        <v>5</v>
      </c>
      <c r="D2245" s="2">
        <v>2</v>
      </c>
      <c r="E2245" s="2">
        <v>3</v>
      </c>
      <c r="F2245" s="2" t="s">
        <v>4</v>
      </c>
      <c r="G2245" s="2">
        <v>922.99999999951899</v>
      </c>
      <c r="H2245" s="2" t="s">
        <v>16</v>
      </c>
      <c r="I2245" s="2">
        <v>1243228.99999999</v>
      </c>
      <c r="J2245" s="2">
        <v>1000</v>
      </c>
      <c r="K2245" s="2">
        <v>500</v>
      </c>
      <c r="L2245" s="2">
        <v>0</v>
      </c>
      <c r="M2245" s="2">
        <v>590987.21</v>
      </c>
      <c r="N2245">
        <f t="shared" si="44"/>
        <v>1835139.2099999895</v>
      </c>
      <c r="O2245" s="2" t="s">
        <v>4</v>
      </c>
    </row>
    <row r="2246" spans="1:15" x14ac:dyDescent="0.2">
      <c r="A2246">
        <v>31</v>
      </c>
      <c r="B2246">
        <v>5</v>
      </c>
      <c r="C2246">
        <v>5</v>
      </c>
      <c r="D2246" s="2">
        <v>2</v>
      </c>
      <c r="E2246" s="2">
        <v>1</v>
      </c>
      <c r="F2246" s="2" t="s">
        <v>4</v>
      </c>
      <c r="G2246" s="2">
        <v>780.99999999920999</v>
      </c>
      <c r="H2246" s="2" t="s">
        <v>16</v>
      </c>
      <c r="I2246" s="2">
        <v>565414.00000003295</v>
      </c>
      <c r="J2246" s="2">
        <v>1000</v>
      </c>
      <c r="K2246" s="2">
        <v>500</v>
      </c>
      <c r="L2246" s="2">
        <v>0</v>
      </c>
      <c r="M2246" s="2">
        <v>595588.01</v>
      </c>
      <c r="N2246">
        <f t="shared" ref="N2246:N2284" si="45">G2246+I2246+M2246</f>
        <v>1161783.0100000321</v>
      </c>
      <c r="O2246" s="2" t="s">
        <v>4</v>
      </c>
    </row>
    <row r="2247" spans="1:15" x14ac:dyDescent="0.2">
      <c r="A2247">
        <v>32</v>
      </c>
      <c r="B2247">
        <v>5</v>
      </c>
      <c r="C2247">
        <v>5</v>
      </c>
      <c r="D2247" s="2">
        <v>2</v>
      </c>
      <c r="E2247" s="2">
        <v>2</v>
      </c>
      <c r="F2247" s="2" t="s">
        <v>4</v>
      </c>
      <c r="G2247" s="2">
        <v>720.199999999949</v>
      </c>
      <c r="H2247" s="2" t="s">
        <v>16</v>
      </c>
      <c r="I2247" s="2">
        <v>428542.99999999098</v>
      </c>
      <c r="J2247" s="2">
        <v>1000</v>
      </c>
      <c r="K2247" s="2">
        <v>500</v>
      </c>
      <c r="L2247" s="2">
        <v>0</v>
      </c>
      <c r="M2247" s="2">
        <v>613947.21</v>
      </c>
      <c r="N2247">
        <f t="shared" si="45"/>
        <v>1043210.4099999908</v>
      </c>
      <c r="O2247" s="2" t="s">
        <v>4</v>
      </c>
    </row>
    <row r="2248" spans="1:15" x14ac:dyDescent="0.2">
      <c r="A2248">
        <v>33</v>
      </c>
      <c r="B2248">
        <v>5</v>
      </c>
      <c r="C2248">
        <v>5</v>
      </c>
      <c r="D2248" s="2">
        <v>2</v>
      </c>
      <c r="E2248" s="2">
        <v>3</v>
      </c>
      <c r="F2248" s="2" t="s">
        <v>4</v>
      </c>
      <c r="G2248" s="2">
        <v>762.79999999968595</v>
      </c>
      <c r="H2248" s="2" t="s">
        <v>16</v>
      </c>
      <c r="I2248" s="2">
        <v>873103.00000001502</v>
      </c>
      <c r="J2248" s="2">
        <v>1000</v>
      </c>
      <c r="K2248" s="2">
        <v>500</v>
      </c>
      <c r="L2248" s="2">
        <v>0</v>
      </c>
      <c r="M2248" s="2">
        <v>616147.21</v>
      </c>
      <c r="N2248">
        <f t="shared" si="45"/>
        <v>1490013.0100000147</v>
      </c>
      <c r="O2248" s="2" t="s">
        <v>4</v>
      </c>
    </row>
    <row r="2249" spans="1:15" x14ac:dyDescent="0.2">
      <c r="A2249">
        <v>34</v>
      </c>
      <c r="B2249">
        <v>5</v>
      </c>
      <c r="C2249">
        <v>5</v>
      </c>
      <c r="D2249" s="2">
        <v>2</v>
      </c>
      <c r="E2249" s="2">
        <v>1</v>
      </c>
      <c r="F2249" s="2" t="s">
        <v>4</v>
      </c>
      <c r="G2249" s="2">
        <v>563.600000000264</v>
      </c>
      <c r="H2249" s="2" t="s">
        <v>16</v>
      </c>
      <c r="I2249" s="2">
        <v>344550.00000002701</v>
      </c>
      <c r="J2249" s="2">
        <v>1000</v>
      </c>
      <c r="K2249" s="2">
        <v>500</v>
      </c>
      <c r="L2249" s="2">
        <v>0</v>
      </c>
      <c r="M2249" s="2">
        <v>619588.81000000006</v>
      </c>
      <c r="N2249">
        <f t="shared" si="45"/>
        <v>964702.41000002739</v>
      </c>
      <c r="O2249" s="2" t="s">
        <v>4</v>
      </c>
    </row>
    <row r="2250" spans="1:15" x14ac:dyDescent="0.2">
      <c r="A2250">
        <v>35</v>
      </c>
      <c r="B2250">
        <v>5</v>
      </c>
      <c r="C2250">
        <v>6</v>
      </c>
      <c r="D2250" s="2">
        <v>2</v>
      </c>
      <c r="E2250" s="2">
        <v>1</v>
      </c>
      <c r="F2250" s="2" t="s">
        <v>4</v>
      </c>
      <c r="G2250" s="2">
        <v>467.000000000439</v>
      </c>
      <c r="H2250" s="2" t="s">
        <v>16</v>
      </c>
      <c r="I2250" s="2">
        <v>1064708.99999999</v>
      </c>
      <c r="J2250" s="2">
        <v>1000</v>
      </c>
      <c r="K2250" s="2">
        <v>500</v>
      </c>
      <c r="L2250" s="2">
        <v>0</v>
      </c>
      <c r="M2250" s="2">
        <v>615747.61</v>
      </c>
      <c r="N2250">
        <f t="shared" si="45"/>
        <v>1680923.6099999906</v>
      </c>
      <c r="O2250" s="2" t="s">
        <v>4</v>
      </c>
    </row>
    <row r="2251" spans="1:15" x14ac:dyDescent="0.2">
      <c r="A2251">
        <v>36</v>
      </c>
      <c r="B2251">
        <v>5</v>
      </c>
      <c r="C2251">
        <v>6</v>
      </c>
      <c r="D2251" s="2">
        <v>2</v>
      </c>
      <c r="E2251" s="2">
        <v>2</v>
      </c>
      <c r="F2251" s="2" t="s">
        <v>4</v>
      </c>
      <c r="G2251" s="2">
        <v>432.59999999953902</v>
      </c>
      <c r="H2251" s="2" t="s">
        <v>16</v>
      </c>
      <c r="I2251" s="2">
        <v>657116.99999997101</v>
      </c>
      <c r="J2251" s="2">
        <v>1000</v>
      </c>
      <c r="K2251" s="2">
        <v>500</v>
      </c>
      <c r="L2251" s="2">
        <v>0</v>
      </c>
      <c r="M2251" s="2">
        <v>620188.41</v>
      </c>
      <c r="N2251">
        <f t="shared" si="45"/>
        <v>1277738.0099999704</v>
      </c>
      <c r="O2251" s="2" t="s">
        <v>4</v>
      </c>
    </row>
    <row r="2252" spans="1:15" x14ac:dyDescent="0.2">
      <c r="A2252">
        <v>37</v>
      </c>
      <c r="B2252">
        <v>5</v>
      </c>
      <c r="C2252">
        <v>6</v>
      </c>
      <c r="D2252" s="2">
        <v>2</v>
      </c>
      <c r="E2252" s="2">
        <v>3</v>
      </c>
      <c r="F2252" s="2" t="s">
        <v>4</v>
      </c>
      <c r="G2252" s="2">
        <v>535.40000000005296</v>
      </c>
      <c r="H2252" s="2" t="s">
        <v>16</v>
      </c>
      <c r="I2252" s="2">
        <v>638085.99999998696</v>
      </c>
      <c r="J2252" s="2">
        <v>1000</v>
      </c>
      <c r="K2252" s="2">
        <v>500</v>
      </c>
      <c r="L2252" s="2">
        <v>0</v>
      </c>
      <c r="M2252" s="2">
        <v>584946.81000000006</v>
      </c>
      <c r="N2252">
        <f t="shared" si="45"/>
        <v>1223568.2099999869</v>
      </c>
      <c r="O2252" s="2" t="s">
        <v>4</v>
      </c>
    </row>
    <row r="2253" spans="1:15" x14ac:dyDescent="0.2">
      <c r="A2253">
        <v>38</v>
      </c>
      <c r="B2253">
        <v>5</v>
      </c>
      <c r="C2253">
        <v>6</v>
      </c>
      <c r="D2253" s="2">
        <v>2</v>
      </c>
      <c r="E2253" s="2">
        <v>1</v>
      </c>
      <c r="F2253" s="2" t="s">
        <v>4</v>
      </c>
      <c r="G2253" s="2">
        <v>394.79999999976201</v>
      </c>
      <c r="H2253" s="2" t="s">
        <v>16</v>
      </c>
      <c r="I2253" s="2">
        <v>402707.00000002101</v>
      </c>
      <c r="J2253" s="2">
        <v>1000</v>
      </c>
      <c r="K2253" s="2">
        <v>500</v>
      </c>
      <c r="L2253" s="2">
        <v>0</v>
      </c>
      <c r="M2253" s="2">
        <v>584187.61</v>
      </c>
      <c r="N2253">
        <f t="shared" si="45"/>
        <v>987289.41000002075</v>
      </c>
      <c r="O2253" s="2" t="s">
        <v>4</v>
      </c>
    </row>
    <row r="2254" spans="1:15" x14ac:dyDescent="0.2">
      <c r="A2254">
        <v>39</v>
      </c>
      <c r="B2254">
        <v>5</v>
      </c>
      <c r="C2254">
        <v>7</v>
      </c>
      <c r="D2254" s="2">
        <v>2</v>
      </c>
      <c r="E2254" s="2">
        <v>1</v>
      </c>
      <c r="F2254" s="2" t="s">
        <v>4</v>
      </c>
      <c r="G2254" s="2">
        <v>470.600000000232</v>
      </c>
      <c r="H2254" s="2" t="s">
        <v>16</v>
      </c>
      <c r="I2254" s="2">
        <v>1193374.00000001</v>
      </c>
      <c r="J2254" s="2">
        <v>1000</v>
      </c>
      <c r="K2254" s="2">
        <v>500</v>
      </c>
      <c r="L2254" s="2">
        <v>0</v>
      </c>
      <c r="M2254" s="2">
        <v>614867.61</v>
      </c>
      <c r="N2254">
        <f t="shared" si="45"/>
        <v>1808712.2100000102</v>
      </c>
      <c r="O2254" s="2" t="s">
        <v>4</v>
      </c>
    </row>
    <row r="2255" spans="1:15" x14ac:dyDescent="0.2">
      <c r="A2255">
        <v>40</v>
      </c>
      <c r="B2255">
        <v>5</v>
      </c>
      <c r="C2255">
        <v>7</v>
      </c>
      <c r="D2255" s="2">
        <v>2</v>
      </c>
      <c r="E2255" s="2">
        <v>2</v>
      </c>
      <c r="F2255" s="2" t="s">
        <v>4</v>
      </c>
      <c r="G2255" s="2">
        <v>455.20000000074401</v>
      </c>
      <c r="H2255" s="2" t="s">
        <v>16</v>
      </c>
      <c r="I2255" s="2">
        <v>517399.00000001199</v>
      </c>
      <c r="J2255" s="2">
        <v>1000</v>
      </c>
      <c r="K2255" s="2">
        <v>500</v>
      </c>
      <c r="L2255" s="2">
        <v>0</v>
      </c>
      <c r="M2255" s="2">
        <v>611187.61</v>
      </c>
      <c r="N2255">
        <f t="shared" si="45"/>
        <v>1129041.8100000126</v>
      </c>
      <c r="O2255" s="2" t="s">
        <v>4</v>
      </c>
    </row>
    <row r="2256" spans="1:15" x14ac:dyDescent="0.2">
      <c r="A2256">
        <v>41</v>
      </c>
      <c r="B2256">
        <v>5</v>
      </c>
      <c r="C2256">
        <v>7</v>
      </c>
      <c r="D2256" s="2">
        <v>2</v>
      </c>
      <c r="E2256" s="2">
        <v>3</v>
      </c>
      <c r="F2256" s="2" t="s">
        <v>4</v>
      </c>
      <c r="G2256" s="2">
        <v>556.20000000047298</v>
      </c>
      <c r="H2256" s="2" t="s">
        <v>16</v>
      </c>
      <c r="I2256" s="2">
        <v>1178815.99999998</v>
      </c>
      <c r="J2256" s="2">
        <v>1000</v>
      </c>
      <c r="K2256" s="2">
        <v>500</v>
      </c>
      <c r="L2256" s="2">
        <v>0</v>
      </c>
      <c r="M2256" s="2">
        <v>610626.81000000006</v>
      </c>
      <c r="N2256">
        <f t="shared" si="45"/>
        <v>1789999.0099999805</v>
      </c>
      <c r="O2256" s="2" t="s">
        <v>4</v>
      </c>
    </row>
    <row r="2257" spans="1:15" x14ac:dyDescent="0.2">
      <c r="A2257">
        <v>42</v>
      </c>
      <c r="B2257">
        <v>5</v>
      </c>
      <c r="C2257">
        <v>4</v>
      </c>
      <c r="D2257" s="2">
        <v>2</v>
      </c>
      <c r="E2257" s="2">
        <v>1</v>
      </c>
      <c r="F2257" s="2" t="s">
        <v>4</v>
      </c>
      <c r="G2257" s="2">
        <v>288.80000000022198</v>
      </c>
      <c r="H2257" s="2" t="s">
        <v>16</v>
      </c>
      <c r="I2257" s="2">
        <v>190006.99999998001</v>
      </c>
      <c r="J2257" s="2">
        <v>1000</v>
      </c>
      <c r="K2257" s="2">
        <v>500</v>
      </c>
      <c r="L2257" s="2">
        <v>0</v>
      </c>
      <c r="M2257" s="2">
        <v>583587.21</v>
      </c>
      <c r="N2257">
        <f t="shared" si="45"/>
        <v>773883.00999998022</v>
      </c>
      <c r="O2257" s="2" t="s">
        <v>4</v>
      </c>
    </row>
    <row r="2258" spans="1:15" x14ac:dyDescent="0.2">
      <c r="A2258">
        <v>43</v>
      </c>
      <c r="B2258">
        <v>5</v>
      </c>
      <c r="C2258">
        <v>5</v>
      </c>
      <c r="D2258" s="2">
        <v>2</v>
      </c>
      <c r="E2258" s="2">
        <v>1</v>
      </c>
      <c r="F2258" s="2" t="s">
        <v>4</v>
      </c>
      <c r="G2258" s="2">
        <v>340.19999999976801</v>
      </c>
      <c r="H2258" s="2" t="s">
        <v>16</v>
      </c>
      <c r="I2258" s="2">
        <v>342902.999999978</v>
      </c>
      <c r="J2258" s="2">
        <v>1000</v>
      </c>
      <c r="K2258" s="2">
        <v>500</v>
      </c>
      <c r="L2258" s="2">
        <v>0</v>
      </c>
      <c r="M2258" s="2">
        <v>584387.61</v>
      </c>
      <c r="N2258">
        <f t="shared" si="45"/>
        <v>927630.8099999777</v>
      </c>
      <c r="O2258" s="2" t="s">
        <v>4</v>
      </c>
    </row>
    <row r="2259" spans="1:15" x14ac:dyDescent="0.2">
      <c r="A2259">
        <v>44</v>
      </c>
      <c r="B2259">
        <v>5</v>
      </c>
      <c r="C2259">
        <v>5</v>
      </c>
      <c r="D2259" s="2">
        <v>2</v>
      </c>
      <c r="E2259" s="2">
        <v>2</v>
      </c>
      <c r="F2259" s="2" t="s">
        <v>4</v>
      </c>
      <c r="G2259" s="2">
        <v>325.80000000024302</v>
      </c>
      <c r="H2259" s="2" t="s">
        <v>16</v>
      </c>
      <c r="I2259" s="2">
        <v>548630.00000000303</v>
      </c>
      <c r="J2259" s="2">
        <v>1000</v>
      </c>
      <c r="K2259" s="2">
        <v>500</v>
      </c>
      <c r="L2259" s="2">
        <v>0</v>
      </c>
      <c r="M2259" s="2">
        <v>615427.21</v>
      </c>
      <c r="N2259">
        <f t="shared" si="45"/>
        <v>1164383.0100000033</v>
      </c>
      <c r="O2259" s="2" t="s">
        <v>4</v>
      </c>
    </row>
    <row r="2260" spans="1:15" x14ac:dyDescent="0.2">
      <c r="A2260">
        <v>45</v>
      </c>
      <c r="B2260">
        <v>5</v>
      </c>
      <c r="C2260">
        <v>5</v>
      </c>
      <c r="D2260" s="2">
        <v>2</v>
      </c>
      <c r="E2260" s="2">
        <v>3</v>
      </c>
      <c r="F2260" s="2" t="s">
        <v>4</v>
      </c>
      <c r="G2260" s="2">
        <v>420.79999999948802</v>
      </c>
      <c r="H2260" s="2" t="s">
        <v>16</v>
      </c>
      <c r="I2260" s="2">
        <v>490144.99999998399</v>
      </c>
      <c r="J2260" s="2">
        <v>1000</v>
      </c>
      <c r="K2260" s="2">
        <v>500</v>
      </c>
      <c r="L2260" s="2">
        <v>0</v>
      </c>
      <c r="M2260" s="2">
        <v>610427.21</v>
      </c>
      <c r="N2260">
        <f t="shared" si="45"/>
        <v>1100993.0099999835</v>
      </c>
      <c r="O2260" s="2" t="s">
        <v>4</v>
      </c>
    </row>
    <row r="2261" spans="1:15" x14ac:dyDescent="0.2">
      <c r="A2261">
        <v>46</v>
      </c>
      <c r="B2261">
        <v>5</v>
      </c>
      <c r="C2261">
        <v>6</v>
      </c>
      <c r="D2261" s="2">
        <v>2</v>
      </c>
      <c r="E2261" s="2">
        <v>1</v>
      </c>
      <c r="F2261" s="2" t="s">
        <v>4</v>
      </c>
      <c r="G2261" s="2">
        <v>431.79999999978202</v>
      </c>
      <c r="H2261" s="2" t="s">
        <v>16</v>
      </c>
      <c r="I2261" s="2">
        <v>886569.00000000896</v>
      </c>
      <c r="J2261" s="2">
        <v>1000</v>
      </c>
      <c r="K2261" s="2">
        <v>500</v>
      </c>
      <c r="L2261" s="2">
        <v>0</v>
      </c>
      <c r="M2261" s="2">
        <v>616067.61</v>
      </c>
      <c r="N2261">
        <f t="shared" si="45"/>
        <v>1503068.4100000088</v>
      </c>
      <c r="O2261" s="2" t="s">
        <v>4</v>
      </c>
    </row>
    <row r="2262" spans="1:15" x14ac:dyDescent="0.2">
      <c r="A2262">
        <v>47</v>
      </c>
      <c r="B2262">
        <v>5</v>
      </c>
      <c r="C2262">
        <v>6</v>
      </c>
      <c r="D2262" s="2">
        <v>2</v>
      </c>
      <c r="E2262" s="2">
        <v>2</v>
      </c>
      <c r="F2262" s="2" t="s">
        <v>4</v>
      </c>
      <c r="G2262" s="2">
        <v>392.80000000019299</v>
      </c>
      <c r="H2262" s="2" t="s">
        <v>16</v>
      </c>
      <c r="I2262" s="2">
        <v>289421.00000000402</v>
      </c>
      <c r="J2262" s="2">
        <v>1000</v>
      </c>
      <c r="K2262" s="2">
        <v>500</v>
      </c>
      <c r="L2262" s="2">
        <v>0</v>
      </c>
      <c r="M2262" s="2">
        <v>583426.81000000006</v>
      </c>
      <c r="N2262">
        <f t="shared" si="45"/>
        <v>873240.61000000429</v>
      </c>
      <c r="O2262" s="2" t="s">
        <v>4</v>
      </c>
    </row>
    <row r="2263" spans="1:15" x14ac:dyDescent="0.2">
      <c r="A2263">
        <v>48</v>
      </c>
      <c r="B2263">
        <v>5</v>
      </c>
      <c r="C2263">
        <v>6</v>
      </c>
      <c r="D2263" s="2">
        <v>2</v>
      </c>
      <c r="E2263" s="2">
        <v>3</v>
      </c>
      <c r="F2263" s="2" t="s">
        <v>4</v>
      </c>
      <c r="G2263" s="2">
        <v>479.99999999994702</v>
      </c>
      <c r="H2263" s="2" t="s">
        <v>16</v>
      </c>
      <c r="I2263" s="2">
        <v>752868.00000003504</v>
      </c>
      <c r="J2263" s="2">
        <v>1000</v>
      </c>
      <c r="K2263" s="2">
        <v>500</v>
      </c>
      <c r="L2263" s="2">
        <v>0</v>
      </c>
      <c r="M2263" s="2">
        <v>611827.21</v>
      </c>
      <c r="N2263">
        <f t="shared" si="45"/>
        <v>1365175.2100000349</v>
      </c>
      <c r="O2263" s="2" t="s">
        <v>4</v>
      </c>
    </row>
    <row r="2264" spans="1:15" x14ac:dyDescent="0.2">
      <c r="A2264">
        <v>49</v>
      </c>
      <c r="B2264">
        <v>5</v>
      </c>
      <c r="C2264">
        <v>6</v>
      </c>
      <c r="D2264" s="2">
        <v>2</v>
      </c>
      <c r="E2264" s="2">
        <v>1</v>
      </c>
      <c r="F2264" s="2" t="s">
        <v>4</v>
      </c>
      <c r="G2264" s="2">
        <v>379.40000000027402</v>
      </c>
      <c r="H2264" s="2" t="s">
        <v>16</v>
      </c>
      <c r="I2264" s="2">
        <v>862047.00000001804</v>
      </c>
      <c r="J2264" s="2">
        <v>1000</v>
      </c>
      <c r="K2264" s="2">
        <v>500</v>
      </c>
      <c r="L2264" s="2">
        <v>0</v>
      </c>
      <c r="M2264" s="2">
        <v>597827.61</v>
      </c>
      <c r="N2264">
        <f t="shared" si="45"/>
        <v>1460254.0100000184</v>
      </c>
      <c r="O2264" s="2" t="s">
        <v>4</v>
      </c>
    </row>
    <row r="2265" spans="1:15" x14ac:dyDescent="0.2">
      <c r="A2265">
        <v>50</v>
      </c>
      <c r="B2265">
        <v>5</v>
      </c>
      <c r="C2265">
        <v>6</v>
      </c>
      <c r="D2265" s="2">
        <v>2</v>
      </c>
      <c r="E2265" s="2">
        <v>2</v>
      </c>
      <c r="F2265" s="2" t="s">
        <v>4</v>
      </c>
      <c r="G2265" s="2">
        <v>387.60000000017698</v>
      </c>
      <c r="H2265" s="2" t="s">
        <v>16</v>
      </c>
      <c r="I2265" s="2">
        <v>510372.99999995902</v>
      </c>
      <c r="J2265" s="2">
        <v>1000</v>
      </c>
      <c r="K2265" s="2">
        <v>500</v>
      </c>
      <c r="L2265" s="2">
        <v>0</v>
      </c>
      <c r="M2265" s="2">
        <v>618507.21</v>
      </c>
      <c r="N2265">
        <f t="shared" si="45"/>
        <v>1129267.8099999591</v>
      </c>
      <c r="O2265" s="2" t="s">
        <v>4</v>
      </c>
    </row>
    <row r="2266" spans="1:15" x14ac:dyDescent="0.2">
      <c r="A2266">
        <v>51</v>
      </c>
      <c r="B2266">
        <v>5</v>
      </c>
      <c r="C2266">
        <v>6</v>
      </c>
      <c r="D2266" s="2">
        <v>2</v>
      </c>
      <c r="E2266" s="2">
        <v>3</v>
      </c>
      <c r="F2266" s="2" t="s">
        <v>4</v>
      </c>
      <c r="G2266" s="2">
        <v>476.39999999944399</v>
      </c>
      <c r="H2266" s="2" t="s">
        <v>16</v>
      </c>
      <c r="I2266" s="2">
        <v>1073153.99999999</v>
      </c>
      <c r="J2266" s="2">
        <v>1000</v>
      </c>
      <c r="K2266" s="2">
        <v>500</v>
      </c>
      <c r="L2266" s="2">
        <v>0</v>
      </c>
      <c r="M2266" s="2">
        <v>621106.81000000006</v>
      </c>
      <c r="N2266">
        <f t="shared" si="45"/>
        <v>1694737.2099999895</v>
      </c>
      <c r="O2266" s="2" t="s">
        <v>4</v>
      </c>
    </row>
    <row r="2267" spans="1:15" x14ac:dyDescent="0.2">
      <c r="A2267">
        <v>52</v>
      </c>
      <c r="B2267">
        <v>5</v>
      </c>
      <c r="C2267">
        <v>7</v>
      </c>
      <c r="D2267" s="2">
        <v>2</v>
      </c>
      <c r="E2267" s="2">
        <v>1</v>
      </c>
      <c r="F2267" s="2" t="s">
        <v>4</v>
      </c>
      <c r="G2267" s="2">
        <v>407.79999999998</v>
      </c>
      <c r="H2267" s="2" t="s">
        <v>16</v>
      </c>
      <c r="I2267" s="2">
        <v>757241.000000022</v>
      </c>
      <c r="J2267" s="2">
        <v>1000</v>
      </c>
      <c r="K2267" s="2">
        <v>500</v>
      </c>
      <c r="L2267" s="2">
        <v>0</v>
      </c>
      <c r="M2267" s="2">
        <v>613268.01</v>
      </c>
      <c r="N2267">
        <f t="shared" si="45"/>
        <v>1370916.8100000219</v>
      </c>
      <c r="O2267" s="2" t="s">
        <v>4</v>
      </c>
    </row>
    <row r="2268" spans="1:15" x14ac:dyDescent="0.2">
      <c r="A2268">
        <v>53</v>
      </c>
      <c r="B2268">
        <v>5</v>
      </c>
      <c r="C2268">
        <v>7</v>
      </c>
      <c r="D2268" s="2">
        <v>2</v>
      </c>
      <c r="E2268" s="2">
        <v>2</v>
      </c>
      <c r="F2268" s="2" t="s">
        <v>4</v>
      </c>
      <c r="G2268" s="2">
        <v>396.99999999953701</v>
      </c>
      <c r="H2268" s="2" t="s">
        <v>16</v>
      </c>
      <c r="I2268" s="2">
        <v>929575.99999999697</v>
      </c>
      <c r="J2268" s="2">
        <v>1000</v>
      </c>
      <c r="K2268" s="2">
        <v>500</v>
      </c>
      <c r="L2268" s="2">
        <v>0</v>
      </c>
      <c r="M2268" s="2">
        <v>617467.21</v>
      </c>
      <c r="N2268">
        <f t="shared" si="45"/>
        <v>1547440.2099999965</v>
      </c>
      <c r="O2268" s="2" t="s">
        <v>4</v>
      </c>
    </row>
    <row r="2269" spans="1:15" x14ac:dyDescent="0.2">
      <c r="A2269">
        <v>54</v>
      </c>
      <c r="B2269">
        <v>5</v>
      </c>
      <c r="C2269">
        <v>7</v>
      </c>
      <c r="D2269" s="2">
        <v>2</v>
      </c>
      <c r="E2269" s="2">
        <v>3</v>
      </c>
      <c r="F2269" s="2" t="s">
        <v>4</v>
      </c>
      <c r="G2269" s="2">
        <v>497.99999999997601</v>
      </c>
      <c r="H2269" s="2" t="s">
        <v>16</v>
      </c>
      <c r="I2269" s="2">
        <v>1425852.99999996</v>
      </c>
      <c r="J2269" s="2">
        <v>1000</v>
      </c>
      <c r="K2269" s="2">
        <v>500</v>
      </c>
      <c r="L2269" s="2">
        <v>0</v>
      </c>
      <c r="M2269" s="2">
        <v>609546.81000000006</v>
      </c>
      <c r="N2269">
        <f t="shared" si="45"/>
        <v>2035897.80999996</v>
      </c>
      <c r="O2269" s="2" t="s">
        <v>4</v>
      </c>
    </row>
    <row r="2270" spans="1:15" x14ac:dyDescent="0.2">
      <c r="A2270">
        <v>55</v>
      </c>
      <c r="B2270">
        <v>5</v>
      </c>
      <c r="C2270">
        <v>5</v>
      </c>
      <c r="D2270" s="2">
        <v>2</v>
      </c>
      <c r="E2270" s="2">
        <v>1</v>
      </c>
      <c r="F2270" s="2" t="s">
        <v>4</v>
      </c>
      <c r="G2270" s="2">
        <v>289.40000000012799</v>
      </c>
      <c r="H2270" s="2" t="s">
        <v>16</v>
      </c>
      <c r="I2270" s="2">
        <v>330494.99999998498</v>
      </c>
      <c r="J2270" s="2">
        <v>1000</v>
      </c>
      <c r="K2270" s="2">
        <v>500</v>
      </c>
      <c r="L2270" s="2">
        <v>0</v>
      </c>
      <c r="M2270" s="2">
        <v>583986.81000000006</v>
      </c>
      <c r="N2270">
        <f t="shared" si="45"/>
        <v>914771.20999998518</v>
      </c>
      <c r="O2270" s="2" t="s">
        <v>4</v>
      </c>
    </row>
    <row r="2271" spans="1:15" x14ac:dyDescent="0.2">
      <c r="A2271">
        <v>56</v>
      </c>
      <c r="B2271">
        <v>5</v>
      </c>
      <c r="C2271">
        <v>5</v>
      </c>
      <c r="D2271" s="2">
        <v>2</v>
      </c>
      <c r="E2271" s="2">
        <v>2</v>
      </c>
      <c r="F2271" s="2" t="s">
        <v>4</v>
      </c>
      <c r="G2271" s="2">
        <v>287.00000000014802</v>
      </c>
      <c r="H2271" s="2" t="s">
        <v>16</v>
      </c>
      <c r="I2271" s="2">
        <v>437728.99999998999</v>
      </c>
      <c r="J2271" s="2">
        <v>1000</v>
      </c>
      <c r="K2271" s="2">
        <v>500</v>
      </c>
      <c r="L2271" s="2">
        <v>0</v>
      </c>
      <c r="M2271" s="2">
        <v>582587.21</v>
      </c>
      <c r="N2271">
        <f t="shared" si="45"/>
        <v>1020603.2099999902</v>
      </c>
      <c r="O2271" s="2" t="s">
        <v>4</v>
      </c>
    </row>
    <row r="2272" spans="1:15" x14ac:dyDescent="0.2">
      <c r="A2272">
        <v>57</v>
      </c>
      <c r="B2272">
        <v>5</v>
      </c>
      <c r="C2272">
        <v>5</v>
      </c>
      <c r="D2272" s="2">
        <v>2</v>
      </c>
      <c r="E2272" s="2">
        <v>3</v>
      </c>
      <c r="F2272" s="2" t="s">
        <v>4</v>
      </c>
      <c r="G2272" s="2">
        <v>362.39999999949703</v>
      </c>
      <c r="H2272" s="2" t="s">
        <v>16</v>
      </c>
      <c r="I2272" s="2">
        <v>461844.999999983</v>
      </c>
      <c r="J2272" s="2">
        <v>1000</v>
      </c>
      <c r="K2272" s="2">
        <v>500</v>
      </c>
      <c r="L2272" s="2">
        <v>0</v>
      </c>
      <c r="M2272" s="2">
        <v>599187.61</v>
      </c>
      <c r="N2272">
        <f t="shared" si="45"/>
        <v>1061395.0099999825</v>
      </c>
      <c r="O2272" s="2" t="s">
        <v>4</v>
      </c>
    </row>
    <row r="2273" spans="1:15" x14ac:dyDescent="0.2">
      <c r="A2273">
        <v>58</v>
      </c>
      <c r="B2273">
        <v>5</v>
      </c>
      <c r="C2273">
        <v>6</v>
      </c>
      <c r="D2273" s="2">
        <v>2</v>
      </c>
      <c r="E2273" s="2">
        <v>1</v>
      </c>
      <c r="F2273" s="2" t="s">
        <v>4</v>
      </c>
      <c r="G2273" s="2">
        <v>340.79999999967498</v>
      </c>
      <c r="H2273" s="2" t="s">
        <v>16</v>
      </c>
      <c r="I2273" s="2">
        <v>736719.00000005099</v>
      </c>
      <c r="J2273" s="2">
        <v>1000</v>
      </c>
      <c r="K2273" s="2">
        <v>500</v>
      </c>
      <c r="L2273" s="2">
        <v>0</v>
      </c>
      <c r="M2273" s="2">
        <v>613827.21</v>
      </c>
      <c r="N2273">
        <f t="shared" si="45"/>
        <v>1350887.0100000505</v>
      </c>
      <c r="O2273" s="2" t="s">
        <v>4</v>
      </c>
    </row>
    <row r="2274" spans="1:15" x14ac:dyDescent="0.2">
      <c r="A2274">
        <v>59</v>
      </c>
      <c r="B2274">
        <v>5</v>
      </c>
      <c r="C2274">
        <v>6</v>
      </c>
      <c r="D2274" s="2">
        <v>2</v>
      </c>
      <c r="E2274" s="2">
        <v>2</v>
      </c>
      <c r="F2274" s="2" t="s">
        <v>4</v>
      </c>
      <c r="G2274" s="2">
        <v>334.19999999999601</v>
      </c>
      <c r="H2274" s="2" t="s">
        <v>16</v>
      </c>
      <c r="I2274" s="2">
        <v>494259</v>
      </c>
      <c r="J2274" s="2">
        <v>1000</v>
      </c>
      <c r="K2274" s="2">
        <v>500</v>
      </c>
      <c r="L2274" s="2">
        <v>0</v>
      </c>
      <c r="M2274" s="2">
        <v>619028.41</v>
      </c>
      <c r="N2274">
        <f t="shared" si="45"/>
        <v>1113621.6100000001</v>
      </c>
      <c r="O2274" s="2" t="s">
        <v>4</v>
      </c>
    </row>
    <row r="2275" spans="1:15" x14ac:dyDescent="0.2">
      <c r="A2275">
        <v>60</v>
      </c>
      <c r="B2275">
        <v>5</v>
      </c>
      <c r="C2275">
        <v>6</v>
      </c>
      <c r="D2275" s="2">
        <v>2</v>
      </c>
      <c r="E2275" s="2">
        <v>3</v>
      </c>
      <c r="F2275" s="2" t="s">
        <v>4</v>
      </c>
      <c r="G2275" s="2">
        <v>401.39999999979602</v>
      </c>
      <c r="H2275" s="2" t="s">
        <v>16</v>
      </c>
      <c r="I2275" s="2">
        <v>678708.99999996903</v>
      </c>
      <c r="J2275" s="2">
        <v>1000</v>
      </c>
      <c r="K2275" s="2">
        <v>500</v>
      </c>
      <c r="L2275" s="2">
        <v>0</v>
      </c>
      <c r="M2275" s="2">
        <v>616988.41</v>
      </c>
      <c r="N2275">
        <f t="shared" si="45"/>
        <v>1296098.8099999689</v>
      </c>
      <c r="O2275" s="2" t="s">
        <v>4</v>
      </c>
    </row>
    <row r="2276" spans="1:15" x14ac:dyDescent="0.2">
      <c r="A2276">
        <v>61</v>
      </c>
      <c r="B2276">
        <v>5</v>
      </c>
      <c r="C2276">
        <v>7</v>
      </c>
      <c r="D2276" s="2">
        <v>2</v>
      </c>
      <c r="E2276" s="2">
        <v>1</v>
      </c>
      <c r="F2276" s="2" t="s">
        <v>4</v>
      </c>
      <c r="G2276" s="2">
        <v>364.79999999983198</v>
      </c>
      <c r="H2276" s="2" t="s">
        <v>16</v>
      </c>
      <c r="I2276" s="2">
        <v>900666.99999999895</v>
      </c>
      <c r="J2276" s="2">
        <v>1000</v>
      </c>
      <c r="K2276" s="2">
        <v>500</v>
      </c>
      <c r="L2276" s="2">
        <v>0</v>
      </c>
      <c r="M2276" s="2">
        <v>614987.21</v>
      </c>
      <c r="N2276">
        <f t="shared" si="45"/>
        <v>1516019.0099999988</v>
      </c>
      <c r="O2276" s="2" t="s">
        <v>4</v>
      </c>
    </row>
    <row r="2277" spans="1:15" x14ac:dyDescent="0.2">
      <c r="A2277">
        <v>62</v>
      </c>
      <c r="B2277">
        <v>5</v>
      </c>
      <c r="C2277">
        <v>7</v>
      </c>
      <c r="D2277" s="2">
        <v>2</v>
      </c>
      <c r="E2277" s="2">
        <v>2</v>
      </c>
      <c r="F2277" s="2" t="s">
        <v>4</v>
      </c>
      <c r="G2277" s="2">
        <v>382.79999999950599</v>
      </c>
      <c r="H2277" s="2" t="s">
        <v>16</v>
      </c>
      <c r="I2277" s="2">
        <v>843414.99999999302</v>
      </c>
      <c r="J2277" s="2">
        <v>1000</v>
      </c>
      <c r="K2277" s="2">
        <v>500</v>
      </c>
      <c r="L2277" s="2">
        <v>0</v>
      </c>
      <c r="M2277" s="2">
        <v>597987.21</v>
      </c>
      <c r="N2277">
        <f t="shared" si="45"/>
        <v>1441785.0099999923</v>
      </c>
      <c r="O2277" s="2" t="s">
        <v>4</v>
      </c>
    </row>
    <row r="2278" spans="1:15" x14ac:dyDescent="0.2">
      <c r="A2278">
        <v>63</v>
      </c>
      <c r="B2278">
        <v>5</v>
      </c>
      <c r="C2278">
        <v>7</v>
      </c>
      <c r="D2278" s="2">
        <v>2</v>
      </c>
      <c r="E2278" s="2">
        <v>3</v>
      </c>
      <c r="F2278" s="2" t="s">
        <v>4</v>
      </c>
      <c r="G2278" s="2">
        <v>469.999999999615</v>
      </c>
      <c r="H2278" s="2" t="s">
        <v>16</v>
      </c>
      <c r="I2278" s="2">
        <v>1507850.99999996</v>
      </c>
      <c r="J2278" s="2">
        <v>1000</v>
      </c>
      <c r="K2278" s="2">
        <v>500</v>
      </c>
      <c r="L2278" s="2">
        <v>0</v>
      </c>
      <c r="M2278" s="2">
        <v>608746.81000000006</v>
      </c>
      <c r="N2278">
        <f t="shared" si="45"/>
        <v>2117067.8099999595</v>
      </c>
      <c r="O2278" s="2" t="s">
        <v>4</v>
      </c>
    </row>
    <row r="2279" spans="1:15" x14ac:dyDescent="0.2">
      <c r="A2279">
        <v>64</v>
      </c>
      <c r="B2279">
        <v>5</v>
      </c>
      <c r="C2279">
        <v>8</v>
      </c>
      <c r="D2279" s="2">
        <v>2</v>
      </c>
      <c r="E2279" s="2">
        <v>1</v>
      </c>
      <c r="F2279" s="2" t="s">
        <v>4</v>
      </c>
      <c r="G2279" s="2">
        <v>408.600000000092</v>
      </c>
      <c r="H2279" s="2" t="s">
        <v>16</v>
      </c>
      <c r="I2279" s="2">
        <v>1353122.99999998</v>
      </c>
      <c r="J2279" s="2">
        <v>1000</v>
      </c>
      <c r="K2279" s="2">
        <v>500</v>
      </c>
      <c r="L2279" s="2">
        <v>0</v>
      </c>
      <c r="M2279" s="2">
        <v>610306.81000000006</v>
      </c>
      <c r="N2279">
        <f t="shared" si="45"/>
        <v>1963838.4099999801</v>
      </c>
      <c r="O2279" s="2" t="s">
        <v>4</v>
      </c>
    </row>
    <row r="2280" spans="1:15" x14ac:dyDescent="0.2">
      <c r="A2280">
        <v>65</v>
      </c>
      <c r="B2280">
        <v>5</v>
      </c>
      <c r="C2280">
        <v>8</v>
      </c>
      <c r="D2280" s="2">
        <v>2</v>
      </c>
      <c r="E2280" s="2">
        <v>2</v>
      </c>
      <c r="F2280" s="2" t="s">
        <v>4</v>
      </c>
      <c r="G2280" s="2">
        <v>427.200000000383</v>
      </c>
      <c r="H2280" s="2" t="s">
        <v>16</v>
      </c>
      <c r="I2280" s="2">
        <v>1920556.00000003</v>
      </c>
      <c r="J2280" s="2">
        <v>1000</v>
      </c>
      <c r="K2280" s="2">
        <v>500</v>
      </c>
      <c r="L2280" s="2">
        <v>0</v>
      </c>
      <c r="M2280" s="2">
        <v>597147.21</v>
      </c>
      <c r="N2280">
        <f t="shared" si="45"/>
        <v>2518130.4100000304</v>
      </c>
      <c r="O2280" s="2" t="s">
        <v>4</v>
      </c>
    </row>
    <row r="2281" spans="1:15" x14ac:dyDescent="0.2">
      <c r="A2281">
        <v>66</v>
      </c>
      <c r="B2281">
        <v>5</v>
      </c>
      <c r="C2281">
        <v>8</v>
      </c>
      <c r="D2281" s="2">
        <v>2</v>
      </c>
      <c r="E2281" s="2">
        <v>3</v>
      </c>
      <c r="F2281" s="2" t="s">
        <v>4</v>
      </c>
      <c r="G2281" s="2">
        <v>553.79999999942697</v>
      </c>
      <c r="H2281" s="2" t="s">
        <v>16</v>
      </c>
      <c r="I2281" s="2">
        <v>1980976</v>
      </c>
      <c r="J2281" s="2">
        <v>1000</v>
      </c>
      <c r="K2281" s="2">
        <v>500</v>
      </c>
      <c r="L2281" s="2">
        <v>0</v>
      </c>
      <c r="M2281" s="2">
        <v>620027.61</v>
      </c>
      <c r="N2281">
        <f t="shared" si="45"/>
        <v>2601557.4099999992</v>
      </c>
      <c r="O2281" s="2" t="s">
        <v>4</v>
      </c>
    </row>
    <row r="2282" spans="1:15" x14ac:dyDescent="0.2">
      <c r="A2282">
        <v>67</v>
      </c>
      <c r="B2282">
        <v>5</v>
      </c>
      <c r="C2282">
        <v>7</v>
      </c>
      <c r="D2282" s="2">
        <v>2</v>
      </c>
      <c r="E2282" s="2">
        <v>1</v>
      </c>
      <c r="F2282" s="2" t="s">
        <v>4</v>
      </c>
      <c r="G2282" s="2">
        <v>358.99999999990899</v>
      </c>
      <c r="H2282" s="2" t="s">
        <v>16</v>
      </c>
      <c r="I2282" s="2">
        <v>736641.00000002002</v>
      </c>
      <c r="J2282" s="2">
        <v>1000</v>
      </c>
      <c r="K2282" s="2">
        <v>500</v>
      </c>
      <c r="L2282" s="2">
        <v>0</v>
      </c>
      <c r="M2282" s="2">
        <v>607387.61</v>
      </c>
      <c r="N2282">
        <f t="shared" si="45"/>
        <v>1344387.6100000199</v>
      </c>
      <c r="O2282" s="2" t="s">
        <v>4</v>
      </c>
    </row>
    <row r="2283" spans="1:15" x14ac:dyDescent="0.2">
      <c r="A2283">
        <v>68</v>
      </c>
      <c r="B2283">
        <v>5</v>
      </c>
      <c r="C2283">
        <v>7</v>
      </c>
      <c r="D2283" s="2">
        <v>2</v>
      </c>
      <c r="E2283" s="2">
        <v>2</v>
      </c>
      <c r="F2283" s="2" t="s">
        <v>4</v>
      </c>
      <c r="G2283" s="2">
        <v>373.80000000055702</v>
      </c>
      <c r="H2283" s="2" t="s">
        <v>16</v>
      </c>
      <c r="I2283" s="2">
        <v>1227076.9999999499</v>
      </c>
      <c r="J2283" s="2">
        <v>1000</v>
      </c>
      <c r="K2283" s="2">
        <v>500</v>
      </c>
      <c r="L2283" s="2">
        <v>0</v>
      </c>
      <c r="M2283" s="2">
        <v>585626.41</v>
      </c>
      <c r="N2283">
        <f t="shared" si="45"/>
        <v>1813077.2099999506</v>
      </c>
      <c r="O2283" s="2" t="s">
        <v>4</v>
      </c>
    </row>
    <row r="2284" spans="1:15" x14ac:dyDescent="0.2">
      <c r="A2284">
        <v>69</v>
      </c>
      <c r="B2284">
        <v>5</v>
      </c>
      <c r="C2284">
        <v>7</v>
      </c>
      <c r="D2284" s="2">
        <v>2</v>
      </c>
      <c r="E2284" s="2">
        <v>3</v>
      </c>
      <c r="F2284" s="2" t="s">
        <v>4</v>
      </c>
      <c r="G2284" s="2">
        <v>458.79999999947103</v>
      </c>
      <c r="H2284" s="2" t="s">
        <v>16</v>
      </c>
      <c r="I2284" s="2">
        <v>949294.00000000896</v>
      </c>
      <c r="J2284" s="2">
        <v>1000</v>
      </c>
      <c r="K2284" s="2">
        <v>500</v>
      </c>
      <c r="L2284" s="2">
        <v>0</v>
      </c>
      <c r="M2284" s="2">
        <v>608868.01</v>
      </c>
      <c r="N2284">
        <f t="shared" si="45"/>
        <v>1558620.8100000084</v>
      </c>
      <c r="O2284" s="2" t="s">
        <v>4</v>
      </c>
    </row>
    <row r="2285" spans="1:15" x14ac:dyDescent="0.2">
      <c r="A2285">
        <v>28</v>
      </c>
      <c r="B2285">
        <v>5</v>
      </c>
      <c r="C2285">
        <v>4</v>
      </c>
      <c r="D2285" s="2">
        <v>2</v>
      </c>
      <c r="E2285" s="2">
        <v>1</v>
      </c>
      <c r="F2285" s="2" t="s">
        <v>4</v>
      </c>
      <c r="G2285" s="2">
        <v>901.80000000010796</v>
      </c>
      <c r="H2285" s="2" t="s">
        <v>16</v>
      </c>
      <c r="I2285" s="2">
        <v>226247.99999999799</v>
      </c>
      <c r="J2285" s="2">
        <v>5000</v>
      </c>
      <c r="K2285" s="2">
        <v>20</v>
      </c>
      <c r="L2285" s="2">
        <v>0</v>
      </c>
      <c r="M2285" s="2">
        <v>447427.61</v>
      </c>
      <c r="N2285">
        <f t="shared" si="42"/>
        <v>674577.40999999805</v>
      </c>
      <c r="O2285" s="9" t="s">
        <v>4</v>
      </c>
    </row>
    <row r="2286" spans="1:15" x14ac:dyDescent="0.2">
      <c r="A2286">
        <v>29</v>
      </c>
      <c r="B2286">
        <v>5</v>
      </c>
      <c r="C2286">
        <v>5</v>
      </c>
      <c r="D2286" s="2">
        <v>2</v>
      </c>
      <c r="E2286" s="2">
        <v>2</v>
      </c>
      <c r="F2286" s="2" t="s">
        <v>4</v>
      </c>
      <c r="G2286" s="2">
        <v>926.20000000032098</v>
      </c>
      <c r="H2286" s="2" t="s">
        <v>16</v>
      </c>
      <c r="I2286" s="2">
        <v>333011.99999999697</v>
      </c>
      <c r="J2286" s="2">
        <v>5000</v>
      </c>
      <c r="K2286" s="2">
        <v>20</v>
      </c>
      <c r="L2286" s="2">
        <v>0</v>
      </c>
      <c r="M2286" s="2">
        <v>609227.21</v>
      </c>
      <c r="N2286">
        <f t="shared" si="42"/>
        <v>943165.40999999724</v>
      </c>
      <c r="O2286" s="9" t="s">
        <v>4</v>
      </c>
    </row>
    <row r="2287" spans="1:15" x14ac:dyDescent="0.2">
      <c r="A2287">
        <v>30</v>
      </c>
      <c r="B2287">
        <v>5</v>
      </c>
      <c r="C2287">
        <v>5</v>
      </c>
      <c r="D2287" s="2">
        <v>2</v>
      </c>
      <c r="E2287" s="2">
        <v>3</v>
      </c>
      <c r="F2287" s="2" t="s">
        <v>4</v>
      </c>
      <c r="G2287" s="2">
        <v>922.99999999951899</v>
      </c>
      <c r="H2287" s="2" t="s">
        <v>16</v>
      </c>
      <c r="I2287" s="2">
        <v>1243228.99999999</v>
      </c>
      <c r="J2287" s="2">
        <v>5000</v>
      </c>
      <c r="K2287" s="2">
        <v>20</v>
      </c>
      <c r="L2287" s="2">
        <v>0</v>
      </c>
      <c r="M2287" s="2">
        <v>478027.61</v>
      </c>
      <c r="N2287">
        <f t="shared" si="42"/>
        <v>1722179.6099999896</v>
      </c>
      <c r="O2287" s="9" t="s">
        <v>4</v>
      </c>
    </row>
    <row r="2288" spans="1:15" x14ac:dyDescent="0.2">
      <c r="A2288">
        <v>31</v>
      </c>
      <c r="B2288">
        <v>5</v>
      </c>
      <c r="C2288">
        <v>5</v>
      </c>
      <c r="D2288" s="2">
        <v>2</v>
      </c>
      <c r="E2288" s="2">
        <v>1</v>
      </c>
      <c r="F2288" s="2" t="s">
        <v>4</v>
      </c>
      <c r="G2288" s="2">
        <v>780.99999999920999</v>
      </c>
      <c r="H2288" s="2" t="s">
        <v>16</v>
      </c>
      <c r="I2288" s="2">
        <v>565414.00000003295</v>
      </c>
      <c r="J2288" s="2">
        <v>5000</v>
      </c>
      <c r="K2288" s="2">
        <v>20</v>
      </c>
      <c r="L2288" s="2">
        <v>0</v>
      </c>
      <c r="M2288" s="2">
        <v>501028.41</v>
      </c>
      <c r="N2288">
        <f t="shared" si="42"/>
        <v>1067223.410000032</v>
      </c>
      <c r="O2288" s="9" t="s">
        <v>4</v>
      </c>
    </row>
    <row r="2289" spans="1:15" x14ac:dyDescent="0.2">
      <c r="A2289">
        <v>32</v>
      </c>
      <c r="B2289">
        <v>5</v>
      </c>
      <c r="C2289">
        <v>5</v>
      </c>
      <c r="D2289" s="2">
        <v>2</v>
      </c>
      <c r="E2289" s="2">
        <v>2</v>
      </c>
      <c r="F2289" s="2" t="s">
        <v>4</v>
      </c>
      <c r="G2289" s="2">
        <v>720.199999999949</v>
      </c>
      <c r="H2289" s="2" t="s">
        <v>16</v>
      </c>
      <c r="I2289" s="2">
        <v>428542.99999999098</v>
      </c>
      <c r="J2289" s="2">
        <v>5000</v>
      </c>
      <c r="K2289" s="2">
        <v>20</v>
      </c>
      <c r="L2289" s="2">
        <v>0</v>
      </c>
      <c r="M2289" s="2">
        <v>592827.61</v>
      </c>
      <c r="N2289">
        <f t="shared" si="42"/>
        <v>1022090.809999991</v>
      </c>
      <c r="O2289" s="9" t="s">
        <v>4</v>
      </c>
    </row>
    <row r="2290" spans="1:15" x14ac:dyDescent="0.2">
      <c r="A2290">
        <v>33</v>
      </c>
      <c r="B2290">
        <v>5</v>
      </c>
      <c r="C2290">
        <v>5</v>
      </c>
      <c r="D2290" s="2">
        <v>2</v>
      </c>
      <c r="E2290" s="2">
        <v>3</v>
      </c>
      <c r="F2290" s="2" t="s">
        <v>4</v>
      </c>
      <c r="G2290" s="2">
        <v>762.79999999968595</v>
      </c>
      <c r="H2290" s="2" t="s">
        <v>16</v>
      </c>
      <c r="I2290" s="2">
        <v>873103.00000001502</v>
      </c>
      <c r="J2290" s="2">
        <v>5000</v>
      </c>
      <c r="K2290" s="2">
        <v>20</v>
      </c>
      <c r="L2290" s="2">
        <v>0</v>
      </c>
      <c r="M2290" s="2">
        <v>603827.61</v>
      </c>
      <c r="N2290">
        <f t="shared" si="42"/>
        <v>1477693.4100000146</v>
      </c>
      <c r="O2290" s="9" t="s">
        <v>4</v>
      </c>
    </row>
    <row r="2291" spans="1:15" x14ac:dyDescent="0.2">
      <c r="A2291">
        <v>34</v>
      </c>
      <c r="B2291">
        <v>5</v>
      </c>
      <c r="C2291">
        <v>5</v>
      </c>
      <c r="D2291" s="2">
        <v>2</v>
      </c>
      <c r="E2291" s="2">
        <v>1</v>
      </c>
      <c r="F2291" s="2" t="s">
        <v>4</v>
      </c>
      <c r="G2291" s="2">
        <v>563.600000000264</v>
      </c>
      <c r="H2291" s="2" t="s">
        <v>16</v>
      </c>
      <c r="I2291" s="2">
        <v>344550.00000002701</v>
      </c>
      <c r="J2291" s="2">
        <v>5000</v>
      </c>
      <c r="K2291" s="2">
        <v>20</v>
      </c>
      <c r="L2291" s="2">
        <v>0</v>
      </c>
      <c r="M2291" s="2">
        <v>621029.21</v>
      </c>
      <c r="N2291">
        <f t="shared" si="42"/>
        <v>966142.8100000273</v>
      </c>
      <c r="O2291" s="9" t="s">
        <v>4</v>
      </c>
    </row>
    <row r="2292" spans="1:15" x14ac:dyDescent="0.2">
      <c r="A2292">
        <v>35</v>
      </c>
      <c r="B2292">
        <v>5</v>
      </c>
      <c r="C2292">
        <v>6</v>
      </c>
      <c r="D2292" s="2">
        <v>2</v>
      </c>
      <c r="E2292" s="2">
        <v>1</v>
      </c>
      <c r="F2292" s="2" t="s">
        <v>4</v>
      </c>
      <c r="G2292" s="2">
        <v>467.000000000439</v>
      </c>
      <c r="H2292" s="2" t="s">
        <v>16</v>
      </c>
      <c r="I2292" s="2">
        <v>1064708.99999999</v>
      </c>
      <c r="J2292" s="2">
        <v>5000</v>
      </c>
      <c r="K2292" s="2">
        <v>20</v>
      </c>
      <c r="L2292" s="2">
        <v>0</v>
      </c>
      <c r="M2292" s="2">
        <v>601828.01</v>
      </c>
      <c r="N2292">
        <f t="shared" si="42"/>
        <v>1667004.0099999905</v>
      </c>
      <c r="O2292" s="9" t="s">
        <v>4</v>
      </c>
    </row>
    <row r="2293" spans="1:15" x14ac:dyDescent="0.2">
      <c r="A2293">
        <v>36</v>
      </c>
      <c r="B2293">
        <v>5</v>
      </c>
      <c r="C2293">
        <v>6</v>
      </c>
      <c r="D2293" s="2">
        <v>2</v>
      </c>
      <c r="E2293" s="2">
        <v>2</v>
      </c>
      <c r="F2293" s="2" t="s">
        <v>4</v>
      </c>
      <c r="G2293" s="2">
        <v>432.59999999953902</v>
      </c>
      <c r="H2293" s="2" t="s">
        <v>16</v>
      </c>
      <c r="I2293" s="2">
        <v>657116.99999997101</v>
      </c>
      <c r="J2293" s="2">
        <v>5000</v>
      </c>
      <c r="K2293" s="2">
        <v>20</v>
      </c>
      <c r="L2293" s="2">
        <v>0</v>
      </c>
      <c r="M2293" s="2">
        <v>624028.81000000006</v>
      </c>
      <c r="N2293">
        <f t="shared" si="42"/>
        <v>1281578.4099999706</v>
      </c>
      <c r="O2293" s="9" t="s">
        <v>4</v>
      </c>
    </row>
    <row r="2294" spans="1:15" x14ac:dyDescent="0.2">
      <c r="A2294">
        <v>37</v>
      </c>
      <c r="B2294">
        <v>5</v>
      </c>
      <c r="C2294">
        <v>6</v>
      </c>
      <c r="D2294" s="2">
        <v>2</v>
      </c>
      <c r="E2294" s="2">
        <v>3</v>
      </c>
      <c r="F2294" s="2" t="s">
        <v>4</v>
      </c>
      <c r="G2294" s="2">
        <v>535.40000000005296</v>
      </c>
      <c r="H2294" s="2" t="s">
        <v>16</v>
      </c>
      <c r="I2294" s="2">
        <v>638085.99999998696</v>
      </c>
      <c r="J2294" s="2">
        <v>5000</v>
      </c>
      <c r="K2294" s="2">
        <v>20</v>
      </c>
      <c r="L2294" s="2">
        <v>0</v>
      </c>
      <c r="M2294" s="2">
        <v>447827.21</v>
      </c>
      <c r="N2294">
        <f t="shared" si="42"/>
        <v>1086448.6099999871</v>
      </c>
      <c r="O2294" s="9" t="s">
        <v>4</v>
      </c>
    </row>
    <row r="2295" spans="1:15" x14ac:dyDescent="0.2">
      <c r="A2295">
        <v>38</v>
      </c>
      <c r="B2295">
        <v>5</v>
      </c>
      <c r="C2295">
        <v>6</v>
      </c>
      <c r="D2295" s="2">
        <v>2</v>
      </c>
      <c r="E2295" s="2">
        <v>1</v>
      </c>
      <c r="F2295" s="2" t="s">
        <v>4</v>
      </c>
      <c r="G2295" s="2">
        <v>394.79999999976201</v>
      </c>
      <c r="H2295" s="2" t="s">
        <v>16</v>
      </c>
      <c r="I2295" s="2">
        <v>402707.00000002101</v>
      </c>
      <c r="J2295" s="2">
        <v>5000</v>
      </c>
      <c r="K2295" s="2">
        <v>20</v>
      </c>
      <c r="L2295" s="2">
        <v>0</v>
      </c>
      <c r="M2295" s="2">
        <v>444028.01</v>
      </c>
      <c r="N2295">
        <f t="shared" si="42"/>
        <v>847129.81000002078</v>
      </c>
      <c r="O2295" s="9" t="s">
        <v>4</v>
      </c>
    </row>
    <row r="2296" spans="1:15" x14ac:dyDescent="0.2">
      <c r="A2296">
        <v>39</v>
      </c>
      <c r="B2296">
        <v>5</v>
      </c>
      <c r="C2296">
        <v>7</v>
      </c>
      <c r="D2296" s="2">
        <v>2</v>
      </c>
      <c r="E2296" s="2">
        <v>1</v>
      </c>
      <c r="F2296" s="2" t="s">
        <v>4</v>
      </c>
      <c r="G2296" s="2">
        <v>470.600000000232</v>
      </c>
      <c r="H2296" s="2" t="s">
        <v>16</v>
      </c>
      <c r="I2296" s="2">
        <v>1193374.00000001</v>
      </c>
      <c r="J2296" s="2">
        <v>5000</v>
      </c>
      <c r="K2296" s="2">
        <v>20</v>
      </c>
      <c r="L2296" s="2">
        <v>0</v>
      </c>
      <c r="M2296" s="2">
        <v>597428.01</v>
      </c>
      <c r="N2296">
        <f t="shared" si="42"/>
        <v>1791272.6100000103</v>
      </c>
      <c r="O2296" s="9" t="s">
        <v>4</v>
      </c>
    </row>
    <row r="2297" spans="1:15" x14ac:dyDescent="0.2">
      <c r="A2297">
        <v>40</v>
      </c>
      <c r="B2297">
        <v>5</v>
      </c>
      <c r="C2297">
        <v>7</v>
      </c>
      <c r="D2297" s="2">
        <v>2</v>
      </c>
      <c r="E2297" s="2">
        <v>2</v>
      </c>
      <c r="F2297" s="2" t="s">
        <v>4</v>
      </c>
      <c r="G2297" s="2">
        <v>455.20000000074401</v>
      </c>
      <c r="H2297" s="2" t="s">
        <v>16</v>
      </c>
      <c r="I2297" s="2">
        <v>517399.00000001199</v>
      </c>
      <c r="J2297" s="2">
        <v>5000</v>
      </c>
      <c r="K2297" s="2">
        <v>20</v>
      </c>
      <c r="L2297" s="2">
        <v>0</v>
      </c>
      <c r="M2297" s="2">
        <v>579028.01</v>
      </c>
      <c r="N2297">
        <f t="shared" si="42"/>
        <v>1096882.2100000128</v>
      </c>
      <c r="O2297" s="9" t="s">
        <v>4</v>
      </c>
    </row>
    <row r="2298" spans="1:15" x14ac:dyDescent="0.2">
      <c r="A2298">
        <v>41</v>
      </c>
      <c r="B2298">
        <v>5</v>
      </c>
      <c r="C2298">
        <v>7</v>
      </c>
      <c r="D2298" s="2">
        <v>2</v>
      </c>
      <c r="E2298" s="2">
        <v>3</v>
      </c>
      <c r="F2298" s="2" t="s">
        <v>4</v>
      </c>
      <c r="G2298" s="2">
        <v>556.20000000047298</v>
      </c>
      <c r="H2298" s="2" t="s">
        <v>16</v>
      </c>
      <c r="I2298" s="2">
        <v>1178815.99999998</v>
      </c>
      <c r="J2298" s="2">
        <v>5000</v>
      </c>
      <c r="K2298" s="2">
        <v>20</v>
      </c>
      <c r="L2298" s="2">
        <v>0</v>
      </c>
      <c r="M2298" s="2">
        <v>576227.21</v>
      </c>
      <c r="N2298">
        <f t="shared" si="42"/>
        <v>1755599.4099999804</v>
      </c>
      <c r="O2298" s="9" t="s">
        <v>4</v>
      </c>
    </row>
    <row r="2299" spans="1:15" x14ac:dyDescent="0.2">
      <c r="A2299">
        <v>42</v>
      </c>
      <c r="B2299">
        <v>5</v>
      </c>
      <c r="C2299">
        <v>4</v>
      </c>
      <c r="D2299" s="2">
        <v>2</v>
      </c>
      <c r="E2299" s="2">
        <v>1</v>
      </c>
      <c r="F2299" s="2" t="s">
        <v>4</v>
      </c>
      <c r="G2299" s="2">
        <v>288.80000000022198</v>
      </c>
      <c r="H2299" s="2" t="s">
        <v>16</v>
      </c>
      <c r="I2299" s="2">
        <v>190006.99999998001</v>
      </c>
      <c r="J2299" s="2">
        <v>5000</v>
      </c>
      <c r="K2299" s="2">
        <v>20</v>
      </c>
      <c r="L2299" s="2">
        <v>0</v>
      </c>
      <c r="M2299" s="2">
        <v>441027.61</v>
      </c>
      <c r="N2299">
        <f t="shared" si="42"/>
        <v>631323.40999998024</v>
      </c>
      <c r="O2299" s="9" t="s">
        <v>4</v>
      </c>
    </row>
    <row r="2300" spans="1:15" x14ac:dyDescent="0.2">
      <c r="A2300">
        <v>43</v>
      </c>
      <c r="B2300">
        <v>5</v>
      </c>
      <c r="C2300">
        <v>5</v>
      </c>
      <c r="D2300" s="2">
        <v>2</v>
      </c>
      <c r="E2300" s="2">
        <v>1</v>
      </c>
      <c r="F2300" s="2" t="s">
        <v>4</v>
      </c>
      <c r="G2300" s="2">
        <v>340.19999999976801</v>
      </c>
      <c r="H2300" s="2" t="s">
        <v>16</v>
      </c>
      <c r="I2300" s="2">
        <v>342902.999999978</v>
      </c>
      <c r="J2300" s="2">
        <v>5000</v>
      </c>
      <c r="K2300" s="2">
        <v>20</v>
      </c>
      <c r="L2300" s="2">
        <v>0</v>
      </c>
      <c r="M2300" s="2">
        <v>445028.01</v>
      </c>
      <c r="N2300">
        <f t="shared" si="42"/>
        <v>788271.20999997784</v>
      </c>
      <c r="O2300" s="9" t="s">
        <v>4</v>
      </c>
    </row>
    <row r="2301" spans="1:15" x14ac:dyDescent="0.2">
      <c r="A2301">
        <v>44</v>
      </c>
      <c r="B2301">
        <v>5</v>
      </c>
      <c r="C2301">
        <v>5</v>
      </c>
      <c r="D2301" s="2">
        <v>2</v>
      </c>
      <c r="E2301" s="2">
        <v>2</v>
      </c>
      <c r="F2301" s="2" t="s">
        <v>4</v>
      </c>
      <c r="G2301" s="2">
        <v>325.80000000024302</v>
      </c>
      <c r="H2301" s="2" t="s">
        <v>16</v>
      </c>
      <c r="I2301" s="2">
        <v>548630.00000000303</v>
      </c>
      <c r="J2301" s="2">
        <v>5000</v>
      </c>
      <c r="K2301" s="2">
        <v>20</v>
      </c>
      <c r="L2301" s="2">
        <v>0</v>
      </c>
      <c r="M2301" s="2">
        <v>600227.61</v>
      </c>
      <c r="N2301">
        <f t="shared" si="42"/>
        <v>1149183.4100000034</v>
      </c>
      <c r="O2301" s="9" t="s">
        <v>4</v>
      </c>
    </row>
    <row r="2302" spans="1:15" x14ac:dyDescent="0.2">
      <c r="A2302">
        <v>45</v>
      </c>
      <c r="B2302">
        <v>5</v>
      </c>
      <c r="C2302">
        <v>5</v>
      </c>
      <c r="D2302" s="2">
        <v>2</v>
      </c>
      <c r="E2302" s="2">
        <v>3</v>
      </c>
      <c r="F2302" s="2" t="s">
        <v>4</v>
      </c>
      <c r="G2302" s="2">
        <v>420.79999999948802</v>
      </c>
      <c r="H2302" s="2" t="s">
        <v>16</v>
      </c>
      <c r="I2302" s="2">
        <v>490144.99999998399</v>
      </c>
      <c r="J2302" s="2">
        <v>5000</v>
      </c>
      <c r="K2302" s="2">
        <v>20</v>
      </c>
      <c r="L2302" s="2">
        <v>0</v>
      </c>
      <c r="M2302" s="2">
        <v>575227.61</v>
      </c>
      <c r="N2302">
        <f t="shared" si="42"/>
        <v>1065793.4099999834</v>
      </c>
      <c r="O2302" s="9" t="s">
        <v>4</v>
      </c>
    </row>
    <row r="2303" spans="1:15" x14ac:dyDescent="0.2">
      <c r="A2303">
        <v>46</v>
      </c>
      <c r="B2303">
        <v>5</v>
      </c>
      <c r="C2303">
        <v>6</v>
      </c>
      <c r="D2303" s="2">
        <v>2</v>
      </c>
      <c r="E2303" s="2">
        <v>1</v>
      </c>
      <c r="F2303" s="2" t="s">
        <v>4</v>
      </c>
      <c r="G2303" s="2">
        <v>431.79999999978202</v>
      </c>
      <c r="H2303" s="2" t="s">
        <v>16</v>
      </c>
      <c r="I2303" s="2">
        <v>886569.00000000896</v>
      </c>
      <c r="J2303" s="2">
        <v>5000</v>
      </c>
      <c r="K2303" s="2">
        <v>20</v>
      </c>
      <c r="L2303" s="2">
        <v>0</v>
      </c>
      <c r="M2303" s="2">
        <v>603428.01</v>
      </c>
      <c r="N2303">
        <f t="shared" si="42"/>
        <v>1490428.8100000089</v>
      </c>
      <c r="O2303" s="9" t="s">
        <v>4</v>
      </c>
    </row>
    <row r="2304" spans="1:15" x14ac:dyDescent="0.2">
      <c r="A2304">
        <v>47</v>
      </c>
      <c r="B2304">
        <v>5</v>
      </c>
      <c r="C2304">
        <v>6</v>
      </c>
      <c r="D2304" s="2">
        <v>2</v>
      </c>
      <c r="E2304" s="2">
        <v>2</v>
      </c>
      <c r="F2304" s="2" t="s">
        <v>4</v>
      </c>
      <c r="G2304" s="2">
        <v>392.80000000019299</v>
      </c>
      <c r="H2304" s="2" t="s">
        <v>16</v>
      </c>
      <c r="I2304" s="2">
        <v>289421.00000000402</v>
      </c>
      <c r="J2304" s="2">
        <v>5000</v>
      </c>
      <c r="K2304" s="2">
        <v>20</v>
      </c>
      <c r="L2304" s="2">
        <v>0</v>
      </c>
      <c r="M2304" s="2">
        <v>440227.21</v>
      </c>
      <c r="N2304">
        <f t="shared" si="42"/>
        <v>730041.0100000042</v>
      </c>
      <c r="O2304" s="9" t="s">
        <v>4</v>
      </c>
    </row>
    <row r="2305" spans="1:15" x14ac:dyDescent="0.2">
      <c r="A2305">
        <v>48</v>
      </c>
      <c r="B2305">
        <v>5</v>
      </c>
      <c r="C2305">
        <v>6</v>
      </c>
      <c r="D2305" s="2">
        <v>2</v>
      </c>
      <c r="E2305" s="2">
        <v>3</v>
      </c>
      <c r="F2305" s="2" t="s">
        <v>4</v>
      </c>
      <c r="G2305" s="2">
        <v>479.99999999994702</v>
      </c>
      <c r="H2305" s="2" t="s">
        <v>16</v>
      </c>
      <c r="I2305" s="2">
        <v>752868.00000003504</v>
      </c>
      <c r="J2305" s="2">
        <v>5000</v>
      </c>
      <c r="K2305" s="2">
        <v>20</v>
      </c>
      <c r="L2305" s="2">
        <v>0</v>
      </c>
      <c r="M2305" s="2">
        <v>582227.61</v>
      </c>
      <c r="N2305">
        <f t="shared" si="42"/>
        <v>1335575.610000035</v>
      </c>
      <c r="O2305" s="9" t="s">
        <v>4</v>
      </c>
    </row>
    <row r="2306" spans="1:15" x14ac:dyDescent="0.2">
      <c r="A2306">
        <v>49</v>
      </c>
      <c r="B2306">
        <v>5</v>
      </c>
      <c r="C2306">
        <v>6</v>
      </c>
      <c r="D2306" s="2">
        <v>2</v>
      </c>
      <c r="E2306" s="2">
        <v>1</v>
      </c>
      <c r="F2306" s="2" t="s">
        <v>4</v>
      </c>
      <c r="G2306" s="2">
        <v>379.40000000027402</v>
      </c>
      <c r="H2306" s="2" t="s">
        <v>16</v>
      </c>
      <c r="I2306" s="2">
        <v>862047.00000001804</v>
      </c>
      <c r="J2306" s="2">
        <v>5000</v>
      </c>
      <c r="K2306" s="2">
        <v>20</v>
      </c>
      <c r="L2306" s="2">
        <v>0</v>
      </c>
      <c r="M2306" s="2">
        <v>512228.01</v>
      </c>
      <c r="N2306">
        <f t="shared" si="42"/>
        <v>1374654.4100000183</v>
      </c>
      <c r="O2306" s="9" t="s">
        <v>4</v>
      </c>
    </row>
    <row r="2307" spans="1:15" x14ac:dyDescent="0.2">
      <c r="A2307">
        <v>50</v>
      </c>
      <c r="B2307">
        <v>5</v>
      </c>
      <c r="C2307">
        <v>6</v>
      </c>
      <c r="D2307" s="2">
        <v>2</v>
      </c>
      <c r="E2307" s="2">
        <v>2</v>
      </c>
      <c r="F2307" s="2" t="s">
        <v>4</v>
      </c>
      <c r="G2307" s="2">
        <v>387.60000000017698</v>
      </c>
      <c r="H2307" s="2" t="s">
        <v>16</v>
      </c>
      <c r="I2307" s="2">
        <v>510372.99999995902</v>
      </c>
      <c r="J2307" s="2">
        <v>5000</v>
      </c>
      <c r="K2307" s="2">
        <v>20</v>
      </c>
      <c r="L2307" s="2">
        <v>0</v>
      </c>
      <c r="M2307" s="2">
        <v>615627.61</v>
      </c>
      <c r="N2307">
        <f t="shared" si="42"/>
        <v>1126388.2099999592</v>
      </c>
      <c r="O2307" s="9" t="s">
        <v>4</v>
      </c>
    </row>
    <row r="2308" spans="1:15" x14ac:dyDescent="0.2">
      <c r="A2308">
        <v>51</v>
      </c>
      <c r="B2308">
        <v>5</v>
      </c>
      <c r="C2308">
        <v>6</v>
      </c>
      <c r="D2308" s="2">
        <v>2</v>
      </c>
      <c r="E2308" s="2">
        <v>3</v>
      </c>
      <c r="F2308" s="2" t="s">
        <v>4</v>
      </c>
      <c r="G2308" s="2">
        <v>476.39999999944399</v>
      </c>
      <c r="H2308" s="2" t="s">
        <v>16</v>
      </c>
      <c r="I2308" s="2">
        <v>1073153.99999999</v>
      </c>
      <c r="J2308" s="2">
        <v>5000</v>
      </c>
      <c r="K2308" s="2">
        <v>20</v>
      </c>
      <c r="L2308" s="2">
        <v>0</v>
      </c>
      <c r="M2308" s="2">
        <v>628627.21</v>
      </c>
      <c r="N2308">
        <f t="shared" si="42"/>
        <v>1702257.6099999894</v>
      </c>
      <c r="O2308" s="9" t="s">
        <v>4</v>
      </c>
    </row>
    <row r="2309" spans="1:15" x14ac:dyDescent="0.2">
      <c r="A2309">
        <v>52</v>
      </c>
      <c r="B2309">
        <v>5</v>
      </c>
      <c r="C2309">
        <v>7</v>
      </c>
      <c r="D2309" s="2">
        <v>2</v>
      </c>
      <c r="E2309" s="2">
        <v>1</v>
      </c>
      <c r="F2309" s="2" t="s">
        <v>4</v>
      </c>
      <c r="G2309" s="2">
        <v>407.79999999998</v>
      </c>
      <c r="H2309" s="2" t="s">
        <v>16</v>
      </c>
      <c r="I2309" s="2">
        <v>757241.000000022</v>
      </c>
      <c r="J2309" s="2">
        <v>5000</v>
      </c>
      <c r="K2309" s="2">
        <v>20</v>
      </c>
      <c r="L2309" s="2">
        <v>0</v>
      </c>
      <c r="M2309" s="2">
        <v>589428.41</v>
      </c>
      <c r="N2309">
        <f t="shared" si="42"/>
        <v>1347077.2100000218</v>
      </c>
      <c r="O2309" s="9" t="s">
        <v>4</v>
      </c>
    </row>
    <row r="2310" spans="1:15" x14ac:dyDescent="0.2">
      <c r="A2310">
        <v>53</v>
      </c>
      <c r="B2310">
        <v>5</v>
      </c>
      <c r="C2310">
        <v>7</v>
      </c>
      <c r="D2310" s="2">
        <v>2</v>
      </c>
      <c r="E2310" s="2">
        <v>2</v>
      </c>
      <c r="F2310" s="2" t="s">
        <v>4</v>
      </c>
      <c r="G2310" s="2">
        <v>396.99999999953701</v>
      </c>
      <c r="H2310" s="2" t="s">
        <v>16</v>
      </c>
      <c r="I2310" s="2">
        <v>929575.99999999697</v>
      </c>
      <c r="J2310" s="2">
        <v>5000</v>
      </c>
      <c r="K2310" s="2">
        <v>20</v>
      </c>
      <c r="L2310" s="2">
        <v>0</v>
      </c>
      <c r="M2310" s="2">
        <v>610427.61</v>
      </c>
      <c r="N2310">
        <f t="shared" ref="N2310:N2373" si="46">G2310+I2310+M2310</f>
        <v>1540400.6099999966</v>
      </c>
      <c r="O2310" s="9" t="s">
        <v>4</v>
      </c>
    </row>
    <row r="2311" spans="1:15" x14ac:dyDescent="0.2">
      <c r="A2311">
        <v>54</v>
      </c>
      <c r="B2311">
        <v>5</v>
      </c>
      <c r="C2311">
        <v>7</v>
      </c>
      <c r="D2311" s="2">
        <v>2</v>
      </c>
      <c r="E2311" s="2">
        <v>3</v>
      </c>
      <c r="F2311" s="2" t="s">
        <v>4</v>
      </c>
      <c r="G2311" s="2">
        <v>497.99999999997601</v>
      </c>
      <c r="H2311" s="2" t="s">
        <v>16</v>
      </c>
      <c r="I2311" s="2">
        <v>1425852.99999996</v>
      </c>
      <c r="J2311" s="2">
        <v>5000</v>
      </c>
      <c r="K2311" s="2">
        <v>20</v>
      </c>
      <c r="L2311" s="2">
        <v>0</v>
      </c>
      <c r="M2311" s="2">
        <v>570827.21</v>
      </c>
      <c r="N2311">
        <f t="shared" si="46"/>
        <v>1997178.2099999599</v>
      </c>
      <c r="O2311" s="9" t="s">
        <v>4</v>
      </c>
    </row>
    <row r="2312" spans="1:15" x14ac:dyDescent="0.2">
      <c r="A2312">
        <v>55</v>
      </c>
      <c r="B2312">
        <v>5</v>
      </c>
      <c r="C2312">
        <v>5</v>
      </c>
      <c r="D2312" s="2">
        <v>2</v>
      </c>
      <c r="E2312" s="2">
        <v>1</v>
      </c>
      <c r="F2312" s="2" t="s">
        <v>4</v>
      </c>
      <c r="G2312" s="2">
        <v>289.40000000012799</v>
      </c>
      <c r="H2312" s="2" t="s">
        <v>16</v>
      </c>
      <c r="I2312" s="2">
        <v>330494.99999998498</v>
      </c>
      <c r="J2312" s="2">
        <v>5000</v>
      </c>
      <c r="K2312" s="2">
        <v>20</v>
      </c>
      <c r="L2312" s="2">
        <v>0</v>
      </c>
      <c r="M2312" s="2">
        <v>443027.21</v>
      </c>
      <c r="N2312">
        <f t="shared" si="46"/>
        <v>773811.6099999852</v>
      </c>
      <c r="O2312" s="9" t="s">
        <v>4</v>
      </c>
    </row>
    <row r="2313" spans="1:15" x14ac:dyDescent="0.2">
      <c r="A2313">
        <v>56</v>
      </c>
      <c r="B2313">
        <v>5</v>
      </c>
      <c r="C2313">
        <v>5</v>
      </c>
      <c r="D2313" s="2">
        <v>2</v>
      </c>
      <c r="E2313" s="2">
        <v>2</v>
      </c>
      <c r="F2313" s="2" t="s">
        <v>4</v>
      </c>
      <c r="G2313" s="2">
        <v>287.00000000014802</v>
      </c>
      <c r="H2313" s="2" t="s">
        <v>16</v>
      </c>
      <c r="I2313" s="2">
        <v>437728.99999998999</v>
      </c>
      <c r="J2313" s="2">
        <v>5000</v>
      </c>
      <c r="K2313" s="2">
        <v>20</v>
      </c>
      <c r="L2313" s="2">
        <v>0</v>
      </c>
      <c r="M2313" s="2">
        <v>436027.61</v>
      </c>
      <c r="N2313">
        <f t="shared" si="46"/>
        <v>874043.60999999009</v>
      </c>
      <c r="O2313" s="9" t="s">
        <v>4</v>
      </c>
    </row>
    <row r="2314" spans="1:15" x14ac:dyDescent="0.2">
      <c r="A2314">
        <v>57</v>
      </c>
      <c r="B2314">
        <v>5</v>
      </c>
      <c r="C2314">
        <v>5</v>
      </c>
      <c r="D2314" s="2">
        <v>2</v>
      </c>
      <c r="E2314" s="2">
        <v>3</v>
      </c>
      <c r="F2314" s="2" t="s">
        <v>4</v>
      </c>
      <c r="G2314" s="2">
        <v>362.39999999949703</v>
      </c>
      <c r="H2314" s="2" t="s">
        <v>16</v>
      </c>
      <c r="I2314" s="2">
        <v>461844.999999983</v>
      </c>
      <c r="J2314" s="2">
        <v>5000</v>
      </c>
      <c r="K2314" s="2">
        <v>20</v>
      </c>
      <c r="L2314" s="2">
        <v>0</v>
      </c>
      <c r="M2314" s="2">
        <v>519028.01</v>
      </c>
      <c r="N2314">
        <f t="shared" si="46"/>
        <v>981235.40999998245</v>
      </c>
      <c r="O2314" s="9" t="s">
        <v>4</v>
      </c>
    </row>
    <row r="2315" spans="1:15" x14ac:dyDescent="0.2">
      <c r="A2315">
        <v>58</v>
      </c>
      <c r="B2315">
        <v>5</v>
      </c>
      <c r="C2315">
        <v>6</v>
      </c>
      <c r="D2315" s="2">
        <v>2</v>
      </c>
      <c r="E2315" s="2">
        <v>1</v>
      </c>
      <c r="F2315" s="2" t="s">
        <v>4</v>
      </c>
      <c r="G2315" s="2">
        <v>340.79999999967498</v>
      </c>
      <c r="H2315" s="2" t="s">
        <v>16</v>
      </c>
      <c r="I2315" s="2">
        <v>736719.00000005099</v>
      </c>
      <c r="J2315" s="2">
        <v>5000</v>
      </c>
      <c r="K2315" s="2">
        <v>20</v>
      </c>
      <c r="L2315" s="2">
        <v>0</v>
      </c>
      <c r="M2315" s="2">
        <v>592227.61</v>
      </c>
      <c r="N2315">
        <f t="shared" si="46"/>
        <v>1329287.4100000507</v>
      </c>
      <c r="O2315" s="9" t="s">
        <v>4</v>
      </c>
    </row>
    <row r="2316" spans="1:15" x14ac:dyDescent="0.2">
      <c r="A2316">
        <v>59</v>
      </c>
      <c r="B2316">
        <v>5</v>
      </c>
      <c r="C2316">
        <v>6</v>
      </c>
      <c r="D2316" s="2">
        <v>2</v>
      </c>
      <c r="E2316" s="2">
        <v>2</v>
      </c>
      <c r="F2316" s="2" t="s">
        <v>4</v>
      </c>
      <c r="G2316" s="2">
        <v>334.19999999999601</v>
      </c>
      <c r="H2316" s="2" t="s">
        <v>16</v>
      </c>
      <c r="I2316" s="2">
        <v>494259</v>
      </c>
      <c r="J2316" s="2">
        <v>5000</v>
      </c>
      <c r="K2316" s="2">
        <v>20</v>
      </c>
      <c r="L2316" s="2">
        <v>0</v>
      </c>
      <c r="M2316" s="2">
        <v>618228.81000000006</v>
      </c>
      <c r="N2316">
        <f t="shared" si="46"/>
        <v>1112822.01</v>
      </c>
      <c r="O2316" s="9" t="s">
        <v>4</v>
      </c>
    </row>
    <row r="2317" spans="1:15" x14ac:dyDescent="0.2">
      <c r="A2317">
        <v>60</v>
      </c>
      <c r="B2317">
        <v>5</v>
      </c>
      <c r="C2317">
        <v>6</v>
      </c>
      <c r="D2317" s="2">
        <v>2</v>
      </c>
      <c r="E2317" s="2">
        <v>3</v>
      </c>
      <c r="F2317" s="2" t="s">
        <v>4</v>
      </c>
      <c r="G2317" s="2">
        <v>401.39999999979602</v>
      </c>
      <c r="H2317" s="2" t="s">
        <v>16</v>
      </c>
      <c r="I2317" s="2">
        <v>678708.99999996903</v>
      </c>
      <c r="J2317" s="2">
        <v>5000</v>
      </c>
      <c r="K2317" s="2">
        <v>20</v>
      </c>
      <c r="L2317" s="2">
        <v>0</v>
      </c>
      <c r="M2317" s="2">
        <v>608028.81000000006</v>
      </c>
      <c r="N2317">
        <f t="shared" si="46"/>
        <v>1287139.2099999688</v>
      </c>
      <c r="O2317" s="9" t="s">
        <v>4</v>
      </c>
    </row>
    <row r="2318" spans="1:15" x14ac:dyDescent="0.2">
      <c r="A2318">
        <v>61</v>
      </c>
      <c r="B2318">
        <v>5</v>
      </c>
      <c r="C2318">
        <v>7</v>
      </c>
      <c r="D2318" s="2">
        <v>2</v>
      </c>
      <c r="E2318" s="2">
        <v>1</v>
      </c>
      <c r="F2318" s="2" t="s">
        <v>4</v>
      </c>
      <c r="G2318" s="2">
        <v>364.79999999983198</v>
      </c>
      <c r="H2318" s="2" t="s">
        <v>16</v>
      </c>
      <c r="I2318" s="2">
        <v>900666.99999999895</v>
      </c>
      <c r="J2318" s="2">
        <v>5000</v>
      </c>
      <c r="K2318" s="2">
        <v>20</v>
      </c>
      <c r="L2318" s="2">
        <v>0</v>
      </c>
      <c r="M2318" s="2">
        <v>598027.61</v>
      </c>
      <c r="N2318">
        <f t="shared" si="46"/>
        <v>1499059.4099999988</v>
      </c>
      <c r="O2318" s="9" t="s">
        <v>4</v>
      </c>
    </row>
    <row r="2319" spans="1:15" x14ac:dyDescent="0.2">
      <c r="A2319">
        <v>62</v>
      </c>
      <c r="B2319">
        <v>5</v>
      </c>
      <c r="C2319">
        <v>7</v>
      </c>
      <c r="D2319" s="2">
        <v>2</v>
      </c>
      <c r="E2319" s="2">
        <v>2</v>
      </c>
      <c r="F2319" s="2" t="s">
        <v>4</v>
      </c>
      <c r="G2319" s="2">
        <v>382.79999999950599</v>
      </c>
      <c r="H2319" s="2" t="s">
        <v>16</v>
      </c>
      <c r="I2319" s="2">
        <v>843414.99999999302</v>
      </c>
      <c r="J2319" s="2">
        <v>5000</v>
      </c>
      <c r="K2319" s="2">
        <v>20</v>
      </c>
      <c r="L2319" s="2">
        <v>0</v>
      </c>
      <c r="M2319" s="2">
        <v>513027.61</v>
      </c>
      <c r="N2319">
        <f t="shared" si="46"/>
        <v>1356825.4099999925</v>
      </c>
      <c r="O2319" s="9" t="s">
        <v>4</v>
      </c>
    </row>
    <row r="2320" spans="1:15" x14ac:dyDescent="0.2">
      <c r="A2320">
        <v>63</v>
      </c>
      <c r="B2320">
        <v>5</v>
      </c>
      <c r="C2320">
        <v>7</v>
      </c>
      <c r="D2320" s="2">
        <v>2</v>
      </c>
      <c r="E2320" s="2">
        <v>3</v>
      </c>
      <c r="F2320" s="2" t="s">
        <v>4</v>
      </c>
      <c r="G2320" s="2">
        <v>469.999999999615</v>
      </c>
      <c r="H2320" s="2" t="s">
        <v>16</v>
      </c>
      <c r="I2320" s="2">
        <v>1507850.99999996</v>
      </c>
      <c r="J2320" s="2">
        <v>5000</v>
      </c>
      <c r="K2320" s="2">
        <v>20</v>
      </c>
      <c r="L2320" s="2">
        <v>0</v>
      </c>
      <c r="M2320" s="2">
        <v>566827.21</v>
      </c>
      <c r="N2320">
        <f t="shared" si="46"/>
        <v>2075148.2099999595</v>
      </c>
      <c r="O2320" s="9" t="s">
        <v>4</v>
      </c>
    </row>
    <row r="2321" spans="1:15" x14ac:dyDescent="0.2">
      <c r="A2321">
        <v>64</v>
      </c>
      <c r="B2321">
        <v>5</v>
      </c>
      <c r="C2321">
        <v>8</v>
      </c>
      <c r="D2321" s="2">
        <v>2</v>
      </c>
      <c r="E2321" s="2">
        <v>1</v>
      </c>
      <c r="F2321" s="2" t="s">
        <v>4</v>
      </c>
      <c r="G2321" s="2">
        <v>408.600000000092</v>
      </c>
      <c r="H2321" s="2" t="s">
        <v>16</v>
      </c>
      <c r="I2321" s="2">
        <v>1353122.99999998</v>
      </c>
      <c r="J2321" s="2">
        <v>5000</v>
      </c>
      <c r="K2321" s="2">
        <v>20</v>
      </c>
      <c r="L2321" s="2">
        <v>0</v>
      </c>
      <c r="M2321" s="2">
        <v>574627.21</v>
      </c>
      <c r="N2321">
        <f t="shared" si="46"/>
        <v>1928158.80999998</v>
      </c>
      <c r="O2321" s="9" t="s">
        <v>4</v>
      </c>
    </row>
    <row r="2322" spans="1:15" x14ac:dyDescent="0.2">
      <c r="A2322">
        <v>65</v>
      </c>
      <c r="B2322">
        <v>5</v>
      </c>
      <c r="C2322">
        <v>8</v>
      </c>
      <c r="D2322" s="2">
        <v>2</v>
      </c>
      <c r="E2322" s="2">
        <v>2</v>
      </c>
      <c r="F2322" s="2" t="s">
        <v>4</v>
      </c>
      <c r="G2322" s="2">
        <v>427.200000000383</v>
      </c>
      <c r="H2322" s="2" t="s">
        <v>16</v>
      </c>
      <c r="I2322" s="2">
        <v>1920556.00000003</v>
      </c>
      <c r="J2322" s="2">
        <v>5000</v>
      </c>
      <c r="K2322" s="2">
        <v>20</v>
      </c>
      <c r="L2322" s="2">
        <v>0</v>
      </c>
      <c r="M2322" s="2">
        <v>508827.61</v>
      </c>
      <c r="N2322">
        <f t="shared" si="46"/>
        <v>2429810.8100000303</v>
      </c>
      <c r="O2322" s="9" t="s">
        <v>4</v>
      </c>
    </row>
    <row r="2323" spans="1:15" x14ac:dyDescent="0.2">
      <c r="A2323">
        <v>66</v>
      </c>
      <c r="B2323">
        <v>5</v>
      </c>
      <c r="C2323">
        <v>8</v>
      </c>
      <c r="D2323" s="2">
        <v>2</v>
      </c>
      <c r="E2323" s="2">
        <v>3</v>
      </c>
      <c r="F2323" s="2" t="s">
        <v>4</v>
      </c>
      <c r="G2323" s="2">
        <v>553.79999999942697</v>
      </c>
      <c r="H2323" s="2" t="s">
        <v>16</v>
      </c>
      <c r="I2323" s="2">
        <v>1980976</v>
      </c>
      <c r="J2323" s="2">
        <v>5000</v>
      </c>
      <c r="K2323" s="2">
        <v>20</v>
      </c>
      <c r="L2323" s="2">
        <v>0</v>
      </c>
      <c r="M2323" s="2">
        <v>623228.01</v>
      </c>
      <c r="N2323">
        <f t="shared" si="46"/>
        <v>2604757.8099999996</v>
      </c>
      <c r="O2323" s="9" t="s">
        <v>4</v>
      </c>
    </row>
    <row r="2324" spans="1:15" x14ac:dyDescent="0.2">
      <c r="A2324">
        <v>67</v>
      </c>
      <c r="B2324">
        <v>5</v>
      </c>
      <c r="C2324">
        <v>7</v>
      </c>
      <c r="D2324" s="2">
        <v>2</v>
      </c>
      <c r="E2324" s="2">
        <v>1</v>
      </c>
      <c r="F2324" s="2" t="s">
        <v>4</v>
      </c>
      <c r="G2324" s="2">
        <v>358.99999999990899</v>
      </c>
      <c r="H2324" s="2" t="s">
        <v>16</v>
      </c>
      <c r="I2324" s="2">
        <v>736641.00000002002</v>
      </c>
      <c r="J2324" s="2">
        <v>5000</v>
      </c>
      <c r="K2324" s="2">
        <v>20</v>
      </c>
      <c r="L2324" s="2">
        <v>0</v>
      </c>
      <c r="M2324" s="2">
        <v>560028.01</v>
      </c>
      <c r="N2324">
        <f t="shared" si="46"/>
        <v>1297028.0100000198</v>
      </c>
      <c r="O2324" s="9" t="s">
        <v>4</v>
      </c>
    </row>
    <row r="2325" spans="1:15" x14ac:dyDescent="0.2">
      <c r="A2325">
        <v>68</v>
      </c>
      <c r="B2325">
        <v>5</v>
      </c>
      <c r="C2325">
        <v>7</v>
      </c>
      <c r="D2325" s="2">
        <v>2</v>
      </c>
      <c r="E2325" s="2">
        <v>2</v>
      </c>
      <c r="F2325" s="2" t="s">
        <v>4</v>
      </c>
      <c r="G2325" s="2">
        <v>373.80000000055702</v>
      </c>
      <c r="H2325" s="2" t="s">
        <v>16</v>
      </c>
      <c r="I2325" s="2">
        <v>1227076.9999999499</v>
      </c>
      <c r="J2325" s="2">
        <v>5000</v>
      </c>
      <c r="K2325" s="2">
        <v>20</v>
      </c>
      <c r="L2325" s="2">
        <v>0</v>
      </c>
      <c r="M2325" s="2">
        <v>451226.81</v>
      </c>
      <c r="N2325">
        <f t="shared" si="46"/>
        <v>1678677.6099999505</v>
      </c>
      <c r="O2325" s="9" t="s">
        <v>4</v>
      </c>
    </row>
    <row r="2326" spans="1:15" x14ac:dyDescent="0.2">
      <c r="A2326">
        <v>69</v>
      </c>
      <c r="B2326">
        <v>5</v>
      </c>
      <c r="C2326">
        <v>7</v>
      </c>
      <c r="D2326" s="2">
        <v>2</v>
      </c>
      <c r="E2326" s="2">
        <v>3</v>
      </c>
      <c r="F2326" s="2" t="s">
        <v>4</v>
      </c>
      <c r="G2326" s="2">
        <v>458.79999999947103</v>
      </c>
      <c r="H2326" s="2" t="s">
        <v>16</v>
      </c>
      <c r="I2326" s="2">
        <v>949294.00000000896</v>
      </c>
      <c r="J2326" s="2">
        <v>5000</v>
      </c>
      <c r="K2326" s="2">
        <v>20</v>
      </c>
      <c r="L2326" s="2">
        <v>0</v>
      </c>
      <c r="M2326" s="2">
        <v>567428.41</v>
      </c>
      <c r="N2326">
        <f t="shared" si="46"/>
        <v>1517181.2100000083</v>
      </c>
      <c r="O2326" s="9" t="s">
        <v>4</v>
      </c>
    </row>
    <row r="2327" spans="1:15" x14ac:dyDescent="0.2">
      <c r="A2327">
        <v>28</v>
      </c>
      <c r="B2327">
        <v>5</v>
      </c>
      <c r="C2327">
        <v>4</v>
      </c>
      <c r="D2327" s="2">
        <v>2</v>
      </c>
      <c r="E2327" s="2">
        <v>1</v>
      </c>
      <c r="F2327" s="2" t="s">
        <v>4</v>
      </c>
      <c r="G2327" s="2">
        <v>901.80000000010796</v>
      </c>
      <c r="H2327" s="2" t="s">
        <v>16</v>
      </c>
      <c r="I2327" s="2">
        <v>226247.99999999799</v>
      </c>
      <c r="J2327" s="2">
        <v>1000</v>
      </c>
      <c r="K2327" s="2">
        <v>700</v>
      </c>
      <c r="L2327" s="2">
        <v>0</v>
      </c>
      <c r="M2327" s="2">
        <v>784867.21</v>
      </c>
      <c r="N2327">
        <f t="shared" si="46"/>
        <v>1012017.009999998</v>
      </c>
      <c r="O2327" s="9" t="s">
        <v>4</v>
      </c>
    </row>
    <row r="2328" spans="1:15" x14ac:dyDescent="0.2">
      <c r="A2328">
        <v>29</v>
      </c>
      <c r="B2328">
        <v>5</v>
      </c>
      <c r="C2328">
        <v>5</v>
      </c>
      <c r="D2328" s="2">
        <v>2</v>
      </c>
      <c r="E2328" s="2">
        <v>2</v>
      </c>
      <c r="F2328" s="2" t="s">
        <v>4</v>
      </c>
      <c r="G2328" s="2">
        <v>926.20000000032098</v>
      </c>
      <c r="H2328" s="2" t="s">
        <v>16</v>
      </c>
      <c r="I2328" s="2">
        <v>333011.99999999697</v>
      </c>
      <c r="J2328" s="2">
        <v>1000</v>
      </c>
      <c r="K2328" s="2">
        <v>700</v>
      </c>
      <c r="L2328" s="2">
        <v>0</v>
      </c>
      <c r="M2328" s="2">
        <v>817226.81</v>
      </c>
      <c r="N2328">
        <f t="shared" si="46"/>
        <v>1151165.0099999974</v>
      </c>
      <c r="O2328" s="9" t="s">
        <v>4</v>
      </c>
    </row>
    <row r="2329" spans="1:15" x14ac:dyDescent="0.2">
      <c r="A2329">
        <v>30</v>
      </c>
      <c r="B2329">
        <v>5</v>
      </c>
      <c r="C2329">
        <v>5</v>
      </c>
      <c r="D2329" s="2">
        <v>2</v>
      </c>
      <c r="E2329" s="2">
        <v>3</v>
      </c>
      <c r="F2329" s="2" t="s">
        <v>4</v>
      </c>
      <c r="G2329" s="2">
        <v>922.99999999951899</v>
      </c>
      <c r="H2329" s="2" t="s">
        <v>16</v>
      </c>
      <c r="I2329" s="2">
        <v>1243228.99999999</v>
      </c>
      <c r="J2329" s="2">
        <v>1000</v>
      </c>
      <c r="K2329" s="2">
        <v>700</v>
      </c>
      <c r="L2329" s="2">
        <v>0</v>
      </c>
      <c r="M2329" s="2">
        <v>790987.21</v>
      </c>
      <c r="N2329">
        <f t="shared" si="46"/>
        <v>2035139.2099999895</v>
      </c>
      <c r="O2329" s="9" t="s">
        <v>4</v>
      </c>
    </row>
    <row r="2330" spans="1:15" x14ac:dyDescent="0.2">
      <c r="A2330">
        <v>31</v>
      </c>
      <c r="B2330">
        <v>5</v>
      </c>
      <c r="C2330">
        <v>5</v>
      </c>
      <c r="D2330" s="2">
        <v>2</v>
      </c>
      <c r="E2330" s="2">
        <v>1</v>
      </c>
      <c r="F2330" s="2" t="s">
        <v>4</v>
      </c>
      <c r="G2330" s="2">
        <v>780.99999999920999</v>
      </c>
      <c r="H2330" s="2" t="s">
        <v>16</v>
      </c>
      <c r="I2330" s="2">
        <v>565414.00000003295</v>
      </c>
      <c r="J2330" s="2">
        <v>1000</v>
      </c>
      <c r="K2330" s="2">
        <v>700</v>
      </c>
      <c r="L2330" s="2">
        <v>0</v>
      </c>
      <c r="M2330" s="2">
        <v>795588.01</v>
      </c>
      <c r="N2330">
        <f t="shared" si="46"/>
        <v>1361783.0100000321</v>
      </c>
      <c r="O2330" s="9" t="s">
        <v>4</v>
      </c>
    </row>
    <row r="2331" spans="1:15" x14ac:dyDescent="0.2">
      <c r="A2331">
        <v>32</v>
      </c>
      <c r="B2331">
        <v>5</v>
      </c>
      <c r="C2331">
        <v>5</v>
      </c>
      <c r="D2331" s="2">
        <v>2</v>
      </c>
      <c r="E2331" s="2">
        <v>2</v>
      </c>
      <c r="F2331" s="2" t="s">
        <v>4</v>
      </c>
      <c r="G2331" s="2">
        <v>720.199999999949</v>
      </c>
      <c r="H2331" s="2" t="s">
        <v>16</v>
      </c>
      <c r="I2331" s="2">
        <v>428542.99999999098</v>
      </c>
      <c r="J2331" s="2">
        <v>1000</v>
      </c>
      <c r="K2331" s="2">
        <v>700</v>
      </c>
      <c r="L2331" s="2">
        <v>0</v>
      </c>
      <c r="M2331" s="2">
        <v>813947.21</v>
      </c>
      <c r="N2331">
        <f t="shared" si="46"/>
        <v>1243210.4099999908</v>
      </c>
      <c r="O2331" s="9" t="s">
        <v>4</v>
      </c>
    </row>
    <row r="2332" spans="1:15" x14ac:dyDescent="0.2">
      <c r="A2332">
        <v>33</v>
      </c>
      <c r="B2332">
        <v>5</v>
      </c>
      <c r="C2332">
        <v>5</v>
      </c>
      <c r="D2332" s="2">
        <v>2</v>
      </c>
      <c r="E2332" s="2">
        <v>3</v>
      </c>
      <c r="F2332" s="2" t="s">
        <v>4</v>
      </c>
      <c r="G2332" s="2">
        <v>762.79999999968595</v>
      </c>
      <c r="H2332" s="2" t="s">
        <v>16</v>
      </c>
      <c r="I2332" s="2">
        <v>873103.00000001502</v>
      </c>
      <c r="J2332" s="2">
        <v>1000</v>
      </c>
      <c r="K2332" s="2">
        <v>700</v>
      </c>
      <c r="L2332" s="2">
        <v>0</v>
      </c>
      <c r="M2332" s="2">
        <v>816147.21</v>
      </c>
      <c r="N2332">
        <f t="shared" si="46"/>
        <v>1690013.0100000147</v>
      </c>
      <c r="O2332" s="9" t="s">
        <v>4</v>
      </c>
    </row>
    <row r="2333" spans="1:15" x14ac:dyDescent="0.2">
      <c r="A2333">
        <v>34</v>
      </c>
      <c r="B2333">
        <v>5</v>
      </c>
      <c r="C2333">
        <v>5</v>
      </c>
      <c r="D2333" s="2">
        <v>2</v>
      </c>
      <c r="E2333" s="2">
        <v>1</v>
      </c>
      <c r="F2333" s="2" t="s">
        <v>4</v>
      </c>
      <c r="G2333" s="2">
        <v>563.600000000264</v>
      </c>
      <c r="H2333" s="2" t="s">
        <v>16</v>
      </c>
      <c r="I2333" s="2">
        <v>344550.00000002701</v>
      </c>
      <c r="J2333" s="2">
        <v>1000</v>
      </c>
      <c r="K2333" s="2">
        <v>700</v>
      </c>
      <c r="L2333" s="2">
        <v>0</v>
      </c>
      <c r="M2333" s="2">
        <v>819588.81</v>
      </c>
      <c r="N2333">
        <f t="shared" si="46"/>
        <v>1164702.4100000274</v>
      </c>
      <c r="O2333" s="9" t="s">
        <v>4</v>
      </c>
    </row>
    <row r="2334" spans="1:15" x14ac:dyDescent="0.2">
      <c r="A2334">
        <v>35</v>
      </c>
      <c r="B2334">
        <v>5</v>
      </c>
      <c r="C2334">
        <v>6</v>
      </c>
      <c r="D2334" s="2">
        <v>2</v>
      </c>
      <c r="E2334" s="2">
        <v>1</v>
      </c>
      <c r="F2334" s="2" t="s">
        <v>4</v>
      </c>
      <c r="G2334" s="2">
        <v>467.000000000439</v>
      </c>
      <c r="H2334" s="2" t="s">
        <v>16</v>
      </c>
      <c r="I2334" s="2">
        <v>1064708.99999999</v>
      </c>
      <c r="J2334" s="2">
        <v>1000</v>
      </c>
      <c r="K2334" s="2">
        <v>700</v>
      </c>
      <c r="L2334" s="2">
        <v>0</v>
      </c>
      <c r="M2334" s="2">
        <v>815747.61</v>
      </c>
      <c r="N2334">
        <f t="shared" si="46"/>
        <v>1880923.6099999906</v>
      </c>
      <c r="O2334" s="9" t="s">
        <v>4</v>
      </c>
    </row>
    <row r="2335" spans="1:15" x14ac:dyDescent="0.2">
      <c r="A2335">
        <v>36</v>
      </c>
      <c r="B2335">
        <v>5</v>
      </c>
      <c r="C2335">
        <v>6</v>
      </c>
      <c r="D2335" s="2">
        <v>2</v>
      </c>
      <c r="E2335" s="2">
        <v>2</v>
      </c>
      <c r="F2335" s="2" t="s">
        <v>4</v>
      </c>
      <c r="G2335" s="2">
        <v>432.59999999953902</v>
      </c>
      <c r="H2335" s="2" t="s">
        <v>16</v>
      </c>
      <c r="I2335" s="2">
        <v>657116.99999997101</v>
      </c>
      <c r="J2335" s="2">
        <v>1000</v>
      </c>
      <c r="K2335" s="2">
        <v>700</v>
      </c>
      <c r="L2335" s="2">
        <v>0</v>
      </c>
      <c r="M2335" s="2">
        <v>820188.41</v>
      </c>
      <c r="N2335">
        <f t="shared" si="46"/>
        <v>1477738.0099999704</v>
      </c>
      <c r="O2335" s="9" t="s">
        <v>4</v>
      </c>
    </row>
    <row r="2336" spans="1:15" x14ac:dyDescent="0.2">
      <c r="A2336">
        <v>37</v>
      </c>
      <c r="B2336">
        <v>5</v>
      </c>
      <c r="C2336">
        <v>6</v>
      </c>
      <c r="D2336" s="2">
        <v>2</v>
      </c>
      <c r="E2336" s="2">
        <v>3</v>
      </c>
      <c r="F2336" s="2" t="s">
        <v>4</v>
      </c>
      <c r="G2336" s="2">
        <v>535.40000000005296</v>
      </c>
      <c r="H2336" s="2" t="s">
        <v>16</v>
      </c>
      <c r="I2336" s="2">
        <v>638085.99999998696</v>
      </c>
      <c r="J2336" s="2">
        <v>1000</v>
      </c>
      <c r="K2336" s="2">
        <v>700</v>
      </c>
      <c r="L2336" s="2">
        <v>0</v>
      </c>
      <c r="M2336" s="2">
        <v>784946.81</v>
      </c>
      <c r="N2336">
        <f t="shared" si="46"/>
        <v>1423568.2099999869</v>
      </c>
      <c r="O2336" s="9" t="s">
        <v>4</v>
      </c>
    </row>
    <row r="2337" spans="1:15" x14ac:dyDescent="0.2">
      <c r="A2337">
        <v>38</v>
      </c>
      <c r="B2337">
        <v>5</v>
      </c>
      <c r="C2337">
        <v>6</v>
      </c>
      <c r="D2337" s="2">
        <v>2</v>
      </c>
      <c r="E2337" s="2">
        <v>1</v>
      </c>
      <c r="F2337" s="2" t="s">
        <v>4</v>
      </c>
      <c r="G2337" s="2">
        <v>394.79999999976201</v>
      </c>
      <c r="H2337" s="2" t="s">
        <v>16</v>
      </c>
      <c r="I2337" s="2">
        <v>402707.00000002101</v>
      </c>
      <c r="J2337" s="2">
        <v>1000</v>
      </c>
      <c r="K2337" s="2">
        <v>700</v>
      </c>
      <c r="L2337" s="2">
        <v>0</v>
      </c>
      <c r="M2337" s="2">
        <v>784187.61</v>
      </c>
      <c r="N2337">
        <f t="shared" si="46"/>
        <v>1187289.4100000206</v>
      </c>
      <c r="O2337" s="9" t="s">
        <v>4</v>
      </c>
    </row>
    <row r="2338" spans="1:15" x14ac:dyDescent="0.2">
      <c r="A2338">
        <v>39</v>
      </c>
      <c r="B2338">
        <v>5</v>
      </c>
      <c r="C2338">
        <v>7</v>
      </c>
      <c r="D2338" s="2">
        <v>2</v>
      </c>
      <c r="E2338" s="2">
        <v>1</v>
      </c>
      <c r="F2338" s="2" t="s">
        <v>4</v>
      </c>
      <c r="G2338" s="2">
        <v>470.600000000232</v>
      </c>
      <c r="H2338" s="2" t="s">
        <v>16</v>
      </c>
      <c r="I2338" s="2">
        <v>1193374.00000001</v>
      </c>
      <c r="J2338" s="2">
        <v>1000</v>
      </c>
      <c r="K2338" s="2">
        <v>700</v>
      </c>
      <c r="L2338" s="2">
        <v>0</v>
      </c>
      <c r="M2338" s="2">
        <v>814867.61</v>
      </c>
      <c r="N2338">
        <f t="shared" si="46"/>
        <v>2008712.2100000102</v>
      </c>
      <c r="O2338" s="9" t="s">
        <v>4</v>
      </c>
    </row>
    <row r="2339" spans="1:15" x14ac:dyDescent="0.2">
      <c r="A2339">
        <v>40</v>
      </c>
      <c r="B2339">
        <v>5</v>
      </c>
      <c r="C2339">
        <v>7</v>
      </c>
      <c r="D2339" s="2">
        <v>2</v>
      </c>
      <c r="E2339" s="2">
        <v>2</v>
      </c>
      <c r="F2339" s="2" t="s">
        <v>4</v>
      </c>
      <c r="G2339" s="2">
        <v>455.20000000074401</v>
      </c>
      <c r="H2339" s="2" t="s">
        <v>16</v>
      </c>
      <c r="I2339" s="2">
        <v>517399.00000001199</v>
      </c>
      <c r="J2339" s="2">
        <v>1000</v>
      </c>
      <c r="K2339" s="2">
        <v>700</v>
      </c>
      <c r="L2339" s="2">
        <v>0</v>
      </c>
      <c r="M2339" s="2">
        <v>811187.61</v>
      </c>
      <c r="N2339">
        <f t="shared" si="46"/>
        <v>1329041.8100000126</v>
      </c>
      <c r="O2339" s="9" t="s">
        <v>4</v>
      </c>
    </row>
    <row r="2340" spans="1:15" x14ac:dyDescent="0.2">
      <c r="A2340">
        <v>41</v>
      </c>
      <c r="B2340">
        <v>5</v>
      </c>
      <c r="C2340">
        <v>7</v>
      </c>
      <c r="D2340" s="2">
        <v>2</v>
      </c>
      <c r="E2340" s="2">
        <v>3</v>
      </c>
      <c r="F2340" s="2" t="s">
        <v>4</v>
      </c>
      <c r="G2340" s="2">
        <v>556.20000000047298</v>
      </c>
      <c r="H2340" s="2" t="s">
        <v>16</v>
      </c>
      <c r="I2340" s="2">
        <v>1178815.99999998</v>
      </c>
      <c r="J2340" s="2">
        <v>1000</v>
      </c>
      <c r="K2340" s="2">
        <v>700</v>
      </c>
      <c r="L2340" s="2">
        <v>0</v>
      </c>
      <c r="M2340" s="2">
        <v>810626.81</v>
      </c>
      <c r="N2340">
        <f t="shared" si="46"/>
        <v>1989999.0099999805</v>
      </c>
      <c r="O2340" s="9" t="s">
        <v>4</v>
      </c>
    </row>
    <row r="2341" spans="1:15" x14ac:dyDescent="0.2">
      <c r="A2341">
        <v>42</v>
      </c>
      <c r="B2341">
        <v>5</v>
      </c>
      <c r="C2341">
        <v>4</v>
      </c>
      <c r="D2341" s="2">
        <v>2</v>
      </c>
      <c r="E2341" s="2">
        <v>1</v>
      </c>
      <c r="F2341" s="2" t="s">
        <v>4</v>
      </c>
      <c r="G2341" s="2">
        <v>288.80000000022198</v>
      </c>
      <c r="H2341" s="2" t="s">
        <v>16</v>
      </c>
      <c r="I2341" s="2">
        <v>190006.99999998001</v>
      </c>
      <c r="J2341" s="2">
        <v>1000</v>
      </c>
      <c r="K2341" s="2">
        <v>700</v>
      </c>
      <c r="L2341" s="2">
        <v>0</v>
      </c>
      <c r="M2341" s="2">
        <v>783587.21</v>
      </c>
      <c r="N2341">
        <f t="shared" si="46"/>
        <v>973883.00999998022</v>
      </c>
      <c r="O2341" s="9" t="s">
        <v>5</v>
      </c>
    </row>
    <row r="2342" spans="1:15" x14ac:dyDescent="0.2">
      <c r="A2342">
        <v>43</v>
      </c>
      <c r="B2342">
        <v>5</v>
      </c>
      <c r="C2342">
        <v>5</v>
      </c>
      <c r="D2342" s="2">
        <v>2</v>
      </c>
      <c r="E2342" s="2">
        <v>1</v>
      </c>
      <c r="F2342" s="2" t="s">
        <v>4</v>
      </c>
      <c r="G2342" s="2">
        <v>340.19999999976801</v>
      </c>
      <c r="H2342" s="2" t="s">
        <v>16</v>
      </c>
      <c r="I2342" s="2">
        <v>342902.999999978</v>
      </c>
      <c r="J2342" s="2">
        <v>1000</v>
      </c>
      <c r="K2342" s="2">
        <v>700</v>
      </c>
      <c r="L2342" s="2">
        <v>0</v>
      </c>
      <c r="M2342" s="2">
        <v>784387.61</v>
      </c>
      <c r="N2342">
        <f t="shared" si="46"/>
        <v>1127630.8099999777</v>
      </c>
      <c r="O2342" s="9" t="s">
        <v>4</v>
      </c>
    </row>
    <row r="2343" spans="1:15" x14ac:dyDescent="0.2">
      <c r="A2343">
        <v>44</v>
      </c>
      <c r="B2343">
        <v>5</v>
      </c>
      <c r="C2343">
        <v>5</v>
      </c>
      <c r="D2343" s="2">
        <v>2</v>
      </c>
      <c r="E2343" s="2">
        <v>2</v>
      </c>
      <c r="F2343" s="2" t="s">
        <v>4</v>
      </c>
      <c r="G2343" s="2">
        <v>325.80000000024302</v>
      </c>
      <c r="H2343" s="2" t="s">
        <v>16</v>
      </c>
      <c r="I2343" s="2">
        <v>548630.00000000303</v>
      </c>
      <c r="J2343" s="2">
        <v>1000</v>
      </c>
      <c r="K2343" s="2">
        <v>700</v>
      </c>
      <c r="L2343" s="2">
        <v>0</v>
      </c>
      <c r="M2343" s="2">
        <v>815427.21</v>
      </c>
      <c r="N2343">
        <f t="shared" si="46"/>
        <v>1364383.0100000033</v>
      </c>
      <c r="O2343" s="9" t="s">
        <v>4</v>
      </c>
    </row>
    <row r="2344" spans="1:15" x14ac:dyDescent="0.2">
      <c r="A2344">
        <v>45</v>
      </c>
      <c r="B2344">
        <v>5</v>
      </c>
      <c r="C2344">
        <v>5</v>
      </c>
      <c r="D2344" s="2">
        <v>2</v>
      </c>
      <c r="E2344" s="2">
        <v>3</v>
      </c>
      <c r="F2344" s="2" t="s">
        <v>4</v>
      </c>
      <c r="G2344" s="2">
        <v>420.79999999948802</v>
      </c>
      <c r="H2344" s="2" t="s">
        <v>16</v>
      </c>
      <c r="I2344" s="2">
        <v>490144.99999998399</v>
      </c>
      <c r="J2344" s="2">
        <v>1000</v>
      </c>
      <c r="K2344" s="2">
        <v>700</v>
      </c>
      <c r="L2344" s="2">
        <v>0</v>
      </c>
      <c r="M2344" s="2">
        <v>810427.21</v>
      </c>
      <c r="N2344">
        <f t="shared" si="46"/>
        <v>1300993.0099999835</v>
      </c>
      <c r="O2344" s="9" t="s">
        <v>4</v>
      </c>
    </row>
    <row r="2345" spans="1:15" x14ac:dyDescent="0.2">
      <c r="A2345">
        <v>46</v>
      </c>
      <c r="B2345">
        <v>5</v>
      </c>
      <c r="C2345">
        <v>6</v>
      </c>
      <c r="D2345" s="2">
        <v>2</v>
      </c>
      <c r="E2345" s="2">
        <v>1</v>
      </c>
      <c r="F2345" s="2" t="s">
        <v>4</v>
      </c>
      <c r="G2345" s="2">
        <v>431.79999999978202</v>
      </c>
      <c r="H2345" s="2" t="s">
        <v>16</v>
      </c>
      <c r="I2345" s="2">
        <v>886569.00000000896</v>
      </c>
      <c r="J2345" s="2">
        <v>1000</v>
      </c>
      <c r="K2345" s="2">
        <v>700</v>
      </c>
      <c r="L2345" s="2">
        <v>0</v>
      </c>
      <c r="M2345" s="2">
        <v>816067.61</v>
      </c>
      <c r="N2345">
        <f t="shared" si="46"/>
        <v>1703068.4100000088</v>
      </c>
      <c r="O2345" s="9" t="s">
        <v>4</v>
      </c>
    </row>
    <row r="2346" spans="1:15" x14ac:dyDescent="0.2">
      <c r="A2346">
        <v>47</v>
      </c>
      <c r="B2346">
        <v>5</v>
      </c>
      <c r="C2346">
        <v>6</v>
      </c>
      <c r="D2346" s="2">
        <v>2</v>
      </c>
      <c r="E2346" s="2">
        <v>2</v>
      </c>
      <c r="F2346" s="2" t="s">
        <v>4</v>
      </c>
      <c r="G2346" s="2">
        <v>392.80000000019299</v>
      </c>
      <c r="H2346" s="2" t="s">
        <v>16</v>
      </c>
      <c r="I2346" s="2">
        <v>289421.00000000402</v>
      </c>
      <c r="J2346" s="2">
        <v>1000</v>
      </c>
      <c r="K2346" s="2">
        <v>700</v>
      </c>
      <c r="L2346" s="2">
        <v>0</v>
      </c>
      <c r="M2346" s="2">
        <v>783426.81</v>
      </c>
      <c r="N2346">
        <f t="shared" si="46"/>
        <v>1073240.6100000043</v>
      </c>
      <c r="O2346" s="9" t="s">
        <v>4</v>
      </c>
    </row>
    <row r="2347" spans="1:15" x14ac:dyDescent="0.2">
      <c r="A2347">
        <v>48</v>
      </c>
      <c r="B2347">
        <v>5</v>
      </c>
      <c r="C2347">
        <v>6</v>
      </c>
      <c r="D2347" s="2">
        <v>2</v>
      </c>
      <c r="E2347" s="2">
        <v>3</v>
      </c>
      <c r="F2347" s="2" t="s">
        <v>4</v>
      </c>
      <c r="G2347" s="2">
        <v>479.99999999994702</v>
      </c>
      <c r="H2347" s="2" t="s">
        <v>16</v>
      </c>
      <c r="I2347" s="2">
        <v>752868.00000003504</v>
      </c>
      <c r="J2347" s="2">
        <v>1000</v>
      </c>
      <c r="K2347" s="2">
        <v>700</v>
      </c>
      <c r="L2347" s="2">
        <v>0</v>
      </c>
      <c r="M2347" s="2">
        <v>811827.21</v>
      </c>
      <c r="N2347">
        <f t="shared" si="46"/>
        <v>1565175.2100000349</v>
      </c>
      <c r="O2347" s="9" t="s">
        <v>4</v>
      </c>
    </row>
    <row r="2348" spans="1:15" x14ac:dyDescent="0.2">
      <c r="A2348">
        <v>49</v>
      </c>
      <c r="B2348">
        <v>5</v>
      </c>
      <c r="C2348">
        <v>6</v>
      </c>
      <c r="D2348" s="2">
        <v>2</v>
      </c>
      <c r="E2348" s="2">
        <v>1</v>
      </c>
      <c r="F2348" s="2" t="s">
        <v>4</v>
      </c>
      <c r="G2348" s="2">
        <v>379.40000000027402</v>
      </c>
      <c r="H2348" s="2" t="s">
        <v>16</v>
      </c>
      <c r="I2348" s="2">
        <v>862047.00000001804</v>
      </c>
      <c r="J2348" s="2">
        <v>1000</v>
      </c>
      <c r="K2348" s="2">
        <v>700</v>
      </c>
      <c r="L2348" s="2">
        <v>0</v>
      </c>
      <c r="M2348" s="2">
        <v>797827.61</v>
      </c>
      <c r="N2348">
        <f t="shared" si="46"/>
        <v>1660254.0100000184</v>
      </c>
      <c r="O2348" s="9" t="s">
        <v>4</v>
      </c>
    </row>
    <row r="2349" spans="1:15" x14ac:dyDescent="0.2">
      <c r="A2349">
        <v>50</v>
      </c>
      <c r="B2349">
        <v>5</v>
      </c>
      <c r="C2349">
        <v>6</v>
      </c>
      <c r="D2349" s="2">
        <v>2</v>
      </c>
      <c r="E2349" s="2">
        <v>2</v>
      </c>
      <c r="F2349" s="2" t="s">
        <v>4</v>
      </c>
      <c r="G2349" s="2">
        <v>387.60000000017698</v>
      </c>
      <c r="H2349" s="2" t="s">
        <v>16</v>
      </c>
      <c r="I2349" s="2">
        <v>510372.99999995902</v>
      </c>
      <c r="J2349" s="2">
        <v>1000</v>
      </c>
      <c r="K2349" s="2">
        <v>700</v>
      </c>
      <c r="L2349" s="2">
        <v>0</v>
      </c>
      <c r="M2349" s="2">
        <v>818507.21</v>
      </c>
      <c r="N2349">
        <f t="shared" si="46"/>
        <v>1329267.8099999591</v>
      </c>
      <c r="O2349" s="9" t="s">
        <v>4</v>
      </c>
    </row>
    <row r="2350" spans="1:15" x14ac:dyDescent="0.2">
      <c r="A2350">
        <v>51</v>
      </c>
      <c r="B2350">
        <v>5</v>
      </c>
      <c r="C2350">
        <v>6</v>
      </c>
      <c r="D2350" s="2">
        <v>2</v>
      </c>
      <c r="E2350" s="2">
        <v>3</v>
      </c>
      <c r="F2350" s="2" t="s">
        <v>4</v>
      </c>
      <c r="G2350" s="2">
        <v>476.39999999944399</v>
      </c>
      <c r="H2350" s="2" t="s">
        <v>16</v>
      </c>
      <c r="I2350" s="2">
        <v>1073153.99999999</v>
      </c>
      <c r="J2350" s="2">
        <v>1000</v>
      </c>
      <c r="K2350" s="2">
        <v>700</v>
      </c>
      <c r="L2350" s="2">
        <v>0</v>
      </c>
      <c r="M2350" s="2">
        <v>821106.81</v>
      </c>
      <c r="N2350">
        <f t="shared" si="46"/>
        <v>1894737.2099999895</v>
      </c>
      <c r="O2350" s="9" t="s">
        <v>4</v>
      </c>
    </row>
    <row r="2351" spans="1:15" x14ac:dyDescent="0.2">
      <c r="A2351">
        <v>52</v>
      </c>
      <c r="B2351">
        <v>5</v>
      </c>
      <c r="C2351">
        <v>7</v>
      </c>
      <c r="D2351" s="2">
        <v>2</v>
      </c>
      <c r="E2351" s="2">
        <v>1</v>
      </c>
      <c r="F2351" s="2" t="s">
        <v>4</v>
      </c>
      <c r="G2351" s="2">
        <v>407.79999999998</v>
      </c>
      <c r="H2351" s="2" t="s">
        <v>16</v>
      </c>
      <c r="I2351" s="2">
        <v>757241.000000022</v>
      </c>
      <c r="J2351" s="2">
        <v>1000</v>
      </c>
      <c r="K2351" s="2">
        <v>700</v>
      </c>
      <c r="L2351" s="2">
        <v>0</v>
      </c>
      <c r="M2351" s="2">
        <v>813268.01</v>
      </c>
      <c r="N2351">
        <f t="shared" si="46"/>
        <v>1570916.8100000219</v>
      </c>
      <c r="O2351" s="9" t="s">
        <v>4</v>
      </c>
    </row>
    <row r="2352" spans="1:15" x14ac:dyDescent="0.2">
      <c r="A2352">
        <v>53</v>
      </c>
      <c r="B2352">
        <v>5</v>
      </c>
      <c r="C2352">
        <v>7</v>
      </c>
      <c r="D2352" s="2">
        <v>2</v>
      </c>
      <c r="E2352" s="2">
        <v>2</v>
      </c>
      <c r="F2352" s="2" t="s">
        <v>4</v>
      </c>
      <c r="G2352" s="2">
        <v>396.99999999953701</v>
      </c>
      <c r="H2352" s="2" t="s">
        <v>16</v>
      </c>
      <c r="I2352" s="2">
        <v>929575.99999999697</v>
      </c>
      <c r="J2352" s="2">
        <v>1000</v>
      </c>
      <c r="K2352" s="2">
        <v>700</v>
      </c>
      <c r="L2352" s="2">
        <v>0</v>
      </c>
      <c r="M2352" s="2">
        <v>817467.21</v>
      </c>
      <c r="N2352">
        <f t="shared" si="46"/>
        <v>1747440.2099999965</v>
      </c>
      <c r="O2352" s="9" t="s">
        <v>4</v>
      </c>
    </row>
    <row r="2353" spans="1:15" x14ac:dyDescent="0.2">
      <c r="A2353">
        <v>54</v>
      </c>
      <c r="B2353">
        <v>5</v>
      </c>
      <c r="C2353">
        <v>7</v>
      </c>
      <c r="D2353" s="2">
        <v>2</v>
      </c>
      <c r="E2353" s="2">
        <v>3</v>
      </c>
      <c r="F2353" s="2" t="s">
        <v>4</v>
      </c>
      <c r="G2353" s="2">
        <v>497.99999999997601</v>
      </c>
      <c r="H2353" s="2" t="s">
        <v>16</v>
      </c>
      <c r="I2353" s="2">
        <v>1425852.99999996</v>
      </c>
      <c r="J2353" s="2">
        <v>1000</v>
      </c>
      <c r="K2353" s="2">
        <v>700</v>
      </c>
      <c r="L2353" s="2">
        <v>0</v>
      </c>
      <c r="M2353" s="2">
        <v>809546.81</v>
      </c>
      <c r="N2353">
        <f t="shared" si="46"/>
        <v>2235897.80999996</v>
      </c>
      <c r="O2353" s="9" t="s">
        <v>4</v>
      </c>
    </row>
    <row r="2354" spans="1:15" x14ac:dyDescent="0.2">
      <c r="A2354">
        <v>55</v>
      </c>
      <c r="B2354">
        <v>5</v>
      </c>
      <c r="C2354">
        <v>5</v>
      </c>
      <c r="D2354" s="2">
        <v>2</v>
      </c>
      <c r="E2354" s="2">
        <v>1</v>
      </c>
      <c r="F2354" s="2" t="s">
        <v>4</v>
      </c>
      <c r="G2354" s="2">
        <v>289.40000000012799</v>
      </c>
      <c r="H2354" s="2" t="s">
        <v>16</v>
      </c>
      <c r="I2354" s="2">
        <v>330494.99999998498</v>
      </c>
      <c r="J2354" s="2">
        <v>1000</v>
      </c>
      <c r="K2354" s="2">
        <v>700</v>
      </c>
      <c r="L2354" s="2">
        <v>0</v>
      </c>
      <c r="M2354" s="2">
        <v>783986.81</v>
      </c>
      <c r="N2354">
        <f t="shared" si="46"/>
        <v>1114771.2099999851</v>
      </c>
      <c r="O2354" s="9" t="s">
        <v>4</v>
      </c>
    </row>
    <row r="2355" spans="1:15" x14ac:dyDescent="0.2">
      <c r="A2355">
        <v>56</v>
      </c>
      <c r="B2355">
        <v>5</v>
      </c>
      <c r="C2355">
        <v>5</v>
      </c>
      <c r="D2355" s="2">
        <v>2</v>
      </c>
      <c r="E2355" s="2">
        <v>2</v>
      </c>
      <c r="F2355" s="2" t="s">
        <v>4</v>
      </c>
      <c r="G2355" s="2">
        <v>287.00000000014802</v>
      </c>
      <c r="H2355" s="2" t="s">
        <v>16</v>
      </c>
      <c r="I2355" s="2">
        <v>437728.99999998999</v>
      </c>
      <c r="J2355" s="2">
        <v>1000</v>
      </c>
      <c r="K2355" s="2">
        <v>700</v>
      </c>
      <c r="L2355" s="2">
        <v>0</v>
      </c>
      <c r="M2355" s="2">
        <v>782586.81</v>
      </c>
      <c r="N2355">
        <f t="shared" si="46"/>
        <v>1220602.8099999903</v>
      </c>
      <c r="O2355" s="9" t="s">
        <v>4</v>
      </c>
    </row>
    <row r="2356" spans="1:15" x14ac:dyDescent="0.2">
      <c r="A2356">
        <v>57</v>
      </c>
      <c r="B2356">
        <v>5</v>
      </c>
      <c r="C2356">
        <v>5</v>
      </c>
      <c r="D2356" s="2">
        <v>2</v>
      </c>
      <c r="E2356" s="2">
        <v>3</v>
      </c>
      <c r="F2356" s="2" t="s">
        <v>4</v>
      </c>
      <c r="G2356" s="2">
        <v>362.39999999949703</v>
      </c>
      <c r="H2356" s="2" t="s">
        <v>16</v>
      </c>
      <c r="I2356" s="2">
        <v>461844.999999983</v>
      </c>
      <c r="J2356" s="2">
        <v>1000</v>
      </c>
      <c r="K2356" s="2">
        <v>700</v>
      </c>
      <c r="L2356" s="2">
        <v>0</v>
      </c>
      <c r="M2356" s="2">
        <v>799187.61</v>
      </c>
      <c r="N2356">
        <f t="shared" si="46"/>
        <v>1261395.0099999825</v>
      </c>
      <c r="O2356" s="9" t="s">
        <v>4</v>
      </c>
    </row>
    <row r="2357" spans="1:15" x14ac:dyDescent="0.2">
      <c r="A2357">
        <v>58</v>
      </c>
      <c r="B2357">
        <v>5</v>
      </c>
      <c r="C2357">
        <v>6</v>
      </c>
      <c r="D2357" s="2">
        <v>2</v>
      </c>
      <c r="E2357" s="2">
        <v>1</v>
      </c>
      <c r="F2357" s="2" t="s">
        <v>4</v>
      </c>
      <c r="G2357" s="2">
        <v>340.79999999967498</v>
      </c>
      <c r="H2357" s="2" t="s">
        <v>16</v>
      </c>
      <c r="I2357" s="2">
        <v>736719.00000005099</v>
      </c>
      <c r="J2357" s="2">
        <v>1000</v>
      </c>
      <c r="K2357" s="2">
        <v>700</v>
      </c>
      <c r="L2357" s="2">
        <v>0</v>
      </c>
      <c r="M2357" s="2">
        <v>813827.21</v>
      </c>
      <c r="N2357">
        <f t="shared" si="46"/>
        <v>1550887.0100000505</v>
      </c>
      <c r="O2357" s="9" t="s">
        <v>4</v>
      </c>
    </row>
    <row r="2358" spans="1:15" x14ac:dyDescent="0.2">
      <c r="A2358">
        <v>59</v>
      </c>
      <c r="B2358">
        <v>5</v>
      </c>
      <c r="C2358">
        <v>6</v>
      </c>
      <c r="D2358" s="2">
        <v>2</v>
      </c>
      <c r="E2358" s="2">
        <v>2</v>
      </c>
      <c r="F2358" s="2" t="s">
        <v>4</v>
      </c>
      <c r="G2358" s="2">
        <v>334.19999999999601</v>
      </c>
      <c r="H2358" s="2" t="s">
        <v>16</v>
      </c>
      <c r="I2358" s="2">
        <v>494259</v>
      </c>
      <c r="J2358" s="2">
        <v>1000</v>
      </c>
      <c r="K2358" s="2">
        <v>700</v>
      </c>
      <c r="L2358" s="2">
        <v>0</v>
      </c>
      <c r="M2358" s="2">
        <v>819028.41</v>
      </c>
      <c r="N2358">
        <f t="shared" si="46"/>
        <v>1313621.6100000001</v>
      </c>
      <c r="O2358" s="9" t="s">
        <v>4</v>
      </c>
    </row>
    <row r="2359" spans="1:15" x14ac:dyDescent="0.2">
      <c r="A2359">
        <v>60</v>
      </c>
      <c r="B2359">
        <v>5</v>
      </c>
      <c r="C2359">
        <v>6</v>
      </c>
      <c r="D2359" s="2">
        <v>2</v>
      </c>
      <c r="E2359" s="2">
        <v>3</v>
      </c>
      <c r="F2359" s="2" t="s">
        <v>4</v>
      </c>
      <c r="G2359" s="2">
        <v>401.39999999979602</v>
      </c>
      <c r="H2359" s="2" t="s">
        <v>16</v>
      </c>
      <c r="I2359" s="2">
        <v>678708.99999996903</v>
      </c>
      <c r="J2359" s="2">
        <v>1000</v>
      </c>
      <c r="K2359" s="2">
        <v>700</v>
      </c>
      <c r="L2359" s="2">
        <v>0</v>
      </c>
      <c r="M2359" s="2">
        <v>816988.41</v>
      </c>
      <c r="N2359">
        <f t="shared" si="46"/>
        <v>1496098.8099999689</v>
      </c>
      <c r="O2359" s="9" t="s">
        <v>4</v>
      </c>
    </row>
    <row r="2360" spans="1:15" x14ac:dyDescent="0.2">
      <c r="A2360">
        <v>61</v>
      </c>
      <c r="B2360">
        <v>5</v>
      </c>
      <c r="C2360">
        <v>7</v>
      </c>
      <c r="D2360" s="2">
        <v>2</v>
      </c>
      <c r="E2360" s="2">
        <v>1</v>
      </c>
      <c r="F2360" s="2" t="s">
        <v>4</v>
      </c>
      <c r="G2360" s="2">
        <v>364.79999999983198</v>
      </c>
      <c r="H2360" s="2" t="s">
        <v>16</v>
      </c>
      <c r="I2360" s="2">
        <v>900666.99999999895</v>
      </c>
      <c r="J2360" s="2">
        <v>1000</v>
      </c>
      <c r="K2360" s="2">
        <v>700</v>
      </c>
      <c r="L2360" s="2">
        <v>0</v>
      </c>
      <c r="M2360" s="2">
        <v>814987.21</v>
      </c>
      <c r="N2360">
        <f t="shared" si="46"/>
        <v>1716019.0099999988</v>
      </c>
      <c r="O2360" s="9" t="s">
        <v>4</v>
      </c>
    </row>
    <row r="2361" spans="1:15" x14ac:dyDescent="0.2">
      <c r="A2361">
        <v>62</v>
      </c>
      <c r="B2361">
        <v>5</v>
      </c>
      <c r="C2361">
        <v>7</v>
      </c>
      <c r="D2361" s="2">
        <v>2</v>
      </c>
      <c r="E2361" s="2">
        <v>2</v>
      </c>
      <c r="F2361" s="2" t="s">
        <v>4</v>
      </c>
      <c r="G2361" s="2">
        <v>382.79999999950599</v>
      </c>
      <c r="H2361" s="2" t="s">
        <v>16</v>
      </c>
      <c r="I2361" s="2">
        <v>843414.99999999302</v>
      </c>
      <c r="J2361" s="2">
        <v>1000</v>
      </c>
      <c r="K2361" s="2">
        <v>700</v>
      </c>
      <c r="L2361" s="2">
        <v>0</v>
      </c>
      <c r="M2361" s="2">
        <v>797987.21</v>
      </c>
      <c r="N2361">
        <f t="shared" si="46"/>
        <v>1641785.0099999923</v>
      </c>
      <c r="O2361" s="9" t="s">
        <v>4</v>
      </c>
    </row>
    <row r="2362" spans="1:15" x14ac:dyDescent="0.2">
      <c r="A2362">
        <v>63</v>
      </c>
      <c r="B2362">
        <v>5</v>
      </c>
      <c r="C2362">
        <v>7</v>
      </c>
      <c r="D2362" s="2">
        <v>2</v>
      </c>
      <c r="E2362" s="2">
        <v>3</v>
      </c>
      <c r="F2362" s="2" t="s">
        <v>4</v>
      </c>
      <c r="G2362" s="2">
        <v>469.999999999615</v>
      </c>
      <c r="H2362" s="2" t="s">
        <v>16</v>
      </c>
      <c r="I2362" s="2">
        <v>1507850.99999996</v>
      </c>
      <c r="J2362" s="2">
        <v>1000</v>
      </c>
      <c r="K2362" s="2">
        <v>700</v>
      </c>
      <c r="L2362" s="2">
        <v>0</v>
      </c>
      <c r="M2362" s="2">
        <v>808746.81</v>
      </c>
      <c r="N2362">
        <f t="shared" si="46"/>
        <v>2317067.8099999595</v>
      </c>
      <c r="O2362" s="9" t="s">
        <v>4</v>
      </c>
    </row>
    <row r="2363" spans="1:15" x14ac:dyDescent="0.2">
      <c r="A2363">
        <v>64</v>
      </c>
      <c r="B2363">
        <v>5</v>
      </c>
      <c r="C2363">
        <v>8</v>
      </c>
      <c r="D2363" s="2">
        <v>2</v>
      </c>
      <c r="E2363" s="2">
        <v>1</v>
      </c>
      <c r="F2363" s="2" t="s">
        <v>4</v>
      </c>
      <c r="G2363" s="2">
        <v>408.600000000092</v>
      </c>
      <c r="H2363" s="2" t="s">
        <v>16</v>
      </c>
      <c r="I2363" s="2">
        <v>1353122.99999998</v>
      </c>
      <c r="J2363" s="2">
        <v>1000</v>
      </c>
      <c r="K2363" s="2">
        <v>700</v>
      </c>
      <c r="L2363" s="2">
        <v>0</v>
      </c>
      <c r="M2363" s="2">
        <v>810306.81</v>
      </c>
      <c r="N2363">
        <f t="shared" si="46"/>
        <v>2163838.4099999801</v>
      </c>
      <c r="O2363" s="9" t="s">
        <v>4</v>
      </c>
    </row>
    <row r="2364" spans="1:15" x14ac:dyDescent="0.2">
      <c r="A2364">
        <v>65</v>
      </c>
      <c r="B2364">
        <v>5</v>
      </c>
      <c r="C2364">
        <v>8</v>
      </c>
      <c r="D2364" s="2">
        <v>2</v>
      </c>
      <c r="E2364" s="2">
        <v>2</v>
      </c>
      <c r="F2364" s="2" t="s">
        <v>4</v>
      </c>
      <c r="G2364" s="2">
        <v>427.200000000383</v>
      </c>
      <c r="H2364" s="2" t="s">
        <v>16</v>
      </c>
      <c r="I2364" s="2">
        <v>1920556.00000003</v>
      </c>
      <c r="J2364" s="2">
        <v>1000</v>
      </c>
      <c r="K2364" s="2">
        <v>700</v>
      </c>
      <c r="L2364" s="2">
        <v>0</v>
      </c>
      <c r="M2364" s="2">
        <v>797147.21</v>
      </c>
      <c r="N2364">
        <f t="shared" si="46"/>
        <v>2718130.4100000304</v>
      </c>
      <c r="O2364" s="9" t="s">
        <v>4</v>
      </c>
    </row>
    <row r="2365" spans="1:15" x14ac:dyDescent="0.2">
      <c r="A2365">
        <v>66</v>
      </c>
      <c r="B2365">
        <v>5</v>
      </c>
      <c r="C2365">
        <v>8</v>
      </c>
      <c r="D2365" s="2">
        <v>2</v>
      </c>
      <c r="E2365" s="2">
        <v>3</v>
      </c>
      <c r="F2365" s="2" t="s">
        <v>4</v>
      </c>
      <c r="G2365" s="2">
        <v>553.79999999942697</v>
      </c>
      <c r="H2365" s="2" t="s">
        <v>16</v>
      </c>
      <c r="I2365" s="2">
        <v>1980976</v>
      </c>
      <c r="J2365" s="2">
        <v>1000</v>
      </c>
      <c r="K2365" s="2">
        <v>700</v>
      </c>
      <c r="L2365" s="2">
        <v>0</v>
      </c>
      <c r="M2365" s="2">
        <v>820027.61</v>
      </c>
      <c r="N2365">
        <f t="shared" si="46"/>
        <v>2801557.4099999992</v>
      </c>
      <c r="O2365" s="9" t="s">
        <v>4</v>
      </c>
    </row>
    <row r="2366" spans="1:15" x14ac:dyDescent="0.2">
      <c r="A2366">
        <v>67</v>
      </c>
      <c r="B2366">
        <v>5</v>
      </c>
      <c r="C2366">
        <v>7</v>
      </c>
      <c r="D2366" s="2">
        <v>2</v>
      </c>
      <c r="E2366" s="2">
        <v>1</v>
      </c>
      <c r="F2366" s="2" t="s">
        <v>4</v>
      </c>
      <c r="G2366" s="2">
        <v>358.99999999990899</v>
      </c>
      <c r="H2366" s="2" t="s">
        <v>16</v>
      </c>
      <c r="I2366" s="2">
        <v>736641.00000002002</v>
      </c>
      <c r="J2366" s="2">
        <v>1000</v>
      </c>
      <c r="K2366" s="2">
        <v>700</v>
      </c>
      <c r="L2366" s="2">
        <v>0</v>
      </c>
      <c r="M2366" s="2">
        <v>807387.61</v>
      </c>
      <c r="N2366">
        <f t="shared" si="46"/>
        <v>1544387.6100000199</v>
      </c>
      <c r="O2366" s="9" t="s">
        <v>4</v>
      </c>
    </row>
    <row r="2367" spans="1:15" x14ac:dyDescent="0.2">
      <c r="A2367">
        <v>68</v>
      </c>
      <c r="B2367">
        <v>5</v>
      </c>
      <c r="C2367">
        <v>7</v>
      </c>
      <c r="D2367" s="2">
        <v>2</v>
      </c>
      <c r="E2367" s="2">
        <v>2</v>
      </c>
      <c r="F2367" s="2" t="s">
        <v>4</v>
      </c>
      <c r="G2367" s="2">
        <v>373.80000000055702</v>
      </c>
      <c r="H2367" s="2" t="s">
        <v>16</v>
      </c>
      <c r="I2367" s="2">
        <v>1227076.9999999499</v>
      </c>
      <c r="J2367" s="2">
        <v>1000</v>
      </c>
      <c r="K2367" s="2">
        <v>700</v>
      </c>
      <c r="L2367" s="2">
        <v>0</v>
      </c>
      <c r="M2367" s="2">
        <v>785626.41</v>
      </c>
      <c r="N2367">
        <f t="shared" si="46"/>
        <v>2013077.2099999506</v>
      </c>
      <c r="O2367" s="9" t="s">
        <v>4</v>
      </c>
    </row>
    <row r="2368" spans="1:15" x14ac:dyDescent="0.2">
      <c r="A2368">
        <v>69</v>
      </c>
      <c r="B2368">
        <v>5</v>
      </c>
      <c r="C2368">
        <v>7</v>
      </c>
      <c r="D2368" s="2">
        <v>2</v>
      </c>
      <c r="E2368" s="2">
        <v>3</v>
      </c>
      <c r="F2368" s="2" t="s">
        <v>4</v>
      </c>
      <c r="G2368" s="2">
        <v>458.79999999947103</v>
      </c>
      <c r="H2368" s="2" t="s">
        <v>16</v>
      </c>
      <c r="I2368" s="2">
        <v>949294.00000000896</v>
      </c>
      <c r="J2368" s="2">
        <v>1000</v>
      </c>
      <c r="K2368" s="2">
        <v>700</v>
      </c>
      <c r="L2368" s="2">
        <v>0</v>
      </c>
      <c r="M2368" s="2">
        <v>808868.01</v>
      </c>
      <c r="N2368">
        <f t="shared" si="46"/>
        <v>1758620.8100000084</v>
      </c>
      <c r="O2368" s="9" t="s">
        <v>4</v>
      </c>
    </row>
    <row r="2369" spans="1:15" x14ac:dyDescent="0.2">
      <c r="A2369">
        <v>28</v>
      </c>
      <c r="B2369">
        <v>5</v>
      </c>
      <c r="C2369">
        <v>4</v>
      </c>
      <c r="D2369" s="2">
        <v>2</v>
      </c>
      <c r="E2369" s="2">
        <v>1</v>
      </c>
      <c r="F2369" s="2" t="s">
        <v>4</v>
      </c>
      <c r="G2369" s="2">
        <v>901.80000000010796</v>
      </c>
      <c r="H2369" s="2" t="s">
        <v>16</v>
      </c>
      <c r="I2369" s="2">
        <v>226247.99999999799</v>
      </c>
      <c r="J2369" s="2">
        <v>2000</v>
      </c>
      <c r="K2369" s="2">
        <v>300</v>
      </c>
      <c r="L2369" s="2">
        <v>0</v>
      </c>
      <c r="M2369" s="2">
        <v>750507.21</v>
      </c>
      <c r="N2369">
        <f t="shared" si="46"/>
        <v>977657.00999999803</v>
      </c>
      <c r="O2369" s="9" t="s">
        <v>4</v>
      </c>
    </row>
    <row r="2370" spans="1:15" x14ac:dyDescent="0.2">
      <c r="A2370">
        <v>29</v>
      </c>
      <c r="B2370">
        <v>5</v>
      </c>
      <c r="C2370">
        <v>5</v>
      </c>
      <c r="D2370" s="2">
        <v>2</v>
      </c>
      <c r="E2370" s="2">
        <v>2</v>
      </c>
      <c r="F2370" s="2" t="s">
        <v>4</v>
      </c>
      <c r="G2370" s="2">
        <v>926.20000000032098</v>
      </c>
      <c r="H2370" s="2" t="s">
        <v>16</v>
      </c>
      <c r="I2370" s="2">
        <v>333011.99999999697</v>
      </c>
      <c r="J2370" s="2">
        <v>2000</v>
      </c>
      <c r="K2370" s="2">
        <v>300</v>
      </c>
      <c r="L2370" s="2">
        <v>0</v>
      </c>
      <c r="M2370" s="2">
        <v>815226.81</v>
      </c>
      <c r="N2370">
        <f t="shared" si="46"/>
        <v>1149165.0099999974</v>
      </c>
      <c r="O2370" s="9" t="s">
        <v>4</v>
      </c>
    </row>
    <row r="2371" spans="1:15" x14ac:dyDescent="0.2">
      <c r="A2371">
        <v>30</v>
      </c>
      <c r="B2371">
        <v>5</v>
      </c>
      <c r="C2371">
        <v>5</v>
      </c>
      <c r="D2371" s="2">
        <v>2</v>
      </c>
      <c r="E2371" s="2">
        <v>3</v>
      </c>
      <c r="F2371" s="2" t="s">
        <v>4</v>
      </c>
      <c r="G2371" s="2">
        <v>922.99999999951899</v>
      </c>
      <c r="H2371" s="2" t="s">
        <v>16</v>
      </c>
      <c r="I2371" s="2">
        <v>1243228.99999999</v>
      </c>
      <c r="J2371" s="2">
        <v>2000</v>
      </c>
      <c r="K2371" s="2">
        <v>300</v>
      </c>
      <c r="L2371" s="2">
        <v>0</v>
      </c>
      <c r="M2371" s="2">
        <v>762747.21</v>
      </c>
      <c r="N2371">
        <f t="shared" si="46"/>
        <v>2006899.2099999895</v>
      </c>
      <c r="O2371" s="9" t="s">
        <v>4</v>
      </c>
    </row>
    <row r="2372" spans="1:15" x14ac:dyDescent="0.2">
      <c r="A2372">
        <v>31</v>
      </c>
      <c r="B2372">
        <v>5</v>
      </c>
      <c r="C2372">
        <v>5</v>
      </c>
      <c r="D2372" s="2">
        <v>2</v>
      </c>
      <c r="E2372" s="2">
        <v>1</v>
      </c>
      <c r="F2372" s="2" t="s">
        <v>4</v>
      </c>
      <c r="G2372" s="2">
        <v>780.99999999920999</v>
      </c>
      <c r="H2372" s="2" t="s">
        <v>16</v>
      </c>
      <c r="I2372" s="2">
        <v>565414.00000003295</v>
      </c>
      <c r="J2372" s="2">
        <v>2000</v>
      </c>
      <c r="K2372" s="2">
        <v>300</v>
      </c>
      <c r="L2372" s="2">
        <v>0</v>
      </c>
      <c r="M2372" s="2">
        <v>771948.01</v>
      </c>
      <c r="N2372">
        <f t="shared" si="46"/>
        <v>1338143.0100000321</v>
      </c>
      <c r="O2372" s="9" t="s">
        <v>4</v>
      </c>
    </row>
    <row r="2373" spans="1:15" x14ac:dyDescent="0.2">
      <c r="A2373">
        <v>32</v>
      </c>
      <c r="B2373">
        <v>5</v>
      </c>
      <c r="C2373">
        <v>5</v>
      </c>
      <c r="D2373" s="2">
        <v>2</v>
      </c>
      <c r="E2373" s="2">
        <v>2</v>
      </c>
      <c r="F2373" s="2" t="s">
        <v>4</v>
      </c>
      <c r="G2373" s="2">
        <v>720.199999999949</v>
      </c>
      <c r="H2373" s="2" t="s">
        <v>16</v>
      </c>
      <c r="I2373" s="2">
        <v>428542.99999999098</v>
      </c>
      <c r="J2373" s="2">
        <v>2000</v>
      </c>
      <c r="K2373" s="2">
        <v>300</v>
      </c>
      <c r="L2373" s="2">
        <v>0</v>
      </c>
      <c r="M2373" s="2">
        <v>808667.21</v>
      </c>
      <c r="N2373">
        <f t="shared" si="46"/>
        <v>1237930.4099999908</v>
      </c>
      <c r="O2373" s="9" t="s">
        <v>4</v>
      </c>
    </row>
    <row r="2374" spans="1:15" x14ac:dyDescent="0.2">
      <c r="A2374">
        <v>33</v>
      </c>
      <c r="B2374">
        <v>5</v>
      </c>
      <c r="C2374">
        <v>5</v>
      </c>
      <c r="D2374" s="2">
        <v>2</v>
      </c>
      <c r="E2374" s="2">
        <v>3</v>
      </c>
      <c r="F2374" s="2" t="s">
        <v>4</v>
      </c>
      <c r="G2374" s="2">
        <v>762.79999999968595</v>
      </c>
      <c r="H2374" s="2" t="s">
        <v>16</v>
      </c>
      <c r="I2374" s="2">
        <v>873103.00000001502</v>
      </c>
      <c r="J2374" s="2">
        <v>2000</v>
      </c>
      <c r="K2374" s="2">
        <v>300</v>
      </c>
      <c r="L2374" s="2">
        <v>0</v>
      </c>
      <c r="M2374" s="2">
        <v>813067.21</v>
      </c>
      <c r="N2374">
        <f t="shared" ref="N2374:N2410" si="47">G2374+I2374+M2374</f>
        <v>1686933.0100000147</v>
      </c>
      <c r="O2374" s="9" t="s">
        <v>4</v>
      </c>
    </row>
    <row r="2375" spans="1:15" x14ac:dyDescent="0.2">
      <c r="A2375">
        <v>34</v>
      </c>
      <c r="B2375">
        <v>5</v>
      </c>
      <c r="C2375">
        <v>5</v>
      </c>
      <c r="D2375" s="2">
        <v>2</v>
      </c>
      <c r="E2375" s="2">
        <v>1</v>
      </c>
      <c r="F2375" s="2" t="s">
        <v>4</v>
      </c>
      <c r="G2375" s="2">
        <v>563.600000000264</v>
      </c>
      <c r="H2375" s="2" t="s">
        <v>16</v>
      </c>
      <c r="I2375" s="2">
        <v>344550.00000002701</v>
      </c>
      <c r="J2375" s="2">
        <v>2000</v>
      </c>
      <c r="K2375" s="2">
        <v>300</v>
      </c>
      <c r="L2375" s="2">
        <v>0</v>
      </c>
      <c r="M2375" s="2">
        <v>819948.81</v>
      </c>
      <c r="N2375">
        <f t="shared" si="47"/>
        <v>1165062.4100000274</v>
      </c>
      <c r="O2375" s="9" t="s">
        <v>4</v>
      </c>
    </row>
    <row r="2376" spans="1:15" x14ac:dyDescent="0.2">
      <c r="A2376">
        <v>35</v>
      </c>
      <c r="B2376">
        <v>5</v>
      </c>
      <c r="C2376">
        <v>6</v>
      </c>
      <c r="D2376" s="2">
        <v>2</v>
      </c>
      <c r="E2376" s="2">
        <v>1</v>
      </c>
      <c r="F2376" s="2" t="s">
        <v>4</v>
      </c>
      <c r="G2376" s="2">
        <v>467.000000000439</v>
      </c>
      <c r="H2376" s="2" t="s">
        <v>16</v>
      </c>
      <c r="I2376" s="2">
        <v>1064708.99999999</v>
      </c>
      <c r="J2376" s="2">
        <v>2000</v>
      </c>
      <c r="K2376" s="2">
        <v>300</v>
      </c>
      <c r="L2376" s="2">
        <v>0</v>
      </c>
      <c r="M2376" s="2">
        <v>812267.61</v>
      </c>
      <c r="N2376">
        <f t="shared" si="47"/>
        <v>1877443.6099999906</v>
      </c>
      <c r="O2376" s="9" t="s">
        <v>4</v>
      </c>
    </row>
    <row r="2377" spans="1:15" x14ac:dyDescent="0.2">
      <c r="A2377">
        <v>36</v>
      </c>
      <c r="B2377">
        <v>5</v>
      </c>
      <c r="C2377">
        <v>6</v>
      </c>
      <c r="D2377" s="2">
        <v>2</v>
      </c>
      <c r="E2377" s="2">
        <v>2</v>
      </c>
      <c r="F2377" s="2" t="s">
        <v>4</v>
      </c>
      <c r="G2377" s="2">
        <v>432.59999999953902</v>
      </c>
      <c r="H2377" s="2" t="s">
        <v>16</v>
      </c>
      <c r="I2377" s="2">
        <v>657116.99999997101</v>
      </c>
      <c r="J2377" s="2">
        <v>2000</v>
      </c>
      <c r="K2377" s="2">
        <v>300</v>
      </c>
      <c r="L2377" s="2">
        <v>0</v>
      </c>
      <c r="M2377" s="2">
        <v>821148.41</v>
      </c>
      <c r="N2377">
        <f t="shared" si="47"/>
        <v>1478698.0099999704</v>
      </c>
      <c r="O2377" s="9" t="s">
        <v>4</v>
      </c>
    </row>
    <row r="2378" spans="1:15" x14ac:dyDescent="0.2">
      <c r="A2378">
        <v>37</v>
      </c>
      <c r="B2378">
        <v>5</v>
      </c>
      <c r="C2378">
        <v>6</v>
      </c>
      <c r="D2378" s="2">
        <v>2</v>
      </c>
      <c r="E2378" s="2">
        <v>3</v>
      </c>
      <c r="F2378" s="2" t="s">
        <v>4</v>
      </c>
      <c r="G2378" s="2">
        <v>535.40000000005296</v>
      </c>
      <c r="H2378" s="2" t="s">
        <v>16</v>
      </c>
      <c r="I2378" s="2">
        <v>638085.99999998696</v>
      </c>
      <c r="J2378" s="2">
        <v>2000</v>
      </c>
      <c r="K2378" s="2">
        <v>300</v>
      </c>
      <c r="L2378" s="2">
        <v>0</v>
      </c>
      <c r="M2378" s="2">
        <v>750666.81</v>
      </c>
      <c r="N2378">
        <f t="shared" si="47"/>
        <v>1389288.2099999869</v>
      </c>
      <c r="O2378" s="9" t="s">
        <v>4</v>
      </c>
    </row>
    <row r="2379" spans="1:15" x14ac:dyDescent="0.2">
      <c r="A2379">
        <v>38</v>
      </c>
      <c r="B2379">
        <v>5</v>
      </c>
      <c r="C2379">
        <v>6</v>
      </c>
      <c r="D2379" s="2">
        <v>2</v>
      </c>
      <c r="E2379" s="2">
        <v>1</v>
      </c>
      <c r="F2379" s="2" t="s">
        <v>4</v>
      </c>
      <c r="G2379" s="2">
        <v>394.79999999976201</v>
      </c>
      <c r="H2379" s="2" t="s">
        <v>16</v>
      </c>
      <c r="I2379" s="2">
        <v>402707.00000002101</v>
      </c>
      <c r="J2379" s="2">
        <v>2000</v>
      </c>
      <c r="K2379" s="2">
        <v>300</v>
      </c>
      <c r="L2379" s="2">
        <v>0</v>
      </c>
      <c r="M2379" s="2">
        <v>749147.61</v>
      </c>
      <c r="N2379">
        <f t="shared" si="47"/>
        <v>1152249.4100000206</v>
      </c>
      <c r="O2379" s="9" t="s">
        <v>4</v>
      </c>
    </row>
    <row r="2380" spans="1:15" x14ac:dyDescent="0.2">
      <c r="A2380">
        <v>39</v>
      </c>
      <c r="B2380">
        <v>5</v>
      </c>
      <c r="C2380">
        <v>7</v>
      </c>
      <c r="D2380" s="2">
        <v>2</v>
      </c>
      <c r="E2380" s="2">
        <v>1</v>
      </c>
      <c r="F2380" s="2" t="s">
        <v>4</v>
      </c>
      <c r="G2380" s="2">
        <v>470.600000000232</v>
      </c>
      <c r="H2380" s="2" t="s">
        <v>16</v>
      </c>
      <c r="I2380" s="2">
        <v>1193374.00000001</v>
      </c>
      <c r="J2380" s="2">
        <v>2000</v>
      </c>
      <c r="K2380" s="2">
        <v>300</v>
      </c>
      <c r="L2380" s="2">
        <v>0</v>
      </c>
      <c r="M2380" s="2">
        <v>810507.61</v>
      </c>
      <c r="N2380">
        <f t="shared" si="47"/>
        <v>2004352.2100000102</v>
      </c>
      <c r="O2380" s="9" t="s">
        <v>4</v>
      </c>
    </row>
    <row r="2381" spans="1:15" x14ac:dyDescent="0.2">
      <c r="A2381">
        <v>40</v>
      </c>
      <c r="B2381">
        <v>5</v>
      </c>
      <c r="C2381">
        <v>7</v>
      </c>
      <c r="D2381" s="2">
        <v>2</v>
      </c>
      <c r="E2381" s="2">
        <v>2</v>
      </c>
      <c r="F2381" s="2" t="s">
        <v>4</v>
      </c>
      <c r="G2381" s="2">
        <v>455.20000000074401</v>
      </c>
      <c r="H2381" s="2" t="s">
        <v>16</v>
      </c>
      <c r="I2381" s="2">
        <v>517399.00000001199</v>
      </c>
      <c r="J2381" s="2">
        <v>2000</v>
      </c>
      <c r="K2381" s="2">
        <v>300</v>
      </c>
      <c r="L2381" s="2">
        <v>0</v>
      </c>
      <c r="M2381" s="2">
        <v>803147.61</v>
      </c>
      <c r="N2381">
        <f t="shared" si="47"/>
        <v>1321001.8100000126</v>
      </c>
      <c r="O2381" s="9" t="s">
        <v>4</v>
      </c>
    </row>
    <row r="2382" spans="1:15" x14ac:dyDescent="0.2">
      <c r="A2382">
        <v>41</v>
      </c>
      <c r="B2382">
        <v>5</v>
      </c>
      <c r="C2382">
        <v>7</v>
      </c>
      <c r="D2382" s="2">
        <v>2</v>
      </c>
      <c r="E2382" s="2">
        <v>3</v>
      </c>
      <c r="F2382" s="2" t="s">
        <v>4</v>
      </c>
      <c r="G2382" s="2">
        <v>556.20000000047298</v>
      </c>
      <c r="H2382" s="2" t="s">
        <v>16</v>
      </c>
      <c r="I2382" s="2">
        <v>1178815.99999998</v>
      </c>
      <c r="J2382" s="2">
        <v>2000</v>
      </c>
      <c r="K2382" s="2">
        <v>300</v>
      </c>
      <c r="L2382" s="2">
        <v>0</v>
      </c>
      <c r="M2382" s="2">
        <v>802026.81</v>
      </c>
      <c r="N2382">
        <f t="shared" si="47"/>
        <v>1981399.0099999805</v>
      </c>
      <c r="O2382" s="9" t="s">
        <v>4</v>
      </c>
    </row>
    <row r="2383" spans="1:15" x14ac:dyDescent="0.2">
      <c r="A2383">
        <v>42</v>
      </c>
      <c r="B2383">
        <v>5</v>
      </c>
      <c r="C2383">
        <v>4</v>
      </c>
      <c r="D2383" s="2">
        <v>2</v>
      </c>
      <c r="E2383" s="2">
        <v>1</v>
      </c>
      <c r="F2383" s="2" t="s">
        <v>4</v>
      </c>
      <c r="G2383" s="2">
        <v>288.80000000022198</v>
      </c>
      <c r="H2383" s="2" t="s">
        <v>16</v>
      </c>
      <c r="I2383" s="2">
        <v>190006.99999998001</v>
      </c>
      <c r="J2383" s="2">
        <v>2000</v>
      </c>
      <c r="K2383" s="2">
        <v>300</v>
      </c>
      <c r="L2383" s="2">
        <v>0</v>
      </c>
      <c r="M2383" s="2">
        <v>747947.21</v>
      </c>
      <c r="N2383">
        <f t="shared" si="47"/>
        <v>938243.00999998022</v>
      </c>
      <c r="O2383" s="9" t="s">
        <v>5</v>
      </c>
    </row>
    <row r="2384" spans="1:15" x14ac:dyDescent="0.2">
      <c r="A2384">
        <v>43</v>
      </c>
      <c r="B2384">
        <v>5</v>
      </c>
      <c r="C2384">
        <v>5</v>
      </c>
      <c r="D2384" s="2">
        <v>2</v>
      </c>
      <c r="E2384" s="2">
        <v>1</v>
      </c>
      <c r="F2384" s="2" t="s">
        <v>4</v>
      </c>
      <c r="G2384" s="2">
        <v>340.19999999976801</v>
      </c>
      <c r="H2384" s="2" t="s">
        <v>16</v>
      </c>
      <c r="I2384" s="2">
        <v>342902.999999978</v>
      </c>
      <c r="J2384" s="2">
        <v>2000</v>
      </c>
      <c r="K2384" s="2">
        <v>300</v>
      </c>
      <c r="L2384" s="2">
        <v>0</v>
      </c>
      <c r="M2384" s="2">
        <v>749547.61</v>
      </c>
      <c r="N2384">
        <f t="shared" si="47"/>
        <v>1092790.8099999777</v>
      </c>
      <c r="O2384" s="9" t="s">
        <v>4</v>
      </c>
    </row>
    <row r="2385" spans="1:15" x14ac:dyDescent="0.2">
      <c r="A2385">
        <v>44</v>
      </c>
      <c r="B2385">
        <v>5</v>
      </c>
      <c r="C2385">
        <v>5</v>
      </c>
      <c r="D2385" s="2">
        <v>2</v>
      </c>
      <c r="E2385" s="2">
        <v>2</v>
      </c>
      <c r="F2385" s="2" t="s">
        <v>4</v>
      </c>
      <c r="G2385" s="2">
        <v>325.80000000024302</v>
      </c>
      <c r="H2385" s="2" t="s">
        <v>16</v>
      </c>
      <c r="I2385" s="2">
        <v>548630.00000000303</v>
      </c>
      <c r="J2385" s="2">
        <v>2000</v>
      </c>
      <c r="K2385" s="2">
        <v>300</v>
      </c>
      <c r="L2385" s="2">
        <v>0</v>
      </c>
      <c r="M2385" s="2">
        <v>811627.21</v>
      </c>
      <c r="N2385">
        <f t="shared" si="47"/>
        <v>1360583.0100000033</v>
      </c>
      <c r="O2385" s="9" t="s">
        <v>4</v>
      </c>
    </row>
    <row r="2386" spans="1:15" x14ac:dyDescent="0.2">
      <c r="A2386">
        <v>45</v>
      </c>
      <c r="B2386">
        <v>5</v>
      </c>
      <c r="C2386">
        <v>5</v>
      </c>
      <c r="D2386" s="2">
        <v>2</v>
      </c>
      <c r="E2386" s="2">
        <v>3</v>
      </c>
      <c r="F2386" s="2" t="s">
        <v>4</v>
      </c>
      <c r="G2386" s="2">
        <v>420.79999999948802</v>
      </c>
      <c r="H2386" s="2" t="s">
        <v>16</v>
      </c>
      <c r="I2386" s="2">
        <v>490144.99999998399</v>
      </c>
      <c r="J2386" s="2">
        <v>2000</v>
      </c>
      <c r="K2386" s="2">
        <v>300</v>
      </c>
      <c r="L2386" s="2">
        <v>0</v>
      </c>
      <c r="M2386" s="2">
        <v>801627.21</v>
      </c>
      <c r="N2386">
        <f t="shared" si="47"/>
        <v>1292193.0099999835</v>
      </c>
      <c r="O2386" s="9" t="s">
        <v>4</v>
      </c>
    </row>
    <row r="2387" spans="1:15" x14ac:dyDescent="0.2">
      <c r="A2387">
        <v>46</v>
      </c>
      <c r="B2387">
        <v>5</v>
      </c>
      <c r="C2387">
        <v>6</v>
      </c>
      <c r="D2387" s="2">
        <v>2</v>
      </c>
      <c r="E2387" s="2">
        <v>1</v>
      </c>
      <c r="F2387" s="2" t="s">
        <v>4</v>
      </c>
      <c r="G2387" s="2">
        <v>431.79999999978202</v>
      </c>
      <c r="H2387" s="2" t="s">
        <v>16</v>
      </c>
      <c r="I2387" s="2">
        <v>886569.00000000896</v>
      </c>
      <c r="J2387" s="2">
        <v>2000</v>
      </c>
      <c r="K2387" s="2">
        <v>300</v>
      </c>
      <c r="L2387" s="2">
        <v>0</v>
      </c>
      <c r="M2387" s="2">
        <v>812907.61</v>
      </c>
      <c r="N2387">
        <f t="shared" si="47"/>
        <v>1699908.4100000088</v>
      </c>
      <c r="O2387" s="9" t="s">
        <v>4</v>
      </c>
    </row>
    <row r="2388" spans="1:15" x14ac:dyDescent="0.2">
      <c r="A2388">
        <v>47</v>
      </c>
      <c r="B2388">
        <v>5</v>
      </c>
      <c r="C2388">
        <v>6</v>
      </c>
      <c r="D2388" s="2">
        <v>2</v>
      </c>
      <c r="E2388" s="2">
        <v>2</v>
      </c>
      <c r="F2388" s="2" t="s">
        <v>4</v>
      </c>
      <c r="G2388" s="2">
        <v>392.80000000019299</v>
      </c>
      <c r="H2388" s="2" t="s">
        <v>16</v>
      </c>
      <c r="I2388" s="2">
        <v>289421.00000000402</v>
      </c>
      <c r="J2388" s="2">
        <v>2000</v>
      </c>
      <c r="K2388" s="2">
        <v>300</v>
      </c>
      <c r="L2388" s="2">
        <v>0</v>
      </c>
      <c r="M2388" s="2">
        <v>747626.81</v>
      </c>
      <c r="N2388">
        <f t="shared" si="47"/>
        <v>1037440.6100000043</v>
      </c>
      <c r="O2388" s="9" t="s">
        <v>4</v>
      </c>
    </row>
    <row r="2389" spans="1:15" x14ac:dyDescent="0.2">
      <c r="A2389">
        <v>48</v>
      </c>
      <c r="B2389">
        <v>5</v>
      </c>
      <c r="C2389">
        <v>6</v>
      </c>
      <c r="D2389" s="2">
        <v>2</v>
      </c>
      <c r="E2389" s="2">
        <v>3</v>
      </c>
      <c r="F2389" s="2" t="s">
        <v>4</v>
      </c>
      <c r="G2389" s="2">
        <v>479.99999999994702</v>
      </c>
      <c r="H2389" s="2" t="s">
        <v>16</v>
      </c>
      <c r="I2389" s="2">
        <v>752868.00000003504</v>
      </c>
      <c r="J2389" s="2">
        <v>2000</v>
      </c>
      <c r="K2389" s="2">
        <v>300</v>
      </c>
      <c r="L2389" s="2">
        <v>0</v>
      </c>
      <c r="M2389" s="2">
        <v>804427.21</v>
      </c>
      <c r="N2389">
        <f t="shared" si="47"/>
        <v>1557775.2100000349</v>
      </c>
      <c r="O2389" s="9" t="s">
        <v>4</v>
      </c>
    </row>
    <row r="2390" spans="1:15" x14ac:dyDescent="0.2">
      <c r="A2390">
        <v>49</v>
      </c>
      <c r="B2390">
        <v>5</v>
      </c>
      <c r="C2390">
        <v>6</v>
      </c>
      <c r="D2390" s="2">
        <v>2</v>
      </c>
      <c r="E2390" s="2">
        <v>1</v>
      </c>
      <c r="F2390" s="2" t="s">
        <v>4</v>
      </c>
      <c r="G2390" s="2">
        <v>379.40000000027402</v>
      </c>
      <c r="H2390" s="2" t="s">
        <v>16</v>
      </c>
      <c r="I2390" s="2">
        <v>862047.00000001804</v>
      </c>
      <c r="J2390" s="2">
        <v>2000</v>
      </c>
      <c r="K2390" s="2">
        <v>300</v>
      </c>
      <c r="L2390" s="2">
        <v>0</v>
      </c>
      <c r="M2390" s="2">
        <v>776427.61</v>
      </c>
      <c r="N2390">
        <f t="shared" si="47"/>
        <v>1638854.0100000184</v>
      </c>
      <c r="O2390" s="9" t="s">
        <v>4</v>
      </c>
    </row>
    <row r="2391" spans="1:15" x14ac:dyDescent="0.2">
      <c r="A2391">
        <v>50</v>
      </c>
      <c r="B2391">
        <v>5</v>
      </c>
      <c r="C2391">
        <v>6</v>
      </c>
      <c r="D2391" s="2">
        <v>2</v>
      </c>
      <c r="E2391" s="2">
        <v>2</v>
      </c>
      <c r="F2391" s="2" t="s">
        <v>4</v>
      </c>
      <c r="G2391" s="2">
        <v>387.60000000017698</v>
      </c>
      <c r="H2391" s="2" t="s">
        <v>16</v>
      </c>
      <c r="I2391" s="2">
        <v>510372.99999995902</v>
      </c>
      <c r="J2391" s="2">
        <v>2000</v>
      </c>
      <c r="K2391" s="2">
        <v>300</v>
      </c>
      <c r="L2391" s="2">
        <v>0</v>
      </c>
      <c r="M2391" s="2">
        <v>817787.21</v>
      </c>
      <c r="N2391">
        <f t="shared" si="47"/>
        <v>1328547.8099999591</v>
      </c>
      <c r="O2391" s="9" t="s">
        <v>4</v>
      </c>
    </row>
    <row r="2392" spans="1:15" x14ac:dyDescent="0.2">
      <c r="A2392">
        <v>51</v>
      </c>
      <c r="B2392">
        <v>5</v>
      </c>
      <c r="C2392">
        <v>6</v>
      </c>
      <c r="D2392" s="2">
        <v>2</v>
      </c>
      <c r="E2392" s="2">
        <v>3</v>
      </c>
      <c r="F2392" s="2" t="s">
        <v>4</v>
      </c>
      <c r="G2392" s="2">
        <v>476.39999999944399</v>
      </c>
      <c r="H2392" s="2" t="s">
        <v>16</v>
      </c>
      <c r="I2392" s="2">
        <v>1073153.99999999</v>
      </c>
      <c r="J2392" s="2">
        <v>2000</v>
      </c>
      <c r="K2392" s="2">
        <v>300</v>
      </c>
      <c r="L2392" s="2">
        <v>0</v>
      </c>
      <c r="M2392" s="2">
        <v>822986.81</v>
      </c>
      <c r="N2392">
        <f t="shared" si="47"/>
        <v>1896617.2099999895</v>
      </c>
      <c r="O2392" s="9" t="s">
        <v>4</v>
      </c>
    </row>
    <row r="2393" spans="1:15" x14ac:dyDescent="0.2">
      <c r="A2393">
        <v>52</v>
      </c>
      <c r="B2393">
        <v>5</v>
      </c>
      <c r="C2393">
        <v>7</v>
      </c>
      <c r="D2393" s="2">
        <v>2</v>
      </c>
      <c r="E2393" s="2">
        <v>1</v>
      </c>
      <c r="F2393" s="2" t="s">
        <v>4</v>
      </c>
      <c r="G2393" s="2">
        <v>407.79999999998</v>
      </c>
      <c r="H2393" s="2" t="s">
        <v>16</v>
      </c>
      <c r="I2393" s="2">
        <v>757241.000000022</v>
      </c>
      <c r="J2393" s="2">
        <v>2000</v>
      </c>
      <c r="K2393" s="2">
        <v>300</v>
      </c>
      <c r="L2393" s="2">
        <v>0</v>
      </c>
      <c r="M2393" s="2">
        <v>807308.01</v>
      </c>
      <c r="N2393">
        <f t="shared" si="47"/>
        <v>1564956.8100000219</v>
      </c>
      <c r="O2393" s="9" t="s">
        <v>4</v>
      </c>
    </row>
    <row r="2394" spans="1:15" x14ac:dyDescent="0.2">
      <c r="A2394">
        <v>53</v>
      </c>
      <c r="B2394">
        <v>5</v>
      </c>
      <c r="C2394">
        <v>7</v>
      </c>
      <c r="D2394" s="2">
        <v>2</v>
      </c>
      <c r="E2394" s="2">
        <v>2</v>
      </c>
      <c r="F2394" s="2" t="s">
        <v>4</v>
      </c>
      <c r="G2394" s="2">
        <v>396.99999999953701</v>
      </c>
      <c r="H2394" s="2" t="s">
        <v>16</v>
      </c>
      <c r="I2394" s="2">
        <v>929575.99999999697</v>
      </c>
      <c r="J2394" s="2">
        <v>2000</v>
      </c>
      <c r="K2394" s="2">
        <v>300</v>
      </c>
      <c r="L2394" s="2">
        <v>0</v>
      </c>
      <c r="M2394" s="2">
        <v>815707.21</v>
      </c>
      <c r="N2394">
        <f t="shared" si="47"/>
        <v>1745680.2099999965</v>
      </c>
      <c r="O2394" s="9" t="s">
        <v>4</v>
      </c>
    </row>
    <row r="2395" spans="1:15" x14ac:dyDescent="0.2">
      <c r="A2395">
        <v>54</v>
      </c>
      <c r="B2395">
        <v>5</v>
      </c>
      <c r="C2395">
        <v>7</v>
      </c>
      <c r="D2395" s="2">
        <v>2</v>
      </c>
      <c r="E2395" s="2">
        <v>3</v>
      </c>
      <c r="F2395" s="2" t="s">
        <v>4</v>
      </c>
      <c r="G2395" s="2">
        <v>497.99999999997601</v>
      </c>
      <c r="H2395" s="2" t="s">
        <v>16</v>
      </c>
      <c r="I2395" s="2">
        <v>1425852.99999996</v>
      </c>
      <c r="J2395" s="2">
        <v>2000</v>
      </c>
      <c r="K2395" s="2">
        <v>300</v>
      </c>
      <c r="L2395" s="2">
        <v>0</v>
      </c>
      <c r="M2395" s="2">
        <v>799866.81</v>
      </c>
      <c r="N2395">
        <f t="shared" si="47"/>
        <v>2226217.80999996</v>
      </c>
      <c r="O2395" s="9" t="s">
        <v>4</v>
      </c>
    </row>
    <row r="2396" spans="1:15" x14ac:dyDescent="0.2">
      <c r="A2396">
        <v>55</v>
      </c>
      <c r="B2396">
        <v>5</v>
      </c>
      <c r="C2396">
        <v>5</v>
      </c>
      <c r="D2396" s="2">
        <v>2</v>
      </c>
      <c r="E2396" s="2">
        <v>1</v>
      </c>
      <c r="F2396" s="2" t="s">
        <v>4</v>
      </c>
      <c r="G2396" s="2">
        <v>289.40000000012799</v>
      </c>
      <c r="H2396" s="2" t="s">
        <v>16</v>
      </c>
      <c r="I2396" s="2">
        <v>330494.99999998498</v>
      </c>
      <c r="J2396" s="2">
        <v>2000</v>
      </c>
      <c r="K2396" s="2">
        <v>300</v>
      </c>
      <c r="L2396" s="2">
        <v>0</v>
      </c>
      <c r="M2396" s="2">
        <v>748746.81</v>
      </c>
      <c r="N2396">
        <f t="shared" si="47"/>
        <v>1079531.2099999851</v>
      </c>
      <c r="O2396" s="9" t="s">
        <v>4</v>
      </c>
    </row>
    <row r="2397" spans="1:15" x14ac:dyDescent="0.2">
      <c r="A2397">
        <v>56</v>
      </c>
      <c r="B2397">
        <v>5</v>
      </c>
      <c r="C2397">
        <v>5</v>
      </c>
      <c r="D2397" s="2">
        <v>2</v>
      </c>
      <c r="E2397" s="2">
        <v>2</v>
      </c>
      <c r="F2397" s="2" t="s">
        <v>4</v>
      </c>
      <c r="G2397" s="2">
        <v>287.00000000014802</v>
      </c>
      <c r="H2397" s="2" t="s">
        <v>16</v>
      </c>
      <c r="I2397" s="2">
        <v>437728.99999998999</v>
      </c>
      <c r="J2397" s="2">
        <v>2000</v>
      </c>
      <c r="K2397" s="2">
        <v>300</v>
      </c>
      <c r="L2397" s="2">
        <v>0</v>
      </c>
      <c r="M2397" s="2">
        <v>745946.81</v>
      </c>
      <c r="N2397">
        <f t="shared" si="47"/>
        <v>1183962.8099999903</v>
      </c>
      <c r="O2397" s="9" t="s">
        <v>4</v>
      </c>
    </row>
    <row r="2398" spans="1:15" x14ac:dyDescent="0.2">
      <c r="A2398">
        <v>57</v>
      </c>
      <c r="B2398">
        <v>5</v>
      </c>
      <c r="C2398">
        <v>5</v>
      </c>
      <c r="D2398" s="2">
        <v>2</v>
      </c>
      <c r="E2398" s="2">
        <v>3</v>
      </c>
      <c r="F2398" s="2" t="s">
        <v>4</v>
      </c>
      <c r="G2398" s="2">
        <v>362.39999999949703</v>
      </c>
      <c r="H2398" s="2" t="s">
        <v>16</v>
      </c>
      <c r="I2398" s="2">
        <v>461844.999999983</v>
      </c>
      <c r="J2398" s="2">
        <v>2000</v>
      </c>
      <c r="K2398" s="2">
        <v>300</v>
      </c>
      <c r="L2398" s="2">
        <v>0</v>
      </c>
      <c r="M2398" s="2">
        <v>779147.61</v>
      </c>
      <c r="N2398">
        <f t="shared" si="47"/>
        <v>1241355.0099999825</v>
      </c>
      <c r="O2398" s="9" t="s">
        <v>4</v>
      </c>
    </row>
    <row r="2399" spans="1:15" x14ac:dyDescent="0.2">
      <c r="A2399">
        <v>58</v>
      </c>
      <c r="B2399">
        <v>5</v>
      </c>
      <c r="C2399">
        <v>6</v>
      </c>
      <c r="D2399" s="2">
        <v>2</v>
      </c>
      <c r="E2399" s="2">
        <v>1</v>
      </c>
      <c r="F2399" s="2" t="s">
        <v>4</v>
      </c>
      <c r="G2399" s="2">
        <v>340.79999999967498</v>
      </c>
      <c r="H2399" s="2" t="s">
        <v>16</v>
      </c>
      <c r="I2399" s="2">
        <v>736719.00000005099</v>
      </c>
      <c r="J2399" s="2">
        <v>2000</v>
      </c>
      <c r="K2399" s="2">
        <v>300</v>
      </c>
      <c r="L2399" s="2">
        <v>0</v>
      </c>
      <c r="M2399" s="2">
        <v>808427.21</v>
      </c>
      <c r="N2399">
        <f t="shared" si="47"/>
        <v>1545487.0100000505</v>
      </c>
      <c r="O2399" s="9" t="s">
        <v>4</v>
      </c>
    </row>
    <row r="2400" spans="1:15" x14ac:dyDescent="0.2">
      <c r="A2400">
        <v>59</v>
      </c>
      <c r="B2400">
        <v>5</v>
      </c>
      <c r="C2400">
        <v>6</v>
      </c>
      <c r="D2400" s="2">
        <v>2</v>
      </c>
      <c r="E2400" s="2">
        <v>2</v>
      </c>
      <c r="F2400" s="2" t="s">
        <v>4</v>
      </c>
      <c r="G2400" s="2">
        <v>334.19999999999601</v>
      </c>
      <c r="H2400" s="2" t="s">
        <v>16</v>
      </c>
      <c r="I2400" s="2">
        <v>494259</v>
      </c>
      <c r="J2400" s="2">
        <v>2000</v>
      </c>
      <c r="K2400" s="2">
        <v>300</v>
      </c>
      <c r="L2400" s="2">
        <v>0</v>
      </c>
      <c r="M2400" s="2">
        <v>818828.41</v>
      </c>
      <c r="N2400">
        <f t="shared" si="47"/>
        <v>1313421.6100000001</v>
      </c>
      <c r="O2400" s="9" t="s">
        <v>4</v>
      </c>
    </row>
    <row r="2401" spans="1:15" x14ac:dyDescent="0.2">
      <c r="A2401">
        <v>60</v>
      </c>
      <c r="B2401">
        <v>5</v>
      </c>
      <c r="C2401">
        <v>6</v>
      </c>
      <c r="D2401" s="2">
        <v>2</v>
      </c>
      <c r="E2401" s="2">
        <v>3</v>
      </c>
      <c r="F2401" s="2" t="s">
        <v>4</v>
      </c>
      <c r="G2401" s="2">
        <v>401.39999999979602</v>
      </c>
      <c r="H2401" s="2" t="s">
        <v>16</v>
      </c>
      <c r="I2401" s="2">
        <v>678708.99999996903</v>
      </c>
      <c r="J2401" s="2">
        <v>2000</v>
      </c>
      <c r="K2401" s="2">
        <v>300</v>
      </c>
      <c r="L2401" s="2">
        <v>0</v>
      </c>
      <c r="M2401" s="2">
        <v>814748.41</v>
      </c>
      <c r="N2401">
        <f t="shared" si="47"/>
        <v>1493858.8099999689</v>
      </c>
      <c r="O2401" s="9" t="s">
        <v>4</v>
      </c>
    </row>
    <row r="2402" spans="1:15" x14ac:dyDescent="0.2">
      <c r="A2402">
        <v>61</v>
      </c>
      <c r="B2402">
        <v>5</v>
      </c>
      <c r="C2402">
        <v>7</v>
      </c>
      <c r="D2402" s="2">
        <v>2</v>
      </c>
      <c r="E2402" s="2">
        <v>1</v>
      </c>
      <c r="F2402" s="2" t="s">
        <v>4</v>
      </c>
      <c r="G2402" s="2">
        <v>364.79999999983198</v>
      </c>
      <c r="H2402" s="2" t="s">
        <v>16</v>
      </c>
      <c r="I2402" s="2">
        <v>900666.99999999895</v>
      </c>
      <c r="J2402" s="2">
        <v>2000</v>
      </c>
      <c r="K2402" s="2">
        <v>300</v>
      </c>
      <c r="L2402" s="2">
        <v>0</v>
      </c>
      <c r="M2402" s="2">
        <v>810747.21</v>
      </c>
      <c r="N2402">
        <f t="shared" si="47"/>
        <v>1711779.0099999988</v>
      </c>
      <c r="O2402" s="9" t="s">
        <v>4</v>
      </c>
    </row>
    <row r="2403" spans="1:15" x14ac:dyDescent="0.2">
      <c r="A2403">
        <v>62</v>
      </c>
      <c r="B2403">
        <v>5</v>
      </c>
      <c r="C2403">
        <v>7</v>
      </c>
      <c r="D2403" s="2">
        <v>2</v>
      </c>
      <c r="E2403" s="2">
        <v>2</v>
      </c>
      <c r="F2403" s="2" t="s">
        <v>4</v>
      </c>
      <c r="G2403" s="2">
        <v>382.79999999950599</v>
      </c>
      <c r="H2403" s="2" t="s">
        <v>16</v>
      </c>
      <c r="I2403" s="2">
        <v>843414.99999999302</v>
      </c>
      <c r="J2403" s="2">
        <v>2000</v>
      </c>
      <c r="K2403" s="2">
        <v>300</v>
      </c>
      <c r="L2403" s="2">
        <v>0</v>
      </c>
      <c r="M2403" s="2">
        <v>776747.21</v>
      </c>
      <c r="N2403">
        <f t="shared" si="47"/>
        <v>1620545.0099999923</v>
      </c>
      <c r="O2403" s="9" t="s">
        <v>4</v>
      </c>
    </row>
    <row r="2404" spans="1:15" x14ac:dyDescent="0.2">
      <c r="A2404">
        <v>63</v>
      </c>
      <c r="B2404">
        <v>5</v>
      </c>
      <c r="C2404">
        <v>7</v>
      </c>
      <c r="D2404" s="2">
        <v>2</v>
      </c>
      <c r="E2404" s="2">
        <v>3</v>
      </c>
      <c r="F2404" s="2" t="s">
        <v>4</v>
      </c>
      <c r="G2404" s="2">
        <v>469.999999999615</v>
      </c>
      <c r="H2404" s="2" t="s">
        <v>16</v>
      </c>
      <c r="I2404" s="2">
        <v>1507850.99999996</v>
      </c>
      <c r="J2404" s="2">
        <v>2000</v>
      </c>
      <c r="K2404" s="2">
        <v>300</v>
      </c>
      <c r="L2404" s="2">
        <v>0</v>
      </c>
      <c r="M2404" s="2">
        <v>798266.81</v>
      </c>
      <c r="N2404">
        <f t="shared" si="47"/>
        <v>2306587.8099999595</v>
      </c>
      <c r="O2404" s="9" t="s">
        <v>4</v>
      </c>
    </row>
    <row r="2405" spans="1:15" x14ac:dyDescent="0.2">
      <c r="A2405">
        <v>64</v>
      </c>
      <c r="B2405">
        <v>5</v>
      </c>
      <c r="C2405">
        <v>8</v>
      </c>
      <c r="D2405" s="2">
        <v>2</v>
      </c>
      <c r="E2405" s="2">
        <v>1</v>
      </c>
      <c r="F2405" s="2" t="s">
        <v>4</v>
      </c>
      <c r="G2405" s="2">
        <v>408.600000000092</v>
      </c>
      <c r="H2405" s="2" t="s">
        <v>16</v>
      </c>
      <c r="I2405" s="2">
        <v>1353122.99999998</v>
      </c>
      <c r="J2405" s="2">
        <v>2000</v>
      </c>
      <c r="K2405" s="2">
        <v>300</v>
      </c>
      <c r="L2405" s="2">
        <v>0</v>
      </c>
      <c r="M2405" s="2">
        <v>801386.81</v>
      </c>
      <c r="N2405">
        <f t="shared" si="47"/>
        <v>2154918.4099999801</v>
      </c>
      <c r="O2405" s="9" t="s">
        <v>4</v>
      </c>
    </row>
    <row r="2406" spans="1:15" x14ac:dyDescent="0.2">
      <c r="A2406">
        <v>65</v>
      </c>
      <c r="B2406">
        <v>5</v>
      </c>
      <c r="C2406">
        <v>8</v>
      </c>
      <c r="D2406" s="2">
        <v>2</v>
      </c>
      <c r="E2406" s="2">
        <v>2</v>
      </c>
      <c r="F2406" s="2" t="s">
        <v>4</v>
      </c>
      <c r="G2406" s="2">
        <v>427.200000000383</v>
      </c>
      <c r="H2406" s="2" t="s">
        <v>16</v>
      </c>
      <c r="I2406" s="2">
        <v>1920556.00000003</v>
      </c>
      <c r="J2406" s="2">
        <v>2000</v>
      </c>
      <c r="K2406" s="2">
        <v>300</v>
      </c>
      <c r="L2406" s="2">
        <v>0</v>
      </c>
      <c r="M2406" s="2">
        <v>775067.21</v>
      </c>
      <c r="N2406">
        <f t="shared" si="47"/>
        <v>2696050.4100000304</v>
      </c>
      <c r="O2406" s="9" t="s">
        <v>4</v>
      </c>
    </row>
    <row r="2407" spans="1:15" x14ac:dyDescent="0.2">
      <c r="A2407">
        <v>66</v>
      </c>
      <c r="B2407">
        <v>5</v>
      </c>
      <c r="C2407">
        <v>8</v>
      </c>
      <c r="D2407" s="2">
        <v>2</v>
      </c>
      <c r="E2407" s="2">
        <v>3</v>
      </c>
      <c r="F2407" s="2" t="s">
        <v>4</v>
      </c>
      <c r="G2407" s="2">
        <v>553.79999999942697</v>
      </c>
      <c r="H2407" s="2" t="s">
        <v>16</v>
      </c>
      <c r="I2407" s="2">
        <v>1980976</v>
      </c>
      <c r="J2407" s="2">
        <v>2000</v>
      </c>
      <c r="K2407" s="2">
        <v>300</v>
      </c>
      <c r="L2407" s="2">
        <v>0</v>
      </c>
      <c r="M2407" s="2">
        <v>820827.61</v>
      </c>
      <c r="N2407">
        <f t="shared" si="47"/>
        <v>2802357.4099999992</v>
      </c>
      <c r="O2407" s="9" t="s">
        <v>4</v>
      </c>
    </row>
    <row r="2408" spans="1:15" x14ac:dyDescent="0.2">
      <c r="A2408">
        <v>67</v>
      </c>
      <c r="B2408">
        <v>5</v>
      </c>
      <c r="C2408">
        <v>7</v>
      </c>
      <c r="D2408" s="2">
        <v>2</v>
      </c>
      <c r="E2408" s="2">
        <v>1</v>
      </c>
      <c r="F2408" s="2" t="s">
        <v>4</v>
      </c>
      <c r="G2408" s="2">
        <v>358.99999999990899</v>
      </c>
      <c r="H2408" s="2" t="s">
        <v>16</v>
      </c>
      <c r="I2408" s="2">
        <v>736641.00000002002</v>
      </c>
      <c r="J2408" s="2">
        <v>2000</v>
      </c>
      <c r="K2408" s="2">
        <v>300</v>
      </c>
      <c r="L2408" s="2">
        <v>0</v>
      </c>
      <c r="M2408" s="2">
        <v>795547.61</v>
      </c>
      <c r="N2408">
        <f t="shared" si="47"/>
        <v>1532547.6100000199</v>
      </c>
      <c r="O2408" s="9" t="s">
        <v>4</v>
      </c>
    </row>
    <row r="2409" spans="1:15" x14ac:dyDescent="0.2">
      <c r="A2409">
        <v>68</v>
      </c>
      <c r="B2409">
        <v>5</v>
      </c>
      <c r="C2409">
        <v>7</v>
      </c>
      <c r="D2409" s="2">
        <v>2</v>
      </c>
      <c r="E2409" s="2">
        <v>2</v>
      </c>
      <c r="F2409" s="2" t="s">
        <v>4</v>
      </c>
      <c r="G2409" s="2">
        <v>373.80000000055702</v>
      </c>
      <c r="H2409" s="2" t="s">
        <v>16</v>
      </c>
      <c r="I2409" s="2">
        <v>1227076.9999999499</v>
      </c>
      <c r="J2409" s="2">
        <v>2000</v>
      </c>
      <c r="K2409" s="2">
        <v>300</v>
      </c>
      <c r="L2409" s="2">
        <v>0</v>
      </c>
      <c r="M2409" s="2">
        <v>752026.41</v>
      </c>
      <c r="N2409">
        <f t="shared" si="47"/>
        <v>1979477.2099999506</v>
      </c>
      <c r="O2409" s="9" t="s">
        <v>4</v>
      </c>
    </row>
    <row r="2410" spans="1:15" x14ac:dyDescent="0.2">
      <c r="A2410">
        <v>69</v>
      </c>
      <c r="B2410">
        <v>5</v>
      </c>
      <c r="C2410">
        <v>7</v>
      </c>
      <c r="D2410" s="2">
        <v>2</v>
      </c>
      <c r="E2410" s="2">
        <v>3</v>
      </c>
      <c r="F2410" s="2" t="s">
        <v>4</v>
      </c>
      <c r="G2410" s="2">
        <v>458.79999999947103</v>
      </c>
      <c r="H2410" s="2" t="s">
        <v>16</v>
      </c>
      <c r="I2410" s="2">
        <v>949294.00000000896</v>
      </c>
      <c r="J2410" s="2">
        <v>2000</v>
      </c>
      <c r="K2410" s="2">
        <v>300</v>
      </c>
      <c r="L2410" s="2">
        <v>0</v>
      </c>
      <c r="M2410" s="2">
        <v>798508.01</v>
      </c>
      <c r="N2410">
        <f t="shared" si="47"/>
        <v>1748260.8100000084</v>
      </c>
      <c r="O2410" s="9" t="s">
        <v>4</v>
      </c>
    </row>
    <row r="2411" spans="1:15" x14ac:dyDescent="0.2">
      <c r="A2411">
        <v>28</v>
      </c>
      <c r="B2411">
        <v>5</v>
      </c>
      <c r="C2411">
        <v>4</v>
      </c>
      <c r="D2411" s="2">
        <v>2</v>
      </c>
      <c r="E2411" s="2">
        <v>1</v>
      </c>
      <c r="F2411" s="2" t="s">
        <v>4</v>
      </c>
      <c r="G2411" s="2">
        <v>901.80000000010796</v>
      </c>
      <c r="H2411" s="2" t="s">
        <v>20</v>
      </c>
      <c r="I2411" s="2">
        <v>0</v>
      </c>
      <c r="J2411" s="2">
        <v>0</v>
      </c>
      <c r="K2411" s="2">
        <v>0</v>
      </c>
      <c r="L2411" s="2">
        <v>3000000</v>
      </c>
      <c r="M2411" s="2">
        <v>134078</v>
      </c>
      <c r="N2411">
        <f>G2411+L2411</f>
        <v>3000901.8000000003</v>
      </c>
      <c r="O2411" s="9" t="s">
        <v>5</v>
      </c>
    </row>
    <row r="2412" spans="1:15" x14ac:dyDescent="0.2">
      <c r="A2412">
        <v>29</v>
      </c>
      <c r="B2412">
        <v>5</v>
      </c>
      <c r="C2412">
        <v>5</v>
      </c>
      <c r="D2412" s="2">
        <v>2</v>
      </c>
      <c r="E2412" s="2">
        <v>2</v>
      </c>
      <c r="F2412" s="2" t="s">
        <v>4</v>
      </c>
      <c r="G2412" s="2">
        <v>926.20000000032098</v>
      </c>
      <c r="H2412" s="2" t="s">
        <v>20</v>
      </c>
      <c r="I2412" s="2">
        <v>0</v>
      </c>
      <c r="J2412" s="2">
        <v>0</v>
      </c>
      <c r="K2412" s="2">
        <v>0</v>
      </c>
      <c r="L2412" s="2">
        <v>3000000</v>
      </c>
      <c r="M2412" s="2">
        <v>143161</v>
      </c>
      <c r="N2412">
        <f t="shared" ref="N2412:N2452" si="48">G2412+L2412</f>
        <v>3000926.2</v>
      </c>
      <c r="O2412" s="9" t="s">
        <v>5</v>
      </c>
    </row>
    <row r="2413" spans="1:15" x14ac:dyDescent="0.2">
      <c r="A2413">
        <v>30</v>
      </c>
      <c r="B2413">
        <v>5</v>
      </c>
      <c r="C2413">
        <v>5</v>
      </c>
      <c r="D2413" s="2">
        <v>2</v>
      </c>
      <c r="E2413" s="2">
        <v>3</v>
      </c>
      <c r="F2413" s="2" t="s">
        <v>4</v>
      </c>
      <c r="G2413" s="2">
        <v>922.99999999951899</v>
      </c>
      <c r="H2413" s="2" t="s">
        <v>20</v>
      </c>
      <c r="I2413" s="2">
        <v>0</v>
      </c>
      <c r="J2413" s="2">
        <v>0</v>
      </c>
      <c r="K2413" s="2">
        <v>0</v>
      </c>
      <c r="L2413" s="2">
        <v>3000000</v>
      </c>
      <c r="M2413" s="2">
        <v>151321</v>
      </c>
      <c r="N2413">
        <f t="shared" si="48"/>
        <v>3000922.9999999995</v>
      </c>
      <c r="O2413" s="9" t="s">
        <v>5</v>
      </c>
    </row>
    <row r="2414" spans="1:15" x14ac:dyDescent="0.2">
      <c r="A2414">
        <v>31</v>
      </c>
      <c r="B2414">
        <v>5</v>
      </c>
      <c r="C2414">
        <v>5</v>
      </c>
      <c r="D2414" s="2">
        <v>2</v>
      </c>
      <c r="E2414" s="2">
        <v>1</v>
      </c>
      <c r="F2414" s="2" t="s">
        <v>4</v>
      </c>
      <c r="G2414" s="2">
        <v>780.99999999920999</v>
      </c>
      <c r="H2414" s="2" t="s">
        <v>20</v>
      </c>
      <c r="I2414" s="2">
        <v>0</v>
      </c>
      <c r="J2414" s="2">
        <v>0</v>
      </c>
      <c r="K2414" s="2">
        <v>0</v>
      </c>
      <c r="L2414" s="2">
        <v>3000000</v>
      </c>
      <c r="M2414" s="2">
        <v>166634</v>
      </c>
      <c r="N2414">
        <f t="shared" si="48"/>
        <v>3000780.9999999991</v>
      </c>
      <c r="O2414" s="9" t="s">
        <v>5</v>
      </c>
    </row>
    <row r="2415" spans="1:15" x14ac:dyDescent="0.2">
      <c r="A2415">
        <v>32</v>
      </c>
      <c r="B2415">
        <v>5</v>
      </c>
      <c r="C2415">
        <v>5</v>
      </c>
      <c r="D2415" s="2">
        <v>2</v>
      </c>
      <c r="E2415" s="2">
        <v>2</v>
      </c>
      <c r="F2415" s="2" t="s">
        <v>4</v>
      </c>
      <c r="G2415" s="2">
        <v>720.199999999949</v>
      </c>
      <c r="H2415" s="2" t="s">
        <v>20</v>
      </c>
      <c r="I2415" s="2">
        <v>0</v>
      </c>
      <c r="J2415" s="2">
        <v>0</v>
      </c>
      <c r="K2415" s="2">
        <v>0</v>
      </c>
      <c r="L2415" s="2">
        <v>3000000</v>
      </c>
      <c r="M2415" s="2">
        <v>167289</v>
      </c>
      <c r="N2415">
        <f t="shared" si="48"/>
        <v>3000720.1999999997</v>
      </c>
      <c r="O2415" s="9" t="s">
        <v>5</v>
      </c>
    </row>
    <row r="2416" spans="1:15" x14ac:dyDescent="0.2">
      <c r="A2416">
        <v>33</v>
      </c>
      <c r="B2416">
        <v>5</v>
      </c>
      <c r="C2416">
        <v>5</v>
      </c>
      <c r="D2416" s="2">
        <v>2</v>
      </c>
      <c r="E2416" s="2">
        <v>3</v>
      </c>
      <c r="F2416" s="2" t="s">
        <v>4</v>
      </c>
      <c r="G2416" s="2">
        <v>762.79999999968595</v>
      </c>
      <c r="H2416" s="2" t="s">
        <v>20</v>
      </c>
      <c r="I2416" s="2">
        <v>0</v>
      </c>
      <c r="J2416" s="2">
        <v>0</v>
      </c>
      <c r="K2416" s="2">
        <v>0</v>
      </c>
      <c r="L2416" s="2">
        <v>3000000</v>
      </c>
      <c r="M2416" s="2">
        <v>201693</v>
      </c>
      <c r="N2416">
        <f t="shared" si="48"/>
        <v>3000762.8</v>
      </c>
      <c r="O2416" s="9" t="s">
        <v>5</v>
      </c>
    </row>
    <row r="2417" spans="1:15" x14ac:dyDescent="0.2">
      <c r="A2417">
        <v>34</v>
      </c>
      <c r="B2417">
        <v>5</v>
      </c>
      <c r="C2417">
        <v>5</v>
      </c>
      <c r="D2417" s="2">
        <v>2</v>
      </c>
      <c r="E2417" s="2">
        <v>1</v>
      </c>
      <c r="F2417" s="2" t="s">
        <v>4</v>
      </c>
      <c r="G2417" s="2">
        <v>563.600000000264</v>
      </c>
      <c r="H2417" s="2" t="s">
        <v>20</v>
      </c>
      <c r="I2417" s="2">
        <v>0</v>
      </c>
      <c r="J2417" s="2">
        <v>0</v>
      </c>
      <c r="K2417" s="2">
        <v>0</v>
      </c>
      <c r="L2417" s="2">
        <v>3000000</v>
      </c>
      <c r="M2417" s="2">
        <v>215430</v>
      </c>
      <c r="N2417">
        <f t="shared" si="48"/>
        <v>3000563.6</v>
      </c>
      <c r="O2417" s="9" t="s">
        <v>5</v>
      </c>
    </row>
    <row r="2418" spans="1:15" x14ac:dyDescent="0.2">
      <c r="A2418">
        <v>35</v>
      </c>
      <c r="B2418">
        <v>5</v>
      </c>
      <c r="C2418">
        <v>6</v>
      </c>
      <c r="D2418" s="2">
        <v>2</v>
      </c>
      <c r="E2418" s="2">
        <v>1</v>
      </c>
      <c r="F2418" s="2" t="s">
        <v>4</v>
      </c>
      <c r="G2418" s="2">
        <v>467.000000000439</v>
      </c>
      <c r="H2418" s="2" t="s">
        <v>20</v>
      </c>
      <c r="I2418" s="2">
        <v>0</v>
      </c>
      <c r="J2418" s="2">
        <v>0</v>
      </c>
      <c r="K2418" s="2">
        <v>0</v>
      </c>
      <c r="L2418" s="2">
        <v>3000000</v>
      </c>
      <c r="M2418" s="2">
        <v>171501</v>
      </c>
      <c r="N2418">
        <f t="shared" si="48"/>
        <v>3000467.0000000005</v>
      </c>
      <c r="O2418" s="9" t="s">
        <v>5</v>
      </c>
    </row>
    <row r="2419" spans="1:15" x14ac:dyDescent="0.2">
      <c r="A2419">
        <v>36</v>
      </c>
      <c r="B2419">
        <v>5</v>
      </c>
      <c r="C2419">
        <v>6</v>
      </c>
      <c r="D2419" s="2">
        <v>2</v>
      </c>
      <c r="E2419" s="2">
        <v>2</v>
      </c>
      <c r="F2419" s="2" t="s">
        <v>4</v>
      </c>
      <c r="G2419" s="2">
        <v>432.59999999953902</v>
      </c>
      <c r="H2419" s="2" t="s">
        <v>20</v>
      </c>
      <c r="I2419" s="2">
        <v>0</v>
      </c>
      <c r="J2419" s="2">
        <v>0</v>
      </c>
      <c r="K2419" s="2">
        <v>0</v>
      </c>
      <c r="L2419" s="2">
        <v>3000000</v>
      </c>
      <c r="M2419" s="2">
        <v>123502</v>
      </c>
      <c r="N2419">
        <f t="shared" si="48"/>
        <v>3000432.5999999996</v>
      </c>
      <c r="O2419" s="9" t="s">
        <v>5</v>
      </c>
    </row>
    <row r="2420" spans="1:15" x14ac:dyDescent="0.2">
      <c r="A2420">
        <v>37</v>
      </c>
      <c r="B2420">
        <v>5</v>
      </c>
      <c r="C2420">
        <v>6</v>
      </c>
      <c r="D2420" s="2">
        <v>2</v>
      </c>
      <c r="E2420" s="2">
        <v>3</v>
      </c>
      <c r="F2420" s="2" t="s">
        <v>4</v>
      </c>
      <c r="G2420" s="2">
        <v>535.40000000005296</v>
      </c>
      <c r="H2420" s="2" t="s">
        <v>20</v>
      </c>
      <c r="I2420" s="2">
        <v>0</v>
      </c>
      <c r="J2420" s="2">
        <v>0</v>
      </c>
      <c r="K2420" s="2">
        <v>0</v>
      </c>
      <c r="L2420" s="2">
        <v>3000000</v>
      </c>
      <c r="M2420" s="2">
        <v>157157</v>
      </c>
      <c r="N2420">
        <f t="shared" si="48"/>
        <v>3000535.4</v>
      </c>
      <c r="O2420" s="9" t="s">
        <v>5</v>
      </c>
    </row>
    <row r="2421" spans="1:15" x14ac:dyDescent="0.2">
      <c r="A2421">
        <v>38</v>
      </c>
      <c r="B2421">
        <v>5</v>
      </c>
      <c r="C2421">
        <v>6</v>
      </c>
      <c r="D2421" s="2">
        <v>2</v>
      </c>
      <c r="E2421" s="2">
        <v>1</v>
      </c>
      <c r="F2421" s="2" t="s">
        <v>4</v>
      </c>
      <c r="G2421" s="2">
        <v>394.79999999976201</v>
      </c>
      <c r="H2421" s="2" t="s">
        <v>20</v>
      </c>
      <c r="I2421" s="2">
        <v>0</v>
      </c>
      <c r="J2421" s="2">
        <v>0</v>
      </c>
      <c r="K2421" s="2">
        <v>0</v>
      </c>
      <c r="L2421" s="2">
        <v>3000000</v>
      </c>
      <c r="M2421" s="2">
        <v>147807</v>
      </c>
      <c r="N2421">
        <f t="shared" si="48"/>
        <v>3000394.8</v>
      </c>
      <c r="O2421" s="9" t="s">
        <v>5</v>
      </c>
    </row>
    <row r="2422" spans="1:15" x14ac:dyDescent="0.2">
      <c r="A2422">
        <v>39</v>
      </c>
      <c r="B2422">
        <v>5</v>
      </c>
      <c r="C2422">
        <v>7</v>
      </c>
      <c r="D2422" s="2">
        <v>2</v>
      </c>
      <c r="E2422" s="2">
        <v>1</v>
      </c>
      <c r="F2422" s="2" t="s">
        <v>4</v>
      </c>
      <c r="G2422" s="2">
        <v>470.600000000232</v>
      </c>
      <c r="H2422" s="2" t="s">
        <v>20</v>
      </c>
      <c r="I2422" s="2">
        <v>0</v>
      </c>
      <c r="J2422" s="2">
        <v>0</v>
      </c>
      <c r="K2422" s="2">
        <v>0</v>
      </c>
      <c r="L2422" s="2">
        <v>3000000</v>
      </c>
      <c r="M2422" s="2">
        <v>100417</v>
      </c>
      <c r="N2422">
        <f t="shared" si="48"/>
        <v>3000470.6</v>
      </c>
      <c r="O2422" s="9" t="s">
        <v>5</v>
      </c>
    </row>
    <row r="2423" spans="1:15" x14ac:dyDescent="0.2">
      <c r="A2423">
        <v>40</v>
      </c>
      <c r="B2423">
        <v>5</v>
      </c>
      <c r="C2423">
        <v>7</v>
      </c>
      <c r="D2423" s="2">
        <v>2</v>
      </c>
      <c r="E2423" s="2">
        <v>2</v>
      </c>
      <c r="F2423" s="2" t="s">
        <v>4</v>
      </c>
      <c r="G2423" s="2">
        <v>455.20000000074401</v>
      </c>
      <c r="H2423" s="2" t="s">
        <v>20</v>
      </c>
      <c r="I2423" s="2">
        <v>0</v>
      </c>
      <c r="J2423" s="2">
        <v>0</v>
      </c>
      <c r="K2423" s="2">
        <v>0</v>
      </c>
      <c r="L2423" s="2">
        <v>3000000</v>
      </c>
      <c r="M2423" s="2">
        <v>152638</v>
      </c>
      <c r="N2423">
        <f t="shared" si="48"/>
        <v>3000455.2000000007</v>
      </c>
      <c r="O2423" s="9" t="s">
        <v>5</v>
      </c>
    </row>
    <row r="2424" spans="1:15" x14ac:dyDescent="0.2">
      <c r="A2424">
        <v>41</v>
      </c>
      <c r="B2424">
        <v>5</v>
      </c>
      <c r="C2424">
        <v>7</v>
      </c>
      <c r="D2424" s="2">
        <v>2</v>
      </c>
      <c r="E2424" s="2">
        <v>3</v>
      </c>
      <c r="F2424" s="2" t="s">
        <v>4</v>
      </c>
      <c r="G2424" s="2">
        <v>556.20000000047298</v>
      </c>
      <c r="H2424" s="2" t="s">
        <v>20</v>
      </c>
      <c r="I2424" s="2">
        <v>0</v>
      </c>
      <c r="J2424" s="2">
        <v>0</v>
      </c>
      <c r="K2424" s="2">
        <v>0</v>
      </c>
      <c r="L2424" s="2">
        <v>3000000</v>
      </c>
      <c r="M2424" s="2">
        <v>77136</v>
      </c>
      <c r="N2424">
        <f t="shared" si="48"/>
        <v>3000556.2000000007</v>
      </c>
      <c r="O2424" s="9" t="s">
        <v>5</v>
      </c>
    </row>
    <row r="2425" spans="1:15" x14ac:dyDescent="0.2">
      <c r="A2425">
        <v>42</v>
      </c>
      <c r="B2425">
        <v>5</v>
      </c>
      <c r="C2425">
        <v>4</v>
      </c>
      <c r="D2425" s="2">
        <v>2</v>
      </c>
      <c r="E2425" s="2">
        <v>1</v>
      </c>
      <c r="F2425" s="2" t="s">
        <v>4</v>
      </c>
      <c r="G2425" s="2">
        <v>288.80000000022198</v>
      </c>
      <c r="H2425" s="2" t="s">
        <v>20</v>
      </c>
      <c r="I2425" s="2">
        <v>0</v>
      </c>
      <c r="J2425" s="2">
        <v>0</v>
      </c>
      <c r="K2425" s="2">
        <v>0</v>
      </c>
      <c r="L2425" s="2">
        <v>3000000</v>
      </c>
      <c r="M2425" s="2">
        <v>208656</v>
      </c>
      <c r="N2425">
        <f t="shared" si="48"/>
        <v>3000288.8000000003</v>
      </c>
      <c r="O2425" s="9" t="s">
        <v>5</v>
      </c>
    </row>
    <row r="2426" spans="1:15" x14ac:dyDescent="0.2">
      <c r="A2426">
        <v>43</v>
      </c>
      <c r="B2426">
        <v>5</v>
      </c>
      <c r="C2426">
        <v>5</v>
      </c>
      <c r="D2426" s="2">
        <v>2</v>
      </c>
      <c r="E2426" s="2">
        <v>1</v>
      </c>
      <c r="F2426" s="2" t="s">
        <v>4</v>
      </c>
      <c r="G2426" s="2">
        <v>340.19999999976801</v>
      </c>
      <c r="H2426" s="2" t="s">
        <v>20</v>
      </c>
      <c r="I2426" s="2">
        <v>0</v>
      </c>
      <c r="J2426" s="2">
        <v>0</v>
      </c>
      <c r="K2426" s="2">
        <v>0</v>
      </c>
      <c r="L2426" s="2">
        <v>3000000</v>
      </c>
      <c r="M2426" s="2">
        <v>166564</v>
      </c>
      <c r="N2426">
        <f t="shared" si="48"/>
        <v>3000340.1999999997</v>
      </c>
      <c r="O2426" s="9" t="s">
        <v>5</v>
      </c>
    </row>
    <row r="2427" spans="1:15" x14ac:dyDescent="0.2">
      <c r="A2427">
        <v>44</v>
      </c>
      <c r="B2427">
        <v>5</v>
      </c>
      <c r="C2427">
        <v>5</v>
      </c>
      <c r="D2427" s="2">
        <v>2</v>
      </c>
      <c r="E2427" s="2">
        <v>2</v>
      </c>
      <c r="F2427" s="2" t="s">
        <v>4</v>
      </c>
      <c r="G2427" s="2">
        <v>325.80000000024302</v>
      </c>
      <c r="H2427" s="2" t="s">
        <v>20</v>
      </c>
      <c r="I2427" s="2">
        <v>0</v>
      </c>
      <c r="J2427" s="2">
        <v>0</v>
      </c>
      <c r="K2427" s="2">
        <v>0</v>
      </c>
      <c r="L2427" s="2">
        <v>3000000</v>
      </c>
      <c r="M2427" s="2">
        <v>143691</v>
      </c>
      <c r="N2427">
        <f t="shared" si="48"/>
        <v>3000325.8000000003</v>
      </c>
      <c r="O2427" s="9" t="s">
        <v>5</v>
      </c>
    </row>
    <row r="2428" spans="1:15" x14ac:dyDescent="0.2">
      <c r="A2428">
        <v>45</v>
      </c>
      <c r="B2428">
        <v>5</v>
      </c>
      <c r="C2428">
        <v>5</v>
      </c>
      <c r="D2428" s="2">
        <v>2</v>
      </c>
      <c r="E2428" s="2">
        <v>3</v>
      </c>
      <c r="F2428" s="2" t="s">
        <v>4</v>
      </c>
      <c r="G2428" s="2">
        <v>420.79999999948802</v>
      </c>
      <c r="H2428" s="2" t="s">
        <v>20</v>
      </c>
      <c r="I2428" s="2">
        <v>0</v>
      </c>
      <c r="J2428" s="2">
        <v>0</v>
      </c>
      <c r="K2428" s="2">
        <v>0</v>
      </c>
      <c r="L2428" s="2">
        <v>3000000</v>
      </c>
      <c r="M2428" s="2">
        <v>174813</v>
      </c>
      <c r="N2428">
        <f t="shared" si="48"/>
        <v>3000420.7999999993</v>
      </c>
      <c r="O2428" s="9" t="s">
        <v>5</v>
      </c>
    </row>
    <row r="2429" spans="1:15" x14ac:dyDescent="0.2">
      <c r="A2429">
        <v>46</v>
      </c>
      <c r="B2429">
        <v>5</v>
      </c>
      <c r="C2429">
        <v>6</v>
      </c>
      <c r="D2429" s="2">
        <v>2</v>
      </c>
      <c r="E2429" s="2">
        <v>1</v>
      </c>
      <c r="F2429" s="2" t="s">
        <v>4</v>
      </c>
      <c r="G2429" s="2">
        <v>431.79999999978202</v>
      </c>
      <c r="H2429" s="2" t="s">
        <v>20</v>
      </c>
      <c r="I2429" s="2">
        <v>0</v>
      </c>
      <c r="J2429" s="2">
        <v>0</v>
      </c>
      <c r="K2429" s="2">
        <v>0</v>
      </c>
      <c r="L2429" s="2">
        <v>3000000</v>
      </c>
      <c r="M2429" s="2">
        <v>171831</v>
      </c>
      <c r="N2429">
        <f t="shared" si="48"/>
        <v>3000431.8</v>
      </c>
      <c r="O2429" s="9" t="s">
        <v>5</v>
      </c>
    </row>
    <row r="2430" spans="1:15" x14ac:dyDescent="0.2">
      <c r="A2430">
        <v>47</v>
      </c>
      <c r="B2430">
        <v>5</v>
      </c>
      <c r="C2430">
        <v>6</v>
      </c>
      <c r="D2430" s="2">
        <v>2</v>
      </c>
      <c r="E2430" s="2">
        <v>2</v>
      </c>
      <c r="F2430" s="2" t="s">
        <v>4</v>
      </c>
      <c r="G2430" s="2">
        <v>392.80000000019299</v>
      </c>
      <c r="H2430" s="2" t="s">
        <v>20</v>
      </c>
      <c r="I2430" s="2">
        <v>0</v>
      </c>
      <c r="J2430" s="2">
        <v>0</v>
      </c>
      <c r="K2430" s="2">
        <v>0</v>
      </c>
      <c r="L2430" s="2">
        <v>3000000</v>
      </c>
      <c r="M2430" s="2">
        <v>148913</v>
      </c>
      <c r="N2430">
        <f t="shared" si="48"/>
        <v>3000392.8000000003</v>
      </c>
      <c r="O2430" s="9" t="s">
        <v>5</v>
      </c>
    </row>
    <row r="2431" spans="1:15" x14ac:dyDescent="0.2">
      <c r="A2431">
        <v>48</v>
      </c>
      <c r="B2431">
        <v>5</v>
      </c>
      <c r="C2431">
        <v>6</v>
      </c>
      <c r="D2431" s="2">
        <v>2</v>
      </c>
      <c r="E2431" s="2">
        <v>3</v>
      </c>
      <c r="F2431" s="2" t="s">
        <v>4</v>
      </c>
      <c r="G2431" s="2">
        <v>479.99999999994702</v>
      </c>
      <c r="H2431" s="2" t="s">
        <v>20</v>
      </c>
      <c r="I2431" s="2">
        <v>0</v>
      </c>
      <c r="J2431" s="2">
        <v>0</v>
      </c>
      <c r="K2431" s="2">
        <v>0</v>
      </c>
      <c r="L2431" s="2">
        <v>3000000</v>
      </c>
      <c r="M2431" s="2">
        <v>157815</v>
      </c>
      <c r="N2431">
        <f t="shared" si="48"/>
        <v>3000480</v>
      </c>
      <c r="O2431" s="9" t="s">
        <v>5</v>
      </c>
    </row>
    <row r="2432" spans="1:15" x14ac:dyDescent="0.2">
      <c r="A2432">
        <v>49</v>
      </c>
      <c r="B2432">
        <v>5</v>
      </c>
      <c r="C2432">
        <v>6</v>
      </c>
      <c r="D2432" s="2">
        <v>2</v>
      </c>
      <c r="E2432" s="2">
        <v>1</v>
      </c>
      <c r="F2432" s="2" t="s">
        <v>4</v>
      </c>
      <c r="G2432" s="2">
        <v>379.40000000027402</v>
      </c>
      <c r="H2432" s="2" t="s">
        <v>20</v>
      </c>
      <c r="I2432" s="2">
        <v>0</v>
      </c>
      <c r="J2432" s="2">
        <v>0</v>
      </c>
      <c r="K2432" s="2">
        <v>0</v>
      </c>
      <c r="L2432" s="2">
        <v>3000000</v>
      </c>
      <c r="M2432" s="2">
        <v>195619</v>
      </c>
      <c r="N2432">
        <f t="shared" si="48"/>
        <v>3000379.4000000004</v>
      </c>
      <c r="O2432" s="9" t="s">
        <v>5</v>
      </c>
    </row>
    <row r="2433" spans="1:15" x14ac:dyDescent="0.2">
      <c r="A2433">
        <v>50</v>
      </c>
      <c r="B2433">
        <v>5</v>
      </c>
      <c r="C2433">
        <v>6</v>
      </c>
      <c r="D2433" s="2">
        <v>2</v>
      </c>
      <c r="E2433" s="2">
        <v>2</v>
      </c>
      <c r="F2433" s="2" t="s">
        <v>4</v>
      </c>
      <c r="G2433" s="2">
        <v>387.60000000017698</v>
      </c>
      <c r="H2433" s="2" t="s">
        <v>20</v>
      </c>
      <c r="I2433" s="2">
        <v>0</v>
      </c>
      <c r="J2433" s="2">
        <v>0</v>
      </c>
      <c r="K2433" s="2">
        <v>0</v>
      </c>
      <c r="L2433" s="2">
        <v>3000000</v>
      </c>
      <c r="M2433" s="2">
        <v>148134</v>
      </c>
      <c r="N2433">
        <f t="shared" si="48"/>
        <v>3000387.6</v>
      </c>
      <c r="O2433" s="9" t="s">
        <v>5</v>
      </c>
    </row>
    <row r="2434" spans="1:15" x14ac:dyDescent="0.2">
      <c r="A2434">
        <v>51</v>
      </c>
      <c r="B2434">
        <v>5</v>
      </c>
      <c r="C2434">
        <v>6</v>
      </c>
      <c r="D2434" s="2">
        <v>2</v>
      </c>
      <c r="E2434" s="2">
        <v>3</v>
      </c>
      <c r="F2434" s="2" t="s">
        <v>4</v>
      </c>
      <c r="G2434" s="2">
        <v>476.39999999944399</v>
      </c>
      <c r="H2434" s="2" t="s">
        <v>20</v>
      </c>
      <c r="I2434" s="2">
        <v>0</v>
      </c>
      <c r="J2434" s="2">
        <v>0</v>
      </c>
      <c r="K2434" s="2">
        <v>0</v>
      </c>
      <c r="L2434" s="2">
        <v>3000000</v>
      </c>
      <c r="M2434" s="2">
        <v>156835</v>
      </c>
      <c r="N2434">
        <f t="shared" si="48"/>
        <v>3000476.3999999994</v>
      </c>
      <c r="O2434" s="9" t="s">
        <v>5</v>
      </c>
    </row>
    <row r="2435" spans="1:15" x14ac:dyDescent="0.2">
      <c r="A2435">
        <v>52</v>
      </c>
      <c r="B2435">
        <v>5</v>
      </c>
      <c r="C2435">
        <v>7</v>
      </c>
      <c r="D2435" s="2">
        <v>2</v>
      </c>
      <c r="E2435" s="2">
        <v>1</v>
      </c>
      <c r="F2435" s="2" t="s">
        <v>4</v>
      </c>
      <c r="G2435" s="2">
        <v>407.79999999998</v>
      </c>
      <c r="H2435" s="2" t="s">
        <v>20</v>
      </c>
      <c r="I2435" s="2">
        <v>0</v>
      </c>
      <c r="J2435" s="2">
        <v>0</v>
      </c>
      <c r="K2435" s="2">
        <v>0</v>
      </c>
      <c r="L2435" s="2">
        <v>3000000</v>
      </c>
      <c r="M2435" s="2">
        <v>125709</v>
      </c>
      <c r="N2435">
        <f t="shared" si="48"/>
        <v>3000407.8</v>
      </c>
      <c r="O2435" s="9" t="s">
        <v>5</v>
      </c>
    </row>
    <row r="2436" spans="1:15" x14ac:dyDescent="0.2">
      <c r="A2436">
        <v>53</v>
      </c>
      <c r="B2436">
        <v>5</v>
      </c>
      <c r="C2436">
        <v>7</v>
      </c>
      <c r="D2436" s="2">
        <v>2</v>
      </c>
      <c r="E2436" s="2">
        <v>2</v>
      </c>
      <c r="F2436" s="2" t="s">
        <v>4</v>
      </c>
      <c r="G2436" s="2">
        <v>396.99999999953701</v>
      </c>
      <c r="H2436" s="2" t="s">
        <v>20</v>
      </c>
      <c r="I2436" s="2">
        <v>0</v>
      </c>
      <c r="J2436" s="2">
        <v>0</v>
      </c>
      <c r="K2436" s="2">
        <v>0</v>
      </c>
      <c r="L2436" s="2">
        <v>3000000</v>
      </c>
      <c r="M2436" s="2">
        <v>152780</v>
      </c>
      <c r="N2436">
        <f t="shared" si="48"/>
        <v>3000396.9999999995</v>
      </c>
      <c r="O2436" s="9" t="s">
        <v>5</v>
      </c>
    </row>
    <row r="2437" spans="1:15" x14ac:dyDescent="0.2">
      <c r="A2437">
        <v>54</v>
      </c>
      <c r="B2437">
        <v>5</v>
      </c>
      <c r="C2437">
        <v>7</v>
      </c>
      <c r="D2437" s="2">
        <v>2</v>
      </c>
      <c r="E2437" s="2">
        <v>3</v>
      </c>
      <c r="F2437" s="2" t="s">
        <v>4</v>
      </c>
      <c r="G2437" s="2">
        <v>497.99999999997601</v>
      </c>
      <c r="H2437" s="2" t="s">
        <v>20</v>
      </c>
      <c r="I2437" s="2">
        <v>0</v>
      </c>
      <c r="J2437" s="2">
        <v>0</v>
      </c>
      <c r="K2437" s="2">
        <v>0</v>
      </c>
      <c r="L2437" s="2">
        <v>3000000</v>
      </c>
      <c r="M2437" s="2">
        <v>163039</v>
      </c>
      <c r="N2437">
        <f t="shared" si="48"/>
        <v>3000498</v>
      </c>
      <c r="O2437" s="9" t="s">
        <v>5</v>
      </c>
    </row>
    <row r="2438" spans="1:15" x14ac:dyDescent="0.2">
      <c r="A2438">
        <v>55</v>
      </c>
      <c r="B2438">
        <v>5</v>
      </c>
      <c r="C2438">
        <v>5</v>
      </c>
      <c r="D2438" s="2">
        <v>2</v>
      </c>
      <c r="E2438" s="2">
        <v>1</v>
      </c>
      <c r="F2438" s="2" t="s">
        <v>4</v>
      </c>
      <c r="G2438" s="2">
        <v>289.40000000012799</v>
      </c>
      <c r="H2438" s="2" t="s">
        <v>20</v>
      </c>
      <c r="I2438" s="2">
        <v>0</v>
      </c>
      <c r="J2438" s="2">
        <v>0</v>
      </c>
      <c r="K2438" s="2">
        <v>0</v>
      </c>
      <c r="L2438" s="2">
        <v>3000000</v>
      </c>
      <c r="M2438" s="2">
        <v>143217</v>
      </c>
      <c r="N2438">
        <f t="shared" si="48"/>
        <v>3000289.4</v>
      </c>
      <c r="O2438" s="9" t="s">
        <v>5</v>
      </c>
    </row>
    <row r="2439" spans="1:15" x14ac:dyDescent="0.2">
      <c r="A2439">
        <v>56</v>
      </c>
      <c r="B2439">
        <v>5</v>
      </c>
      <c r="C2439">
        <v>5</v>
      </c>
      <c r="D2439" s="2">
        <v>2</v>
      </c>
      <c r="E2439" s="2">
        <v>2</v>
      </c>
      <c r="F2439" s="2" t="s">
        <v>4</v>
      </c>
      <c r="G2439" s="2">
        <v>287.00000000014802</v>
      </c>
      <c r="H2439" s="2" t="s">
        <v>20</v>
      </c>
      <c r="I2439" s="2">
        <v>0</v>
      </c>
      <c r="J2439" s="2">
        <v>0</v>
      </c>
      <c r="K2439" s="2">
        <v>0</v>
      </c>
      <c r="L2439" s="2">
        <v>3000000</v>
      </c>
      <c r="M2439" s="2">
        <v>47815</v>
      </c>
      <c r="N2439">
        <f t="shared" si="48"/>
        <v>3000287</v>
      </c>
      <c r="O2439" s="9" t="s">
        <v>5</v>
      </c>
    </row>
    <row r="2440" spans="1:15" x14ac:dyDescent="0.2">
      <c r="A2440">
        <v>57</v>
      </c>
      <c r="B2440">
        <v>5</v>
      </c>
      <c r="C2440">
        <v>5</v>
      </c>
      <c r="D2440" s="2">
        <v>2</v>
      </c>
      <c r="E2440" s="2">
        <v>3</v>
      </c>
      <c r="F2440" s="2" t="s">
        <v>4</v>
      </c>
      <c r="G2440" s="2">
        <v>362.39999999949703</v>
      </c>
      <c r="H2440" s="2" t="s">
        <v>20</v>
      </c>
      <c r="I2440" s="2">
        <v>0</v>
      </c>
      <c r="J2440" s="2">
        <v>0</v>
      </c>
      <c r="K2440" s="2">
        <v>0</v>
      </c>
      <c r="L2440" s="2">
        <v>3000000</v>
      </c>
      <c r="M2440" s="2">
        <v>75810</v>
      </c>
      <c r="N2440">
        <f t="shared" si="48"/>
        <v>3000362.3999999994</v>
      </c>
      <c r="O2440" s="9" t="s">
        <v>5</v>
      </c>
    </row>
    <row r="2441" spans="1:15" x14ac:dyDescent="0.2">
      <c r="A2441">
        <v>58</v>
      </c>
      <c r="B2441">
        <v>5</v>
      </c>
      <c r="C2441">
        <v>6</v>
      </c>
      <c r="D2441" s="2">
        <v>2</v>
      </c>
      <c r="E2441" s="2">
        <v>1</v>
      </c>
      <c r="F2441" s="2" t="s">
        <v>4</v>
      </c>
      <c r="G2441" s="2">
        <v>340.79999999967498</v>
      </c>
      <c r="H2441" s="2" t="s">
        <v>20</v>
      </c>
      <c r="I2441" s="2">
        <v>0</v>
      </c>
      <c r="J2441" s="2">
        <v>0</v>
      </c>
      <c r="K2441" s="2">
        <v>0</v>
      </c>
      <c r="L2441" s="2">
        <v>3000000</v>
      </c>
      <c r="M2441" s="2">
        <v>147634</v>
      </c>
      <c r="N2441">
        <f t="shared" si="48"/>
        <v>3000340.8</v>
      </c>
      <c r="O2441" s="9" t="s">
        <v>5</v>
      </c>
    </row>
    <row r="2442" spans="1:15" x14ac:dyDescent="0.2">
      <c r="A2442">
        <v>59</v>
      </c>
      <c r="B2442">
        <v>5</v>
      </c>
      <c r="C2442">
        <v>6</v>
      </c>
      <c r="D2442" s="2">
        <v>2</v>
      </c>
      <c r="E2442" s="2">
        <v>2</v>
      </c>
      <c r="F2442" s="2" t="s">
        <v>4</v>
      </c>
      <c r="G2442" s="2">
        <v>334.19999999999601</v>
      </c>
      <c r="H2442" s="2" t="s">
        <v>20</v>
      </c>
      <c r="I2442" s="2">
        <v>0</v>
      </c>
      <c r="J2442" s="2">
        <v>0</v>
      </c>
      <c r="K2442" s="2">
        <v>0</v>
      </c>
      <c r="L2442" s="2">
        <v>3000000</v>
      </c>
      <c r="M2442" s="2">
        <v>172619</v>
      </c>
      <c r="N2442">
        <f t="shared" si="48"/>
        <v>3000334.2</v>
      </c>
      <c r="O2442" s="9" t="s">
        <v>5</v>
      </c>
    </row>
    <row r="2443" spans="1:15" x14ac:dyDescent="0.2">
      <c r="A2443">
        <v>60</v>
      </c>
      <c r="B2443">
        <v>5</v>
      </c>
      <c r="C2443">
        <v>6</v>
      </c>
      <c r="D2443" s="2">
        <v>2</v>
      </c>
      <c r="E2443" s="2">
        <v>3</v>
      </c>
      <c r="F2443" s="2" t="s">
        <v>4</v>
      </c>
      <c r="G2443" s="2">
        <v>401.39999999979602</v>
      </c>
      <c r="H2443" s="2" t="s">
        <v>20</v>
      </c>
      <c r="I2443" s="2">
        <v>0</v>
      </c>
      <c r="J2443" s="2">
        <v>0</v>
      </c>
      <c r="K2443" s="2">
        <v>0</v>
      </c>
      <c r="L2443" s="2">
        <v>3000000</v>
      </c>
      <c r="M2443" s="2">
        <v>156439</v>
      </c>
      <c r="N2443">
        <f t="shared" si="48"/>
        <v>3000401.4</v>
      </c>
      <c r="O2443" s="9" t="s">
        <v>5</v>
      </c>
    </row>
    <row r="2444" spans="1:15" x14ac:dyDescent="0.2">
      <c r="A2444">
        <v>61</v>
      </c>
      <c r="B2444">
        <v>5</v>
      </c>
      <c r="C2444">
        <v>7</v>
      </c>
      <c r="D2444" s="2">
        <v>2</v>
      </c>
      <c r="E2444" s="2">
        <v>1</v>
      </c>
      <c r="F2444" s="2" t="s">
        <v>4</v>
      </c>
      <c r="G2444" s="2">
        <v>364.79999999983198</v>
      </c>
      <c r="H2444" s="2" t="s">
        <v>20</v>
      </c>
      <c r="I2444" s="2">
        <v>0</v>
      </c>
      <c r="J2444" s="2">
        <v>0</v>
      </c>
      <c r="K2444" s="2">
        <v>0</v>
      </c>
      <c r="L2444" s="2">
        <v>3000000</v>
      </c>
      <c r="M2444" s="2">
        <v>176431</v>
      </c>
      <c r="N2444">
        <f t="shared" si="48"/>
        <v>3000364.8</v>
      </c>
      <c r="O2444" s="9" t="s">
        <v>5</v>
      </c>
    </row>
    <row r="2445" spans="1:15" x14ac:dyDescent="0.2">
      <c r="A2445">
        <v>62</v>
      </c>
      <c r="B2445">
        <v>5</v>
      </c>
      <c r="C2445">
        <v>7</v>
      </c>
      <c r="D2445" s="2">
        <v>2</v>
      </c>
      <c r="E2445" s="2">
        <v>2</v>
      </c>
      <c r="F2445" s="2" t="s">
        <v>4</v>
      </c>
      <c r="G2445" s="2">
        <v>382.79999999950599</v>
      </c>
      <c r="H2445" s="2" t="s">
        <v>20</v>
      </c>
      <c r="I2445" s="2">
        <v>0</v>
      </c>
      <c r="J2445" s="2">
        <v>0</v>
      </c>
      <c r="K2445" s="2">
        <v>0</v>
      </c>
      <c r="L2445" s="2">
        <v>3000000</v>
      </c>
      <c r="M2445" s="2">
        <v>152436</v>
      </c>
      <c r="N2445">
        <f t="shared" si="48"/>
        <v>3000382.7999999993</v>
      </c>
      <c r="O2445" s="9" t="s">
        <v>5</v>
      </c>
    </row>
    <row r="2446" spans="1:15" x14ac:dyDescent="0.2">
      <c r="A2446">
        <v>63</v>
      </c>
      <c r="B2446">
        <v>5</v>
      </c>
      <c r="C2446">
        <v>7</v>
      </c>
      <c r="D2446" s="2">
        <v>2</v>
      </c>
      <c r="E2446" s="2">
        <v>3</v>
      </c>
      <c r="F2446" s="2" t="s">
        <v>4</v>
      </c>
      <c r="G2446" s="2">
        <v>469.999999999615</v>
      </c>
      <c r="H2446" s="2" t="s">
        <v>20</v>
      </c>
      <c r="I2446" s="2">
        <v>0</v>
      </c>
      <c r="J2446" s="2">
        <v>0</v>
      </c>
      <c r="K2446" s="2">
        <v>0</v>
      </c>
      <c r="L2446" s="2">
        <v>3000000</v>
      </c>
      <c r="M2446" s="2">
        <v>146079</v>
      </c>
      <c r="N2446">
        <f t="shared" si="48"/>
        <v>3000469.9999999995</v>
      </c>
      <c r="O2446" s="9" t="s">
        <v>5</v>
      </c>
    </row>
    <row r="2447" spans="1:15" x14ac:dyDescent="0.2">
      <c r="A2447">
        <v>64</v>
      </c>
      <c r="B2447">
        <v>5</v>
      </c>
      <c r="C2447">
        <v>8</v>
      </c>
      <c r="D2447" s="2">
        <v>2</v>
      </c>
      <c r="E2447" s="2">
        <v>1</v>
      </c>
      <c r="F2447" s="2" t="s">
        <v>4</v>
      </c>
      <c r="G2447" s="2">
        <v>408.600000000092</v>
      </c>
      <c r="H2447" s="2" t="s">
        <v>20</v>
      </c>
      <c r="I2447" s="2">
        <v>0</v>
      </c>
      <c r="J2447" s="2">
        <v>0</v>
      </c>
      <c r="K2447" s="2">
        <v>0</v>
      </c>
      <c r="L2447" s="2">
        <v>3000000</v>
      </c>
      <c r="M2447" s="2">
        <v>233419</v>
      </c>
      <c r="N2447">
        <f t="shared" si="48"/>
        <v>3000408.6</v>
      </c>
      <c r="O2447" s="9" t="s">
        <v>5</v>
      </c>
    </row>
    <row r="2448" spans="1:15" x14ac:dyDescent="0.2">
      <c r="A2448">
        <v>65</v>
      </c>
      <c r="B2448">
        <v>5</v>
      </c>
      <c r="C2448">
        <v>8</v>
      </c>
      <c r="D2448" s="2">
        <v>2</v>
      </c>
      <c r="E2448" s="2">
        <v>2</v>
      </c>
      <c r="F2448" s="2" t="s">
        <v>4</v>
      </c>
      <c r="G2448" s="2">
        <v>427.200000000383</v>
      </c>
      <c r="H2448" s="2" t="s">
        <v>20</v>
      </c>
      <c r="I2448" s="2">
        <v>0</v>
      </c>
      <c r="J2448" s="2">
        <v>0</v>
      </c>
      <c r="K2448" s="2">
        <v>0</v>
      </c>
      <c r="L2448" s="2">
        <v>3000000</v>
      </c>
      <c r="M2448" s="2">
        <v>130085</v>
      </c>
      <c r="N2448">
        <f t="shared" si="48"/>
        <v>3000427.2</v>
      </c>
      <c r="O2448" s="9" t="s">
        <v>5</v>
      </c>
    </row>
    <row r="2449" spans="1:15" x14ac:dyDescent="0.2">
      <c r="A2449">
        <v>66</v>
      </c>
      <c r="B2449">
        <v>5</v>
      </c>
      <c r="C2449">
        <v>8</v>
      </c>
      <c r="D2449" s="2">
        <v>2</v>
      </c>
      <c r="E2449" s="2">
        <v>3</v>
      </c>
      <c r="F2449" s="2" t="s">
        <v>4</v>
      </c>
      <c r="G2449" s="2">
        <v>553.79999999942697</v>
      </c>
      <c r="H2449" s="2" t="s">
        <v>20</v>
      </c>
      <c r="I2449" s="2">
        <v>0</v>
      </c>
      <c r="J2449" s="2">
        <v>0</v>
      </c>
      <c r="K2449" s="2">
        <v>0</v>
      </c>
      <c r="L2449" s="2">
        <v>3000000</v>
      </c>
      <c r="M2449" s="2">
        <v>46938</v>
      </c>
      <c r="N2449">
        <f t="shared" si="48"/>
        <v>3000553.7999999993</v>
      </c>
      <c r="O2449" s="9" t="s">
        <v>5</v>
      </c>
    </row>
    <row r="2450" spans="1:15" x14ac:dyDescent="0.2">
      <c r="A2450">
        <v>67</v>
      </c>
      <c r="B2450">
        <v>5</v>
      </c>
      <c r="C2450">
        <v>7</v>
      </c>
      <c r="D2450" s="2">
        <v>2</v>
      </c>
      <c r="E2450" s="2">
        <v>1</v>
      </c>
      <c r="F2450" s="2" t="s">
        <v>4</v>
      </c>
      <c r="G2450" s="2">
        <v>358.99999999990899</v>
      </c>
      <c r="H2450" s="2" t="s">
        <v>20</v>
      </c>
      <c r="I2450" s="2">
        <v>0</v>
      </c>
      <c r="J2450" s="2">
        <v>0</v>
      </c>
      <c r="K2450" s="2">
        <v>0</v>
      </c>
      <c r="L2450" s="2">
        <v>3000000</v>
      </c>
      <c r="M2450" s="2">
        <v>75774</v>
      </c>
      <c r="N2450">
        <f t="shared" si="48"/>
        <v>3000359</v>
      </c>
      <c r="O2450" s="9" t="s">
        <v>5</v>
      </c>
    </row>
    <row r="2451" spans="1:15" x14ac:dyDescent="0.2">
      <c r="A2451">
        <v>68</v>
      </c>
      <c r="B2451">
        <v>5</v>
      </c>
      <c r="C2451">
        <v>7</v>
      </c>
      <c r="D2451" s="2">
        <v>2</v>
      </c>
      <c r="E2451" s="2">
        <v>2</v>
      </c>
      <c r="F2451" s="2" t="s">
        <v>4</v>
      </c>
      <c r="G2451" s="2">
        <v>373.80000000055702</v>
      </c>
      <c r="H2451" s="2" t="s">
        <v>20</v>
      </c>
      <c r="I2451" s="2">
        <v>0</v>
      </c>
      <c r="J2451" s="2">
        <v>0</v>
      </c>
      <c r="K2451" s="2">
        <v>0</v>
      </c>
      <c r="L2451" s="2">
        <v>3000000</v>
      </c>
      <c r="M2451" s="2">
        <v>204249</v>
      </c>
      <c r="N2451">
        <f t="shared" si="48"/>
        <v>3000373.8000000007</v>
      </c>
      <c r="O2451" s="9" t="s">
        <v>5</v>
      </c>
    </row>
    <row r="2452" spans="1:15" x14ac:dyDescent="0.2">
      <c r="A2452">
        <v>69</v>
      </c>
      <c r="B2452">
        <v>5</v>
      </c>
      <c r="C2452">
        <v>7</v>
      </c>
      <c r="D2452" s="2">
        <v>2</v>
      </c>
      <c r="E2452" s="2">
        <v>3</v>
      </c>
      <c r="F2452" s="2" t="s">
        <v>4</v>
      </c>
      <c r="G2452" s="2">
        <v>458.79999999947103</v>
      </c>
      <c r="H2452" s="2" t="s">
        <v>20</v>
      </c>
      <c r="I2452" s="2">
        <v>0</v>
      </c>
      <c r="J2452" s="2">
        <v>0</v>
      </c>
      <c r="K2452" s="2">
        <v>0</v>
      </c>
      <c r="L2452" s="2">
        <v>3000000</v>
      </c>
      <c r="M2452" s="2">
        <v>177676</v>
      </c>
      <c r="N2452">
        <f t="shared" si="48"/>
        <v>3000458.7999999993</v>
      </c>
      <c r="O2452" s="9" t="s">
        <v>5</v>
      </c>
    </row>
    <row r="2453" spans="1:15" x14ac:dyDescent="0.2">
      <c r="A2453">
        <v>70</v>
      </c>
      <c r="B2453">
        <v>6</v>
      </c>
      <c r="C2453">
        <v>6</v>
      </c>
      <c r="D2453" s="2">
        <v>3</v>
      </c>
      <c r="E2453" s="2">
        <v>2</v>
      </c>
      <c r="F2453" s="2" t="s">
        <v>5</v>
      </c>
      <c r="G2453" s="2">
        <v>916.60000000004504</v>
      </c>
      <c r="H2453" s="2" t="s">
        <v>8</v>
      </c>
      <c r="I2453" s="2">
        <v>169758.00000000201</v>
      </c>
      <c r="J2453" s="2">
        <v>1000</v>
      </c>
      <c r="K2453" s="2">
        <v>20</v>
      </c>
      <c r="L2453" s="2">
        <v>0</v>
      </c>
      <c r="M2453" s="2">
        <v>146585.57</v>
      </c>
      <c r="N2453">
        <f>G2453+I2453+M2453</f>
        <v>317260.17000000202</v>
      </c>
      <c r="O2453" s="2" t="s">
        <v>5</v>
      </c>
    </row>
    <row r="2454" spans="1:15" x14ac:dyDescent="0.2">
      <c r="A2454">
        <v>71</v>
      </c>
      <c r="B2454">
        <v>6</v>
      </c>
      <c r="C2454">
        <v>7</v>
      </c>
      <c r="D2454" s="2">
        <v>2</v>
      </c>
      <c r="E2454" s="2">
        <v>2</v>
      </c>
      <c r="F2454" s="2" t="s">
        <v>5</v>
      </c>
      <c r="G2454" s="2">
        <v>840.79999999993095</v>
      </c>
      <c r="H2454" s="2" t="s">
        <v>8</v>
      </c>
      <c r="I2454" s="2">
        <v>333503.99999994802</v>
      </c>
      <c r="J2454" s="2">
        <v>1000</v>
      </c>
      <c r="K2454" s="2">
        <v>20</v>
      </c>
      <c r="L2454" s="2">
        <v>0</v>
      </c>
      <c r="M2454" s="2">
        <v>110605.97</v>
      </c>
      <c r="N2454">
        <f t="shared" ref="N2454:N2482" si="49">G2454+I2454+M2454</f>
        <v>444950.76999994798</v>
      </c>
      <c r="O2454" s="2" t="s">
        <v>4</v>
      </c>
    </row>
    <row r="2455" spans="1:15" x14ac:dyDescent="0.2">
      <c r="A2455">
        <v>72</v>
      </c>
      <c r="B2455">
        <v>6</v>
      </c>
      <c r="C2455">
        <v>7</v>
      </c>
      <c r="D2455" s="2">
        <v>2</v>
      </c>
      <c r="E2455" s="2">
        <v>2</v>
      </c>
      <c r="F2455" s="2" t="s">
        <v>5</v>
      </c>
      <c r="G2455" s="2">
        <v>686.80000000043196</v>
      </c>
      <c r="H2455" s="2" t="s">
        <v>8</v>
      </c>
      <c r="I2455" s="2">
        <v>475044.99999990902</v>
      </c>
      <c r="J2455" s="2">
        <v>1000</v>
      </c>
      <c r="K2455" s="2">
        <v>20</v>
      </c>
      <c r="L2455" s="2">
        <v>0</v>
      </c>
      <c r="M2455" s="2">
        <v>124043.97</v>
      </c>
      <c r="N2455">
        <f t="shared" si="49"/>
        <v>599775.76999990945</v>
      </c>
      <c r="O2455" s="2" t="s">
        <v>4</v>
      </c>
    </row>
    <row r="2456" spans="1:15" x14ac:dyDescent="0.2">
      <c r="A2456">
        <v>73</v>
      </c>
      <c r="B2456">
        <v>6</v>
      </c>
      <c r="C2456">
        <v>7</v>
      </c>
      <c r="D2456" s="2">
        <v>3</v>
      </c>
      <c r="E2456" s="2">
        <v>2</v>
      </c>
      <c r="F2456" s="2" t="s">
        <v>5</v>
      </c>
      <c r="G2456" s="2">
        <v>696.99999999990303</v>
      </c>
      <c r="H2456" s="2" t="s">
        <v>8</v>
      </c>
      <c r="I2456" s="2">
        <v>533288.00000008405</v>
      </c>
      <c r="J2456" s="2">
        <v>1000</v>
      </c>
      <c r="K2456" s="2">
        <v>20</v>
      </c>
      <c r="L2456" s="2">
        <v>0</v>
      </c>
      <c r="M2456" s="2">
        <v>121265.97</v>
      </c>
      <c r="N2456">
        <f t="shared" si="49"/>
        <v>655250.97000008391</v>
      </c>
      <c r="O2456" s="2" t="s">
        <v>4</v>
      </c>
    </row>
    <row r="2457" spans="1:15" x14ac:dyDescent="0.2">
      <c r="A2457">
        <v>74</v>
      </c>
      <c r="B2457">
        <v>6</v>
      </c>
      <c r="C2457">
        <v>9</v>
      </c>
      <c r="D2457" s="2">
        <v>3</v>
      </c>
      <c r="E2457" s="2">
        <v>2</v>
      </c>
      <c r="F2457" s="2" t="s">
        <v>5</v>
      </c>
      <c r="G2457" s="2">
        <v>767.00000000009504</v>
      </c>
      <c r="H2457" s="2" t="s">
        <v>8</v>
      </c>
      <c r="I2457" s="2">
        <v>792881.99999996298</v>
      </c>
      <c r="J2457" s="2">
        <v>1000</v>
      </c>
      <c r="K2457" s="2">
        <v>20</v>
      </c>
      <c r="L2457" s="2">
        <v>0</v>
      </c>
      <c r="M2457" s="2">
        <v>103744.77</v>
      </c>
      <c r="N2457">
        <f t="shared" si="49"/>
        <v>897393.76999996311</v>
      </c>
      <c r="O2457" s="2" t="s">
        <v>4</v>
      </c>
    </row>
    <row r="2458" spans="1:15" x14ac:dyDescent="0.2">
      <c r="A2458">
        <v>75</v>
      </c>
      <c r="B2458">
        <v>6</v>
      </c>
      <c r="C2458">
        <v>7</v>
      </c>
      <c r="D2458" s="2">
        <v>3</v>
      </c>
      <c r="E2458" s="2">
        <v>2</v>
      </c>
      <c r="F2458" s="2" t="s">
        <v>5</v>
      </c>
      <c r="G2458" s="2">
        <v>442.80000000007601</v>
      </c>
      <c r="H2458" s="2" t="s">
        <v>8</v>
      </c>
      <c r="I2458" s="2">
        <v>267370.99999991199</v>
      </c>
      <c r="J2458" s="2">
        <v>1000</v>
      </c>
      <c r="K2458" s="2">
        <v>20</v>
      </c>
      <c r="L2458" s="2">
        <v>0</v>
      </c>
      <c r="M2458" s="2">
        <v>112084.77</v>
      </c>
      <c r="N2458">
        <f t="shared" si="49"/>
        <v>379898.56999991211</v>
      </c>
      <c r="O2458" s="2" t="s">
        <v>5</v>
      </c>
    </row>
    <row r="2459" spans="1:15" x14ac:dyDescent="0.2">
      <c r="A2459">
        <v>76</v>
      </c>
      <c r="B2459">
        <v>6</v>
      </c>
      <c r="C2459">
        <v>8</v>
      </c>
      <c r="D2459" s="2">
        <v>3</v>
      </c>
      <c r="E2459" s="2">
        <v>2</v>
      </c>
      <c r="F2459" s="2" t="s">
        <v>5</v>
      </c>
      <c r="G2459" s="2">
        <v>657.20000000020195</v>
      </c>
      <c r="H2459" s="2" t="s">
        <v>8</v>
      </c>
      <c r="I2459" s="2">
        <v>367324.99999993702</v>
      </c>
      <c r="J2459" s="2">
        <v>1000</v>
      </c>
      <c r="K2459" s="2">
        <v>20</v>
      </c>
      <c r="L2459" s="2">
        <v>0</v>
      </c>
      <c r="M2459" s="2">
        <v>99805.17</v>
      </c>
      <c r="N2459">
        <f t="shared" si="49"/>
        <v>467787.36999993719</v>
      </c>
      <c r="O2459" s="2" t="s">
        <v>4</v>
      </c>
    </row>
    <row r="2460" spans="1:15" x14ac:dyDescent="0.2">
      <c r="A2460">
        <v>77</v>
      </c>
      <c r="B2460">
        <v>6</v>
      </c>
      <c r="C2460">
        <v>8</v>
      </c>
      <c r="D2460" s="2">
        <v>3</v>
      </c>
      <c r="E2460" s="2">
        <v>2</v>
      </c>
      <c r="F2460" s="2" t="s">
        <v>5</v>
      </c>
      <c r="G2460" s="2">
        <v>517.59999999951799</v>
      </c>
      <c r="H2460" s="2" t="s">
        <v>8</v>
      </c>
      <c r="I2460" s="2">
        <v>424015.00000005402</v>
      </c>
      <c r="J2460" s="2">
        <v>1000</v>
      </c>
      <c r="K2460" s="2">
        <v>20</v>
      </c>
      <c r="L2460" s="2">
        <v>0</v>
      </c>
      <c r="M2460" s="2">
        <v>125085.57</v>
      </c>
      <c r="N2460">
        <f t="shared" si="49"/>
        <v>549618.17000005348</v>
      </c>
      <c r="O2460" s="2" t="s">
        <v>4</v>
      </c>
    </row>
    <row r="2461" spans="1:15" x14ac:dyDescent="0.2">
      <c r="A2461">
        <v>78</v>
      </c>
      <c r="B2461">
        <v>6</v>
      </c>
      <c r="C2461">
        <v>8</v>
      </c>
      <c r="D2461" s="2">
        <v>3</v>
      </c>
      <c r="E2461" s="2">
        <v>2</v>
      </c>
      <c r="F2461" s="2" t="s">
        <v>5</v>
      </c>
      <c r="G2461" s="2">
        <v>411.19999999992302</v>
      </c>
      <c r="H2461" s="2" t="s">
        <v>8</v>
      </c>
      <c r="I2461" s="2">
        <v>421569.00000008999</v>
      </c>
      <c r="J2461" s="2">
        <v>1000</v>
      </c>
      <c r="K2461" s="2">
        <v>20</v>
      </c>
      <c r="L2461" s="2">
        <v>0</v>
      </c>
      <c r="M2461" s="2">
        <v>126225.97</v>
      </c>
      <c r="N2461">
        <f t="shared" si="49"/>
        <v>548206.17000008991</v>
      </c>
      <c r="O2461" s="2" t="s">
        <v>4</v>
      </c>
    </row>
    <row r="2462" spans="1:15" x14ac:dyDescent="0.2">
      <c r="A2462">
        <v>79</v>
      </c>
      <c r="B2462">
        <v>6</v>
      </c>
      <c r="C2462">
        <v>8</v>
      </c>
      <c r="D2462" s="2">
        <v>3</v>
      </c>
      <c r="E2462" s="2">
        <v>2</v>
      </c>
      <c r="F2462" s="2" t="s">
        <v>5</v>
      </c>
      <c r="G2462" s="2">
        <v>394.20000000021099</v>
      </c>
      <c r="H2462" s="2" t="s">
        <v>8</v>
      </c>
      <c r="I2462" s="2">
        <v>507382.00000000698</v>
      </c>
      <c r="J2462" s="2">
        <v>1000</v>
      </c>
      <c r="K2462" s="2">
        <v>20</v>
      </c>
      <c r="L2462" s="2">
        <v>0</v>
      </c>
      <c r="M2462" s="2">
        <v>111344.77</v>
      </c>
      <c r="N2462">
        <f t="shared" si="49"/>
        <v>619120.97000000719</v>
      </c>
      <c r="O2462" s="2" t="s">
        <v>4</v>
      </c>
    </row>
    <row r="2463" spans="1:15" x14ac:dyDescent="0.2">
      <c r="A2463">
        <v>80</v>
      </c>
      <c r="B2463">
        <v>6</v>
      </c>
      <c r="C2463">
        <v>7</v>
      </c>
      <c r="D2463" s="2">
        <v>3</v>
      </c>
      <c r="E2463" s="2">
        <v>2</v>
      </c>
      <c r="F2463" s="2" t="s">
        <v>5</v>
      </c>
      <c r="G2463" s="2">
        <v>306.60000000004601</v>
      </c>
      <c r="H2463" s="2" t="s">
        <v>8</v>
      </c>
      <c r="I2463" s="2">
        <v>217282.00000006799</v>
      </c>
      <c r="J2463" s="2">
        <v>1000</v>
      </c>
      <c r="K2463" s="2">
        <v>20</v>
      </c>
      <c r="L2463" s="2">
        <v>0</v>
      </c>
      <c r="M2463" s="2">
        <v>124484.77</v>
      </c>
      <c r="N2463">
        <f t="shared" si="49"/>
        <v>342073.37000006804</v>
      </c>
      <c r="O2463" s="2" t="s">
        <v>4</v>
      </c>
    </row>
    <row r="2464" spans="1:15" x14ac:dyDescent="0.2">
      <c r="A2464">
        <v>81</v>
      </c>
      <c r="B2464">
        <v>6</v>
      </c>
      <c r="C2464">
        <v>8</v>
      </c>
      <c r="D2464" s="2">
        <v>3</v>
      </c>
      <c r="E2464" s="2">
        <v>2</v>
      </c>
      <c r="F2464" s="2" t="s">
        <v>5</v>
      </c>
      <c r="G2464" s="2">
        <v>372.600000000389</v>
      </c>
      <c r="H2464" s="2" t="s">
        <v>8</v>
      </c>
      <c r="I2464" s="2">
        <v>572054.99999986403</v>
      </c>
      <c r="J2464" s="2">
        <v>1000</v>
      </c>
      <c r="K2464" s="2">
        <v>20</v>
      </c>
      <c r="L2464" s="2">
        <v>0</v>
      </c>
      <c r="M2464" s="2">
        <v>110004.77</v>
      </c>
      <c r="N2464">
        <f t="shared" si="49"/>
        <v>682432.36999986449</v>
      </c>
      <c r="O2464" s="2" t="s">
        <v>5</v>
      </c>
    </row>
    <row r="2465" spans="1:15" x14ac:dyDescent="0.2">
      <c r="A2465">
        <v>82</v>
      </c>
      <c r="B2465">
        <v>6</v>
      </c>
      <c r="C2465">
        <v>8</v>
      </c>
      <c r="D2465" s="2">
        <v>2</v>
      </c>
      <c r="E2465" s="2">
        <v>2</v>
      </c>
      <c r="F2465" s="2" t="s">
        <v>5</v>
      </c>
      <c r="G2465" s="2">
        <v>377.99999999990098</v>
      </c>
      <c r="H2465" s="2" t="s">
        <v>8</v>
      </c>
      <c r="I2465" s="2">
        <v>449708.99999998399</v>
      </c>
      <c r="J2465" s="2">
        <v>1000</v>
      </c>
      <c r="K2465" s="2">
        <v>20</v>
      </c>
      <c r="L2465" s="2">
        <v>0</v>
      </c>
      <c r="M2465" s="2">
        <v>124185.97</v>
      </c>
      <c r="N2465">
        <f t="shared" si="49"/>
        <v>574272.96999998391</v>
      </c>
      <c r="O2465" s="2" t="s">
        <v>4</v>
      </c>
    </row>
    <row r="2466" spans="1:15" x14ac:dyDescent="0.2">
      <c r="A2466">
        <v>83</v>
      </c>
      <c r="B2466">
        <v>6</v>
      </c>
      <c r="C2466">
        <v>9</v>
      </c>
      <c r="D2466" s="2">
        <v>2</v>
      </c>
      <c r="E2466" s="2">
        <v>2</v>
      </c>
      <c r="F2466" s="2" t="s">
        <v>5</v>
      </c>
      <c r="G2466" s="2">
        <v>451.20000000018501</v>
      </c>
      <c r="H2466" s="2" t="s">
        <v>8</v>
      </c>
      <c r="I2466" s="2">
        <v>1278454.00000001</v>
      </c>
      <c r="J2466" s="2">
        <v>1000</v>
      </c>
      <c r="K2466" s="2">
        <v>20</v>
      </c>
      <c r="L2466" s="2">
        <v>0</v>
      </c>
      <c r="M2466" s="2">
        <v>129323.97</v>
      </c>
      <c r="N2466">
        <f t="shared" si="49"/>
        <v>1408229.1700000102</v>
      </c>
      <c r="O2466" s="2" t="s">
        <v>4</v>
      </c>
    </row>
    <row r="2467" spans="1:15" x14ac:dyDescent="0.2">
      <c r="A2467">
        <v>84</v>
      </c>
      <c r="B2467">
        <v>6</v>
      </c>
      <c r="C2467">
        <v>10</v>
      </c>
      <c r="D2467" s="2">
        <v>2</v>
      </c>
      <c r="E2467" s="2">
        <v>2</v>
      </c>
      <c r="F2467" s="2" t="s">
        <v>5</v>
      </c>
      <c r="G2467" s="2">
        <v>503.80000000060897</v>
      </c>
      <c r="H2467" s="2" t="s">
        <v>8</v>
      </c>
      <c r="I2467" s="2">
        <v>4835274.0000000298</v>
      </c>
      <c r="J2467" s="2">
        <v>1000</v>
      </c>
      <c r="K2467" s="2">
        <v>20</v>
      </c>
      <c r="L2467" s="2">
        <v>0</v>
      </c>
      <c r="M2467" s="2">
        <v>117743.97</v>
      </c>
      <c r="N2467">
        <f t="shared" si="49"/>
        <v>4953521.7700000303</v>
      </c>
      <c r="O2467" s="2" t="s">
        <v>4</v>
      </c>
    </row>
    <row r="2468" spans="1:15" x14ac:dyDescent="0.2">
      <c r="A2468">
        <v>85</v>
      </c>
      <c r="B2468">
        <v>6</v>
      </c>
      <c r="C2468">
        <v>8</v>
      </c>
      <c r="D2468" s="2">
        <v>2</v>
      </c>
      <c r="E2468" s="2">
        <v>2</v>
      </c>
      <c r="F2468" s="2" t="s">
        <v>5</v>
      </c>
      <c r="G2468" s="2">
        <v>348.000000000326</v>
      </c>
      <c r="H2468" s="2" t="s">
        <v>8</v>
      </c>
      <c r="I2468" s="2">
        <v>562017.99999985297</v>
      </c>
      <c r="J2468" s="2">
        <v>1000</v>
      </c>
      <c r="K2468" s="2">
        <v>20</v>
      </c>
      <c r="L2468" s="2">
        <v>0</v>
      </c>
      <c r="M2468" s="2">
        <v>104185.97</v>
      </c>
      <c r="N2468">
        <f t="shared" si="49"/>
        <v>666551.96999985329</v>
      </c>
      <c r="O2468" s="2" t="s">
        <v>4</v>
      </c>
    </row>
    <row r="2469" spans="1:15" x14ac:dyDescent="0.2">
      <c r="A2469">
        <v>86</v>
      </c>
      <c r="B2469">
        <v>6</v>
      </c>
      <c r="C2469">
        <v>10</v>
      </c>
      <c r="D2469" s="2">
        <v>3</v>
      </c>
      <c r="E2469" s="2">
        <v>2</v>
      </c>
      <c r="F2469" s="2" t="s">
        <v>5</v>
      </c>
      <c r="G2469" s="2">
        <v>468.00000000004599</v>
      </c>
      <c r="H2469" s="2" t="s">
        <v>8</v>
      </c>
      <c r="I2469" s="2">
        <v>2626483.9999998901</v>
      </c>
      <c r="J2469" s="2">
        <v>1000</v>
      </c>
      <c r="K2469" s="2">
        <v>20</v>
      </c>
      <c r="L2469" s="2">
        <v>0</v>
      </c>
      <c r="M2469" s="2">
        <v>155846.76999999999</v>
      </c>
      <c r="N2469">
        <f t="shared" si="49"/>
        <v>2782798.7699998901</v>
      </c>
      <c r="O2469" s="2" t="s">
        <v>4</v>
      </c>
    </row>
    <row r="2470" spans="1:15" x14ac:dyDescent="0.2">
      <c r="A2470">
        <v>87</v>
      </c>
      <c r="B2470">
        <v>6</v>
      </c>
      <c r="C2470">
        <v>10</v>
      </c>
      <c r="D2470" s="2">
        <v>2</v>
      </c>
      <c r="E2470" s="2">
        <v>2</v>
      </c>
      <c r="F2470" s="2" t="s">
        <v>5</v>
      </c>
      <c r="G2470" s="2">
        <v>451.39999999968001</v>
      </c>
      <c r="H2470" s="2" t="s">
        <v>8</v>
      </c>
      <c r="I2470" s="2">
        <v>2008806.0000000501</v>
      </c>
      <c r="J2470" s="2">
        <v>1000</v>
      </c>
      <c r="K2470" s="2">
        <v>20</v>
      </c>
      <c r="L2470" s="2">
        <v>0</v>
      </c>
      <c r="M2470" s="2">
        <v>162584.37</v>
      </c>
      <c r="N2470">
        <f t="shared" si="49"/>
        <v>2171841.7700000498</v>
      </c>
      <c r="O2470" s="2" t="s">
        <v>4</v>
      </c>
    </row>
    <row r="2471" spans="1:15" x14ac:dyDescent="0.2">
      <c r="A2471">
        <v>88</v>
      </c>
      <c r="B2471">
        <v>6</v>
      </c>
      <c r="C2471">
        <v>10</v>
      </c>
      <c r="D2471" s="2">
        <v>3</v>
      </c>
      <c r="E2471" s="2">
        <v>2</v>
      </c>
      <c r="F2471" s="2" t="s">
        <v>5</v>
      </c>
      <c r="G2471" s="2">
        <v>490.20000000048498</v>
      </c>
      <c r="H2471" s="2" t="s">
        <v>8</v>
      </c>
      <c r="I2471" s="2">
        <v>1234313.00000016</v>
      </c>
      <c r="J2471" s="2">
        <v>1000</v>
      </c>
      <c r="K2471" s="2">
        <v>20</v>
      </c>
      <c r="L2471" s="2">
        <v>0</v>
      </c>
      <c r="M2471" s="2">
        <v>161784.76999999999</v>
      </c>
      <c r="N2471">
        <f t="shared" si="49"/>
        <v>1396587.9700001604</v>
      </c>
      <c r="O2471" s="2" t="s">
        <v>4</v>
      </c>
    </row>
    <row r="2472" spans="1:15" x14ac:dyDescent="0.2">
      <c r="A2472">
        <v>89</v>
      </c>
      <c r="B2472">
        <v>6</v>
      </c>
      <c r="C2472">
        <v>7</v>
      </c>
      <c r="D2472" s="2">
        <v>3</v>
      </c>
      <c r="E2472" s="2">
        <v>2</v>
      </c>
      <c r="F2472" s="2" t="s">
        <v>5</v>
      </c>
      <c r="G2472" s="2">
        <v>266.39999999993302</v>
      </c>
      <c r="H2472" s="2" t="s">
        <v>8</v>
      </c>
      <c r="I2472" s="2">
        <v>414899.999999989</v>
      </c>
      <c r="J2472" s="2">
        <v>1000</v>
      </c>
      <c r="K2472" s="2">
        <v>20</v>
      </c>
      <c r="L2472" s="2">
        <v>0</v>
      </c>
      <c r="M2472" s="2">
        <v>109104.37</v>
      </c>
      <c r="N2472">
        <f t="shared" si="49"/>
        <v>524270.7699999889</v>
      </c>
      <c r="O2472" s="2" t="s">
        <v>4</v>
      </c>
    </row>
    <row r="2473" spans="1:15" x14ac:dyDescent="0.2">
      <c r="A2473">
        <v>90</v>
      </c>
      <c r="B2473">
        <v>6</v>
      </c>
      <c r="C2473">
        <v>8</v>
      </c>
      <c r="D2473" s="2">
        <v>2</v>
      </c>
      <c r="E2473" s="2">
        <v>2</v>
      </c>
      <c r="F2473" s="2" t="s">
        <v>5</v>
      </c>
      <c r="G2473" s="2">
        <v>335.79999999986399</v>
      </c>
      <c r="H2473" s="2" t="s">
        <v>8</v>
      </c>
      <c r="I2473" s="2">
        <v>636770.00000006997</v>
      </c>
      <c r="J2473" s="2">
        <v>1000</v>
      </c>
      <c r="K2473" s="2">
        <v>20</v>
      </c>
      <c r="L2473" s="2">
        <v>0</v>
      </c>
      <c r="M2473" s="2">
        <v>123585.57</v>
      </c>
      <c r="N2473">
        <f t="shared" si="49"/>
        <v>760691.37000006973</v>
      </c>
      <c r="O2473" s="2" t="s">
        <v>4</v>
      </c>
    </row>
    <row r="2474" spans="1:15" x14ac:dyDescent="0.2">
      <c r="A2474">
        <v>91</v>
      </c>
      <c r="B2474">
        <v>6</v>
      </c>
      <c r="C2474">
        <v>8</v>
      </c>
      <c r="D2474" s="2">
        <v>3</v>
      </c>
      <c r="E2474" s="2">
        <v>2</v>
      </c>
      <c r="F2474" s="2" t="s">
        <v>5</v>
      </c>
      <c r="G2474" s="2">
        <v>335.59999999930301</v>
      </c>
      <c r="H2474" s="2" t="s">
        <v>8</v>
      </c>
      <c r="I2474" s="2">
        <v>411151.00000001799</v>
      </c>
      <c r="J2474" s="2">
        <v>1000</v>
      </c>
      <c r="K2474" s="2">
        <v>20</v>
      </c>
      <c r="L2474" s="2">
        <v>0</v>
      </c>
      <c r="M2474" s="2">
        <v>126566.37</v>
      </c>
      <c r="N2474">
        <f t="shared" si="49"/>
        <v>538052.9700000172</v>
      </c>
      <c r="O2474" s="2" t="s">
        <v>4</v>
      </c>
    </row>
    <row r="2475" spans="1:15" x14ac:dyDescent="0.2">
      <c r="A2475">
        <v>92</v>
      </c>
      <c r="B2475">
        <v>6</v>
      </c>
      <c r="C2475">
        <v>8</v>
      </c>
      <c r="D2475" s="2">
        <v>3</v>
      </c>
      <c r="E2475" s="2">
        <v>2</v>
      </c>
      <c r="F2475" s="2" t="s">
        <v>5</v>
      </c>
      <c r="G2475" s="2">
        <v>306.40000000019501</v>
      </c>
      <c r="H2475" s="2" t="s">
        <v>8</v>
      </c>
      <c r="I2475" s="2">
        <v>326122.99999982503</v>
      </c>
      <c r="J2475" s="2">
        <v>1000</v>
      </c>
      <c r="K2475" s="2">
        <v>20</v>
      </c>
      <c r="L2475" s="2">
        <v>0</v>
      </c>
      <c r="M2475" s="2">
        <v>126565.97</v>
      </c>
      <c r="N2475">
        <f t="shared" si="49"/>
        <v>452995.36999982526</v>
      </c>
      <c r="O2475" s="2" t="s">
        <v>4</v>
      </c>
    </row>
    <row r="2476" spans="1:15" x14ac:dyDescent="0.2">
      <c r="A2476">
        <v>93</v>
      </c>
      <c r="B2476">
        <v>6</v>
      </c>
      <c r="C2476">
        <v>11</v>
      </c>
      <c r="D2476" s="2">
        <v>3</v>
      </c>
      <c r="E2476" s="2">
        <v>2</v>
      </c>
      <c r="F2476" s="2" t="s">
        <v>5</v>
      </c>
      <c r="G2476" s="2">
        <v>515.79999999979998</v>
      </c>
      <c r="H2476" s="2" t="s">
        <v>8</v>
      </c>
      <c r="I2476" s="2">
        <v>2579271.9999999502</v>
      </c>
      <c r="J2476" s="2">
        <v>1000</v>
      </c>
      <c r="K2476" s="2">
        <v>20</v>
      </c>
      <c r="L2476" s="2">
        <v>0</v>
      </c>
      <c r="M2476" s="2">
        <v>152225.17000000001</v>
      </c>
      <c r="N2476">
        <f t="shared" si="49"/>
        <v>2732012.9699999499</v>
      </c>
      <c r="O2476" s="2" t="s">
        <v>4</v>
      </c>
    </row>
    <row r="2477" spans="1:15" x14ac:dyDescent="0.2">
      <c r="A2477">
        <v>94</v>
      </c>
      <c r="B2477">
        <v>6</v>
      </c>
      <c r="C2477">
        <v>10</v>
      </c>
      <c r="D2477" s="2">
        <v>2</v>
      </c>
      <c r="E2477" s="2">
        <v>2</v>
      </c>
      <c r="F2477" s="2" t="s">
        <v>5</v>
      </c>
      <c r="G2477" s="2">
        <v>446.600000000075</v>
      </c>
      <c r="H2477" s="2" t="s">
        <v>8</v>
      </c>
      <c r="I2477" s="2">
        <v>2002005.9999999399</v>
      </c>
      <c r="J2477" s="2">
        <v>1000</v>
      </c>
      <c r="K2477" s="2">
        <v>20</v>
      </c>
      <c r="L2477" s="2">
        <v>0</v>
      </c>
      <c r="M2477" s="2">
        <v>121906.77</v>
      </c>
      <c r="N2477">
        <f t="shared" si="49"/>
        <v>2124359.36999994</v>
      </c>
      <c r="O2477" s="2" t="s">
        <v>4</v>
      </c>
    </row>
    <row r="2478" spans="1:15" x14ac:dyDescent="0.2">
      <c r="A2478">
        <v>95</v>
      </c>
      <c r="B2478">
        <v>6</v>
      </c>
      <c r="C2478">
        <v>12</v>
      </c>
      <c r="D2478" s="2">
        <v>2</v>
      </c>
      <c r="E2478" s="2">
        <v>2</v>
      </c>
      <c r="F2478" s="2" t="s">
        <v>5</v>
      </c>
      <c r="G2478" s="2">
        <v>605.60000000045</v>
      </c>
      <c r="H2478" s="2" t="s">
        <v>8</v>
      </c>
      <c r="I2478" s="2">
        <v>5219995.0000001499</v>
      </c>
      <c r="J2478" s="2">
        <v>1000</v>
      </c>
      <c r="K2478" s="2">
        <v>20</v>
      </c>
      <c r="L2478" s="2">
        <v>0</v>
      </c>
      <c r="M2478" s="2">
        <v>136205.17000000001</v>
      </c>
      <c r="N2478">
        <f t="shared" si="49"/>
        <v>5356805.7700001504</v>
      </c>
      <c r="O2478" s="2" t="s">
        <v>4</v>
      </c>
    </row>
    <row r="2479" spans="1:15" x14ac:dyDescent="0.2">
      <c r="A2479">
        <v>96</v>
      </c>
      <c r="B2479">
        <v>6</v>
      </c>
      <c r="C2479">
        <v>8</v>
      </c>
      <c r="D2479" s="2">
        <v>3</v>
      </c>
      <c r="E2479" s="2">
        <v>2</v>
      </c>
      <c r="F2479" s="2" t="s">
        <v>5</v>
      </c>
      <c r="G2479" s="2">
        <v>301.39999999967398</v>
      </c>
      <c r="H2479" s="2" t="s">
        <v>8</v>
      </c>
      <c r="I2479" s="2">
        <v>538624.00000002701</v>
      </c>
      <c r="J2479" s="2">
        <v>1000</v>
      </c>
      <c r="K2479" s="2">
        <v>20</v>
      </c>
      <c r="L2479" s="2">
        <v>0</v>
      </c>
      <c r="M2479" s="2">
        <v>125265.17</v>
      </c>
      <c r="N2479">
        <f t="shared" si="49"/>
        <v>664190.57000002672</v>
      </c>
      <c r="O2479" s="2" t="s">
        <v>4</v>
      </c>
    </row>
    <row r="2480" spans="1:15" x14ac:dyDescent="0.2">
      <c r="A2480">
        <v>97</v>
      </c>
      <c r="B2480">
        <v>6</v>
      </c>
      <c r="C2480">
        <v>9</v>
      </c>
      <c r="D2480" s="2">
        <v>3</v>
      </c>
      <c r="E2480" s="2">
        <v>2</v>
      </c>
      <c r="F2480" s="2" t="s">
        <v>5</v>
      </c>
      <c r="G2480" s="2">
        <v>374.59999999995802</v>
      </c>
      <c r="H2480" s="2" t="s">
        <v>8</v>
      </c>
      <c r="I2480" s="2">
        <v>698046.99999985995</v>
      </c>
      <c r="J2480" s="2">
        <v>1000</v>
      </c>
      <c r="K2480" s="2">
        <v>20</v>
      </c>
      <c r="L2480" s="2">
        <v>0</v>
      </c>
      <c r="M2480" s="2">
        <v>128204.77</v>
      </c>
      <c r="N2480">
        <f t="shared" si="49"/>
        <v>826626.36999985995</v>
      </c>
      <c r="O2480" s="2" t="s">
        <v>4</v>
      </c>
    </row>
    <row r="2481" spans="1:15" x14ac:dyDescent="0.2">
      <c r="A2481">
        <v>98</v>
      </c>
      <c r="B2481">
        <v>6</v>
      </c>
      <c r="C2481">
        <v>10</v>
      </c>
      <c r="D2481" s="2">
        <v>3</v>
      </c>
      <c r="E2481" s="2">
        <v>2</v>
      </c>
      <c r="F2481" s="2" t="s">
        <v>5</v>
      </c>
      <c r="G2481" s="2">
        <v>496.19999999990199</v>
      </c>
      <c r="H2481" s="2" t="s">
        <v>8</v>
      </c>
      <c r="I2481" s="2">
        <v>1091490.00000002</v>
      </c>
      <c r="J2481" s="2">
        <v>1000</v>
      </c>
      <c r="K2481" s="2">
        <v>20</v>
      </c>
      <c r="L2481" s="2">
        <v>0</v>
      </c>
      <c r="M2481" s="2">
        <v>132105.57</v>
      </c>
      <c r="N2481">
        <f t="shared" si="49"/>
        <v>1224091.77000002</v>
      </c>
      <c r="O2481" s="2" t="s">
        <v>4</v>
      </c>
    </row>
    <row r="2482" spans="1:15" x14ac:dyDescent="0.2">
      <c r="A2482">
        <v>99</v>
      </c>
      <c r="B2482">
        <v>6</v>
      </c>
      <c r="C2482">
        <v>11</v>
      </c>
      <c r="D2482" s="2">
        <v>2</v>
      </c>
      <c r="E2482" s="2">
        <v>2</v>
      </c>
      <c r="F2482" s="2" t="s">
        <v>5</v>
      </c>
      <c r="G2482" s="2">
        <v>500.59999999980698</v>
      </c>
      <c r="H2482" s="2" t="s">
        <v>8</v>
      </c>
      <c r="I2482" s="2">
        <v>2540038.0000001001</v>
      </c>
      <c r="J2482" s="2">
        <v>1000</v>
      </c>
      <c r="K2482" s="2">
        <v>20</v>
      </c>
      <c r="L2482" s="2">
        <v>0</v>
      </c>
      <c r="M2482" s="2">
        <v>158167.57</v>
      </c>
      <c r="N2482">
        <f t="shared" si="49"/>
        <v>2698706.1700000996</v>
      </c>
      <c r="O2482" s="2" t="s">
        <v>4</v>
      </c>
    </row>
    <row r="2483" spans="1:15" x14ac:dyDescent="0.2">
      <c r="A2483">
        <v>70</v>
      </c>
      <c r="B2483">
        <v>6</v>
      </c>
      <c r="C2483">
        <v>6</v>
      </c>
      <c r="D2483" s="2">
        <v>3</v>
      </c>
      <c r="E2483" s="2">
        <v>2</v>
      </c>
      <c r="F2483" s="2" t="s">
        <v>5</v>
      </c>
      <c r="G2483" s="2">
        <v>916.60000000004504</v>
      </c>
      <c r="H2483" s="2" t="s">
        <v>8</v>
      </c>
      <c r="I2483" s="2">
        <v>169758.00000000201</v>
      </c>
      <c r="J2483" s="2">
        <v>2000</v>
      </c>
      <c r="K2483" s="2">
        <v>20</v>
      </c>
      <c r="L2483" s="2">
        <v>0</v>
      </c>
      <c r="M2483" s="2">
        <v>277243.96999999997</v>
      </c>
      <c r="N2483">
        <f>G2483+I2483+M2483</f>
        <v>447918.57000000204</v>
      </c>
      <c r="O2483" s="9" t="s">
        <v>4</v>
      </c>
    </row>
    <row r="2484" spans="1:15" x14ac:dyDescent="0.2">
      <c r="A2484">
        <v>71</v>
      </c>
      <c r="B2484">
        <v>6</v>
      </c>
      <c r="C2484">
        <v>7</v>
      </c>
      <c r="D2484" s="2">
        <v>2</v>
      </c>
      <c r="E2484" s="2">
        <v>2</v>
      </c>
      <c r="F2484" s="2" t="s">
        <v>5</v>
      </c>
      <c r="G2484" s="2">
        <v>840.79999999993095</v>
      </c>
      <c r="H2484" s="2" t="s">
        <v>8</v>
      </c>
      <c r="I2484" s="2">
        <v>333503.99999994802</v>
      </c>
      <c r="J2484" s="2">
        <v>2000</v>
      </c>
      <c r="K2484" s="2">
        <v>20</v>
      </c>
      <c r="L2484" s="2">
        <v>0</v>
      </c>
      <c r="M2484" s="2">
        <v>205284.37</v>
      </c>
      <c r="N2484">
        <f t="shared" ref="N2484:N2602" si="50">G2484+I2484+M2484</f>
        <v>539629.169999948</v>
      </c>
      <c r="O2484" s="9" t="s">
        <v>4</v>
      </c>
    </row>
    <row r="2485" spans="1:15" x14ac:dyDescent="0.2">
      <c r="A2485">
        <v>72</v>
      </c>
      <c r="B2485">
        <v>6</v>
      </c>
      <c r="C2485">
        <v>7</v>
      </c>
      <c r="D2485" s="2">
        <v>2</v>
      </c>
      <c r="E2485" s="2">
        <v>2</v>
      </c>
      <c r="F2485" s="2" t="s">
        <v>5</v>
      </c>
      <c r="G2485" s="2">
        <v>686.80000000043196</v>
      </c>
      <c r="H2485" s="2" t="s">
        <v>8</v>
      </c>
      <c r="I2485" s="2">
        <v>475044.99999990902</v>
      </c>
      <c r="J2485" s="2">
        <v>2000</v>
      </c>
      <c r="K2485" s="2">
        <v>20</v>
      </c>
      <c r="L2485" s="2">
        <v>0</v>
      </c>
      <c r="M2485" s="2">
        <v>232161.97</v>
      </c>
      <c r="N2485">
        <f t="shared" si="50"/>
        <v>707893.76999990945</v>
      </c>
      <c r="O2485" s="9" t="s">
        <v>5</v>
      </c>
    </row>
    <row r="2486" spans="1:15" x14ac:dyDescent="0.2">
      <c r="A2486">
        <v>73</v>
      </c>
      <c r="B2486">
        <v>6</v>
      </c>
      <c r="C2486">
        <v>7</v>
      </c>
      <c r="D2486" s="2">
        <v>3</v>
      </c>
      <c r="E2486" s="2">
        <v>2</v>
      </c>
      <c r="F2486" s="2" t="s">
        <v>5</v>
      </c>
      <c r="G2486" s="2">
        <v>696.99999999990303</v>
      </c>
      <c r="H2486" s="2" t="s">
        <v>8</v>
      </c>
      <c r="I2486" s="2">
        <v>533288.00000008405</v>
      </c>
      <c r="J2486" s="2">
        <v>2000</v>
      </c>
      <c r="K2486" s="2">
        <v>20</v>
      </c>
      <c r="L2486" s="2">
        <v>0</v>
      </c>
      <c r="M2486" s="2">
        <v>226603.57</v>
      </c>
      <c r="N2486">
        <f t="shared" si="50"/>
        <v>760588.57000008388</v>
      </c>
      <c r="O2486" s="9" t="s">
        <v>4</v>
      </c>
    </row>
    <row r="2487" spans="1:15" x14ac:dyDescent="0.2">
      <c r="A2487">
        <v>74</v>
      </c>
      <c r="B2487">
        <v>6</v>
      </c>
      <c r="C2487">
        <v>9</v>
      </c>
      <c r="D2487" s="2">
        <v>3</v>
      </c>
      <c r="E2487" s="2">
        <v>2</v>
      </c>
      <c r="F2487" s="2" t="s">
        <v>5</v>
      </c>
      <c r="G2487" s="2">
        <v>767.00000000009504</v>
      </c>
      <c r="H2487" s="2" t="s">
        <v>8</v>
      </c>
      <c r="I2487" s="2">
        <v>792881.99999996298</v>
      </c>
      <c r="J2487" s="2">
        <v>2000</v>
      </c>
      <c r="K2487" s="2">
        <v>20</v>
      </c>
      <c r="L2487" s="2">
        <v>0</v>
      </c>
      <c r="M2487" s="2">
        <v>191561.97</v>
      </c>
      <c r="N2487">
        <f t="shared" si="50"/>
        <v>985210.96999996307</v>
      </c>
      <c r="O2487" s="9" t="s">
        <v>4</v>
      </c>
    </row>
    <row r="2488" spans="1:15" x14ac:dyDescent="0.2">
      <c r="A2488">
        <v>75</v>
      </c>
      <c r="B2488">
        <v>6</v>
      </c>
      <c r="C2488">
        <v>7</v>
      </c>
      <c r="D2488" s="2">
        <v>3</v>
      </c>
      <c r="E2488" s="2">
        <v>2</v>
      </c>
      <c r="F2488" s="2" t="s">
        <v>5</v>
      </c>
      <c r="G2488" s="2">
        <v>442.80000000007601</v>
      </c>
      <c r="H2488" s="2" t="s">
        <v>8</v>
      </c>
      <c r="I2488" s="2">
        <v>267370.99999991199</v>
      </c>
      <c r="J2488" s="2">
        <v>2000</v>
      </c>
      <c r="K2488" s="2">
        <v>20</v>
      </c>
      <c r="L2488" s="2">
        <v>0</v>
      </c>
      <c r="M2488" s="2">
        <v>208243.17</v>
      </c>
      <c r="N2488">
        <f t="shared" si="50"/>
        <v>476056.96999991208</v>
      </c>
      <c r="O2488" s="9" t="s">
        <v>4</v>
      </c>
    </row>
    <row r="2489" spans="1:15" x14ac:dyDescent="0.2">
      <c r="A2489">
        <v>76</v>
      </c>
      <c r="B2489">
        <v>6</v>
      </c>
      <c r="C2489">
        <v>8</v>
      </c>
      <c r="D2489" s="2">
        <v>3</v>
      </c>
      <c r="E2489" s="2">
        <v>2</v>
      </c>
      <c r="F2489" s="2" t="s">
        <v>5</v>
      </c>
      <c r="G2489" s="2">
        <v>657.20000000020195</v>
      </c>
      <c r="H2489" s="2" t="s">
        <v>8</v>
      </c>
      <c r="I2489" s="2">
        <v>367324.99999993702</v>
      </c>
      <c r="J2489" s="2">
        <v>2000</v>
      </c>
      <c r="K2489" s="2">
        <v>20</v>
      </c>
      <c r="L2489" s="2">
        <v>0</v>
      </c>
      <c r="M2489" s="2">
        <v>183682.77</v>
      </c>
      <c r="N2489">
        <f t="shared" si="50"/>
        <v>551664.96999993722</v>
      </c>
      <c r="O2489" s="9" t="s">
        <v>4</v>
      </c>
    </row>
    <row r="2490" spans="1:15" x14ac:dyDescent="0.2">
      <c r="A2490">
        <v>77</v>
      </c>
      <c r="B2490">
        <v>6</v>
      </c>
      <c r="C2490">
        <v>8</v>
      </c>
      <c r="D2490" s="2">
        <v>3</v>
      </c>
      <c r="E2490" s="2">
        <v>2</v>
      </c>
      <c r="F2490" s="2" t="s">
        <v>5</v>
      </c>
      <c r="G2490" s="2">
        <v>517.59999999951799</v>
      </c>
      <c r="H2490" s="2" t="s">
        <v>8</v>
      </c>
      <c r="I2490" s="2">
        <v>424015.00000005402</v>
      </c>
      <c r="J2490" s="2">
        <v>2000</v>
      </c>
      <c r="K2490" s="2">
        <v>20</v>
      </c>
      <c r="L2490" s="2">
        <v>0</v>
      </c>
      <c r="M2490" s="2">
        <v>234243.17</v>
      </c>
      <c r="N2490">
        <f t="shared" si="50"/>
        <v>658775.77000005357</v>
      </c>
      <c r="O2490" s="9" t="s">
        <v>4</v>
      </c>
    </row>
    <row r="2491" spans="1:15" x14ac:dyDescent="0.2">
      <c r="A2491">
        <v>78</v>
      </c>
      <c r="B2491">
        <v>6</v>
      </c>
      <c r="C2491">
        <v>8</v>
      </c>
      <c r="D2491" s="2">
        <v>3</v>
      </c>
      <c r="E2491" s="2">
        <v>2</v>
      </c>
      <c r="F2491" s="2" t="s">
        <v>5</v>
      </c>
      <c r="G2491" s="2">
        <v>411.19999999992302</v>
      </c>
      <c r="H2491" s="2" t="s">
        <v>8</v>
      </c>
      <c r="I2491" s="2">
        <v>421569.00000008999</v>
      </c>
      <c r="J2491" s="2">
        <v>2000</v>
      </c>
      <c r="K2491" s="2">
        <v>20</v>
      </c>
      <c r="L2491" s="2">
        <v>0</v>
      </c>
      <c r="M2491" s="2">
        <v>236523.57</v>
      </c>
      <c r="N2491">
        <f t="shared" si="50"/>
        <v>658503.77000008989</v>
      </c>
      <c r="O2491" s="9" t="s">
        <v>4</v>
      </c>
    </row>
    <row r="2492" spans="1:15" x14ac:dyDescent="0.2">
      <c r="A2492">
        <v>79</v>
      </c>
      <c r="B2492">
        <v>6</v>
      </c>
      <c r="C2492">
        <v>8</v>
      </c>
      <c r="D2492" s="2">
        <v>3</v>
      </c>
      <c r="E2492" s="2">
        <v>2</v>
      </c>
      <c r="F2492" s="2" t="s">
        <v>5</v>
      </c>
      <c r="G2492" s="2">
        <v>394.20000000021099</v>
      </c>
      <c r="H2492" s="2" t="s">
        <v>8</v>
      </c>
      <c r="I2492" s="2">
        <v>507382.00000000698</v>
      </c>
      <c r="J2492" s="2">
        <v>2000</v>
      </c>
      <c r="K2492" s="2">
        <v>20</v>
      </c>
      <c r="L2492" s="2">
        <v>0</v>
      </c>
      <c r="M2492" s="2">
        <v>206763.57</v>
      </c>
      <c r="N2492">
        <f t="shared" si="50"/>
        <v>714539.77000000724</v>
      </c>
      <c r="O2492" s="9" t="s">
        <v>4</v>
      </c>
    </row>
    <row r="2493" spans="1:15" x14ac:dyDescent="0.2">
      <c r="A2493">
        <v>80</v>
      </c>
      <c r="B2493">
        <v>6</v>
      </c>
      <c r="C2493">
        <v>7</v>
      </c>
      <c r="D2493" s="2">
        <v>3</v>
      </c>
      <c r="E2493" s="2">
        <v>2</v>
      </c>
      <c r="F2493" s="2" t="s">
        <v>5</v>
      </c>
      <c r="G2493" s="2">
        <v>306.60000000004601</v>
      </c>
      <c r="H2493" s="2" t="s">
        <v>8</v>
      </c>
      <c r="I2493" s="2">
        <v>217282.00000006799</v>
      </c>
      <c r="J2493" s="2">
        <v>2000</v>
      </c>
      <c r="K2493" s="2">
        <v>20</v>
      </c>
      <c r="L2493" s="2">
        <v>0</v>
      </c>
      <c r="M2493" s="2">
        <v>233043.17</v>
      </c>
      <c r="N2493">
        <f t="shared" si="50"/>
        <v>450631.77000006801</v>
      </c>
      <c r="O2493" s="9" t="s">
        <v>4</v>
      </c>
    </row>
    <row r="2494" spans="1:15" x14ac:dyDescent="0.2">
      <c r="A2494">
        <v>81</v>
      </c>
      <c r="B2494">
        <v>6</v>
      </c>
      <c r="C2494">
        <v>8</v>
      </c>
      <c r="D2494" s="2">
        <v>3</v>
      </c>
      <c r="E2494" s="2">
        <v>2</v>
      </c>
      <c r="F2494" s="2" t="s">
        <v>5</v>
      </c>
      <c r="G2494" s="2">
        <v>372.600000000389</v>
      </c>
      <c r="H2494" s="2" t="s">
        <v>8</v>
      </c>
      <c r="I2494" s="2">
        <v>572054.99999986403</v>
      </c>
      <c r="J2494" s="2">
        <v>2000</v>
      </c>
      <c r="K2494" s="2">
        <v>20</v>
      </c>
      <c r="L2494" s="2">
        <v>0</v>
      </c>
      <c r="M2494" s="2">
        <v>204082.77</v>
      </c>
      <c r="N2494">
        <f t="shared" si="50"/>
        <v>776510.36999986449</v>
      </c>
      <c r="O2494" s="9" t="s">
        <v>4</v>
      </c>
    </row>
    <row r="2495" spans="1:15" x14ac:dyDescent="0.2">
      <c r="A2495">
        <v>82</v>
      </c>
      <c r="B2495">
        <v>6</v>
      </c>
      <c r="C2495">
        <v>8</v>
      </c>
      <c r="D2495" s="2">
        <v>2</v>
      </c>
      <c r="E2495" s="2">
        <v>2</v>
      </c>
      <c r="F2495" s="2" t="s">
        <v>5</v>
      </c>
      <c r="G2495" s="2">
        <v>377.99999999990098</v>
      </c>
      <c r="H2495" s="2" t="s">
        <v>8</v>
      </c>
      <c r="I2495" s="2">
        <v>449708.99999998399</v>
      </c>
      <c r="J2495" s="2">
        <v>2000</v>
      </c>
      <c r="K2495" s="2">
        <v>20</v>
      </c>
      <c r="L2495" s="2">
        <v>0</v>
      </c>
      <c r="M2495" s="2">
        <v>232443.17</v>
      </c>
      <c r="N2495">
        <f t="shared" si="50"/>
        <v>682530.16999998386</v>
      </c>
      <c r="O2495" s="9" t="s">
        <v>5</v>
      </c>
    </row>
    <row r="2496" spans="1:15" x14ac:dyDescent="0.2">
      <c r="A2496">
        <v>83</v>
      </c>
      <c r="B2496">
        <v>6</v>
      </c>
      <c r="C2496">
        <v>9</v>
      </c>
      <c r="D2496" s="2">
        <v>2</v>
      </c>
      <c r="E2496" s="2">
        <v>2</v>
      </c>
      <c r="F2496" s="2" t="s">
        <v>5</v>
      </c>
      <c r="G2496" s="2">
        <v>451.20000000018501</v>
      </c>
      <c r="H2496" s="2" t="s">
        <v>8</v>
      </c>
      <c r="I2496" s="2">
        <v>1278454.00000001</v>
      </c>
      <c r="J2496" s="2">
        <v>2000</v>
      </c>
      <c r="K2496" s="2">
        <v>20</v>
      </c>
      <c r="L2496" s="2">
        <v>0</v>
      </c>
      <c r="M2496" s="2">
        <v>242723.17</v>
      </c>
      <c r="N2496">
        <f t="shared" si="50"/>
        <v>1521628.3700000101</v>
      </c>
      <c r="O2496" s="9" t="s">
        <v>4</v>
      </c>
    </row>
    <row r="2497" spans="1:15" x14ac:dyDescent="0.2">
      <c r="A2497">
        <v>84</v>
      </c>
      <c r="B2497">
        <v>6</v>
      </c>
      <c r="C2497">
        <v>10</v>
      </c>
      <c r="D2497" s="2">
        <v>2</v>
      </c>
      <c r="E2497" s="2">
        <v>2</v>
      </c>
      <c r="F2497" s="2" t="s">
        <v>5</v>
      </c>
      <c r="G2497" s="2">
        <v>503.80000000060897</v>
      </c>
      <c r="H2497" s="2" t="s">
        <v>8</v>
      </c>
      <c r="I2497" s="2">
        <v>4835274.0000000298</v>
      </c>
      <c r="J2497" s="2">
        <v>2000</v>
      </c>
      <c r="K2497" s="2">
        <v>20</v>
      </c>
      <c r="L2497" s="2">
        <v>0</v>
      </c>
      <c r="M2497" s="2">
        <v>219563.97</v>
      </c>
      <c r="N2497">
        <f t="shared" si="50"/>
        <v>5055341.7700000303</v>
      </c>
      <c r="O2497" s="9" t="s">
        <v>4</v>
      </c>
    </row>
    <row r="2498" spans="1:15" x14ac:dyDescent="0.2">
      <c r="A2498">
        <v>85</v>
      </c>
      <c r="B2498">
        <v>6</v>
      </c>
      <c r="C2498">
        <v>8</v>
      </c>
      <c r="D2498" s="2">
        <v>2</v>
      </c>
      <c r="E2498" s="2">
        <v>2</v>
      </c>
      <c r="F2498" s="2" t="s">
        <v>5</v>
      </c>
      <c r="G2498" s="2">
        <v>348.000000000326</v>
      </c>
      <c r="H2498" s="2" t="s">
        <v>8</v>
      </c>
      <c r="I2498" s="2">
        <v>562017.99999985297</v>
      </c>
      <c r="J2498" s="2">
        <v>2000</v>
      </c>
      <c r="K2498" s="2">
        <v>20</v>
      </c>
      <c r="L2498" s="2">
        <v>0</v>
      </c>
      <c r="M2498" s="2">
        <v>192443.97</v>
      </c>
      <c r="N2498">
        <f t="shared" si="50"/>
        <v>754809.96999985329</v>
      </c>
      <c r="O2498" s="9" t="s">
        <v>4</v>
      </c>
    </row>
    <row r="2499" spans="1:15" x14ac:dyDescent="0.2">
      <c r="A2499">
        <v>86</v>
      </c>
      <c r="B2499">
        <v>6</v>
      </c>
      <c r="C2499">
        <v>10</v>
      </c>
      <c r="D2499" s="2">
        <v>3</v>
      </c>
      <c r="E2499" s="2">
        <v>2</v>
      </c>
      <c r="F2499" s="2" t="s">
        <v>5</v>
      </c>
      <c r="G2499" s="2">
        <v>468.00000000004599</v>
      </c>
      <c r="H2499" s="2" t="s">
        <v>8</v>
      </c>
      <c r="I2499" s="2">
        <v>2626483.9999998901</v>
      </c>
      <c r="J2499" s="2">
        <v>2000</v>
      </c>
      <c r="K2499" s="2">
        <v>20</v>
      </c>
      <c r="L2499" s="2">
        <v>0</v>
      </c>
      <c r="M2499" s="2">
        <v>295765.96999999997</v>
      </c>
      <c r="N2499">
        <f t="shared" si="50"/>
        <v>2922717.9699998898</v>
      </c>
      <c r="O2499" s="9" t="s">
        <v>4</v>
      </c>
    </row>
    <row r="2500" spans="1:15" x14ac:dyDescent="0.2">
      <c r="A2500">
        <v>87</v>
      </c>
      <c r="B2500">
        <v>6</v>
      </c>
      <c r="C2500">
        <v>10</v>
      </c>
      <c r="D2500" s="2">
        <v>2</v>
      </c>
      <c r="E2500" s="2">
        <v>2</v>
      </c>
      <c r="F2500" s="2" t="s">
        <v>5</v>
      </c>
      <c r="G2500" s="2">
        <v>451.39999999968001</v>
      </c>
      <c r="H2500" s="2" t="s">
        <v>8</v>
      </c>
      <c r="I2500" s="2">
        <v>2008806.0000000501</v>
      </c>
      <c r="J2500" s="2">
        <v>2000</v>
      </c>
      <c r="K2500" s="2">
        <v>20</v>
      </c>
      <c r="L2500" s="2">
        <v>0</v>
      </c>
      <c r="M2500" s="2">
        <v>309243.17</v>
      </c>
      <c r="N2500">
        <f t="shared" si="50"/>
        <v>2318500.5700000497</v>
      </c>
      <c r="O2500" s="9" t="s">
        <v>4</v>
      </c>
    </row>
    <row r="2501" spans="1:15" x14ac:dyDescent="0.2">
      <c r="A2501">
        <v>88</v>
      </c>
      <c r="B2501">
        <v>6</v>
      </c>
      <c r="C2501">
        <v>10</v>
      </c>
      <c r="D2501" s="2">
        <v>3</v>
      </c>
      <c r="E2501" s="2">
        <v>2</v>
      </c>
      <c r="F2501" s="2" t="s">
        <v>5</v>
      </c>
      <c r="G2501" s="2">
        <v>490.20000000048498</v>
      </c>
      <c r="H2501" s="2" t="s">
        <v>8</v>
      </c>
      <c r="I2501" s="2">
        <v>1234313.00000016</v>
      </c>
      <c r="J2501" s="2">
        <v>2000</v>
      </c>
      <c r="K2501" s="2">
        <v>20</v>
      </c>
      <c r="L2501" s="2">
        <v>0</v>
      </c>
      <c r="M2501" s="2">
        <v>307643.17</v>
      </c>
      <c r="N2501">
        <f t="shared" si="50"/>
        <v>1542446.3700001603</v>
      </c>
      <c r="O2501" s="9" t="s">
        <v>4</v>
      </c>
    </row>
    <row r="2502" spans="1:15" x14ac:dyDescent="0.2">
      <c r="A2502">
        <v>89</v>
      </c>
      <c r="B2502">
        <v>6</v>
      </c>
      <c r="C2502">
        <v>7</v>
      </c>
      <c r="D2502" s="2">
        <v>3</v>
      </c>
      <c r="E2502" s="2">
        <v>2</v>
      </c>
      <c r="F2502" s="2" t="s">
        <v>5</v>
      </c>
      <c r="G2502" s="2">
        <v>266.39999999993302</v>
      </c>
      <c r="H2502" s="2" t="s">
        <v>8</v>
      </c>
      <c r="I2502" s="2">
        <v>414899.999999989</v>
      </c>
      <c r="J2502" s="2">
        <v>2000</v>
      </c>
      <c r="K2502" s="2">
        <v>20</v>
      </c>
      <c r="L2502" s="2">
        <v>0</v>
      </c>
      <c r="M2502" s="2">
        <v>202282.37</v>
      </c>
      <c r="N2502">
        <f t="shared" si="50"/>
        <v>617448.76999998884</v>
      </c>
      <c r="O2502" s="9" t="s">
        <v>5</v>
      </c>
    </row>
    <row r="2503" spans="1:15" x14ac:dyDescent="0.2">
      <c r="A2503">
        <v>90</v>
      </c>
      <c r="B2503">
        <v>6</v>
      </c>
      <c r="C2503">
        <v>8</v>
      </c>
      <c r="D2503" s="2">
        <v>2</v>
      </c>
      <c r="E2503" s="2">
        <v>2</v>
      </c>
      <c r="F2503" s="2" t="s">
        <v>5</v>
      </c>
      <c r="G2503" s="2">
        <v>335.79999999986399</v>
      </c>
      <c r="H2503" s="2" t="s">
        <v>8</v>
      </c>
      <c r="I2503" s="2">
        <v>636770.00000006997</v>
      </c>
      <c r="J2503" s="2">
        <v>2000</v>
      </c>
      <c r="K2503" s="2">
        <v>20</v>
      </c>
      <c r="L2503" s="2">
        <v>0</v>
      </c>
      <c r="M2503" s="2">
        <v>231243.57</v>
      </c>
      <c r="N2503">
        <f t="shared" si="50"/>
        <v>868349.37000006973</v>
      </c>
      <c r="O2503" s="9" t="s">
        <v>4</v>
      </c>
    </row>
    <row r="2504" spans="1:15" x14ac:dyDescent="0.2">
      <c r="A2504">
        <v>91</v>
      </c>
      <c r="B2504">
        <v>6</v>
      </c>
      <c r="C2504">
        <v>8</v>
      </c>
      <c r="D2504" s="2">
        <v>3</v>
      </c>
      <c r="E2504" s="2">
        <v>2</v>
      </c>
      <c r="F2504" s="2" t="s">
        <v>5</v>
      </c>
      <c r="G2504" s="2">
        <v>335.59999999930301</v>
      </c>
      <c r="H2504" s="2" t="s">
        <v>8</v>
      </c>
      <c r="I2504" s="2">
        <v>411151.00000001799</v>
      </c>
      <c r="J2504" s="2">
        <v>2000</v>
      </c>
      <c r="K2504" s="2">
        <v>20</v>
      </c>
      <c r="L2504" s="2">
        <v>0</v>
      </c>
      <c r="M2504" s="2">
        <v>237203.97</v>
      </c>
      <c r="N2504">
        <f t="shared" si="50"/>
        <v>648690.57000001729</v>
      </c>
      <c r="O2504" s="9" t="s">
        <v>4</v>
      </c>
    </row>
    <row r="2505" spans="1:15" x14ac:dyDescent="0.2">
      <c r="A2505">
        <v>92</v>
      </c>
      <c r="B2505">
        <v>6</v>
      </c>
      <c r="C2505">
        <v>8</v>
      </c>
      <c r="D2505" s="2">
        <v>3</v>
      </c>
      <c r="E2505" s="2">
        <v>2</v>
      </c>
      <c r="F2505" s="2" t="s">
        <v>5</v>
      </c>
      <c r="G2505" s="2">
        <v>306.40000000019501</v>
      </c>
      <c r="H2505" s="2" t="s">
        <v>8</v>
      </c>
      <c r="I2505" s="2">
        <v>326122.99999982503</v>
      </c>
      <c r="J2505" s="2">
        <v>2000</v>
      </c>
      <c r="K2505" s="2">
        <v>20</v>
      </c>
      <c r="L2505" s="2">
        <v>0</v>
      </c>
      <c r="M2505" s="2">
        <v>237203.97</v>
      </c>
      <c r="N2505">
        <f t="shared" si="50"/>
        <v>563633.36999982526</v>
      </c>
      <c r="O2505" s="9" t="s">
        <v>4</v>
      </c>
    </row>
    <row r="2506" spans="1:15" x14ac:dyDescent="0.2">
      <c r="A2506">
        <v>93</v>
      </c>
      <c r="B2506">
        <v>6</v>
      </c>
      <c r="C2506">
        <v>11</v>
      </c>
      <c r="D2506" s="2">
        <v>3</v>
      </c>
      <c r="E2506" s="2">
        <v>2</v>
      </c>
      <c r="F2506" s="2" t="s">
        <v>5</v>
      </c>
      <c r="G2506" s="2">
        <v>515.79999999979998</v>
      </c>
      <c r="H2506" s="2" t="s">
        <v>8</v>
      </c>
      <c r="I2506" s="2">
        <v>2579271.9999999502</v>
      </c>
      <c r="J2506" s="2">
        <v>2000</v>
      </c>
      <c r="K2506" s="2">
        <v>20</v>
      </c>
      <c r="L2506" s="2">
        <v>0</v>
      </c>
      <c r="M2506" s="2">
        <v>288524.37</v>
      </c>
      <c r="N2506">
        <f t="shared" si="50"/>
        <v>2868312.1699999501</v>
      </c>
      <c r="O2506" s="9" t="s">
        <v>4</v>
      </c>
    </row>
    <row r="2507" spans="1:15" x14ac:dyDescent="0.2">
      <c r="A2507">
        <v>94</v>
      </c>
      <c r="B2507">
        <v>6</v>
      </c>
      <c r="C2507">
        <v>10</v>
      </c>
      <c r="D2507" s="2">
        <v>2</v>
      </c>
      <c r="E2507" s="2">
        <v>2</v>
      </c>
      <c r="F2507" s="2" t="s">
        <v>5</v>
      </c>
      <c r="G2507" s="2">
        <v>446.600000000075</v>
      </c>
      <c r="H2507" s="2" t="s">
        <v>8</v>
      </c>
      <c r="I2507" s="2">
        <v>2002005.9999999399</v>
      </c>
      <c r="J2507" s="2">
        <v>2000</v>
      </c>
      <c r="K2507" s="2">
        <v>20</v>
      </c>
      <c r="L2507" s="2">
        <v>0</v>
      </c>
      <c r="M2507" s="2">
        <v>227885.97</v>
      </c>
      <c r="N2507">
        <f t="shared" si="50"/>
        <v>2230338.5699999402</v>
      </c>
      <c r="O2507" s="9" t="s">
        <v>4</v>
      </c>
    </row>
    <row r="2508" spans="1:15" x14ac:dyDescent="0.2">
      <c r="A2508">
        <v>95</v>
      </c>
      <c r="B2508">
        <v>6</v>
      </c>
      <c r="C2508">
        <v>12</v>
      </c>
      <c r="D2508" s="2">
        <v>2</v>
      </c>
      <c r="E2508" s="2">
        <v>2</v>
      </c>
      <c r="F2508" s="2" t="s">
        <v>5</v>
      </c>
      <c r="G2508" s="2">
        <v>605.60000000045</v>
      </c>
      <c r="H2508" s="2" t="s">
        <v>8</v>
      </c>
      <c r="I2508" s="2">
        <v>5219995.0000001499</v>
      </c>
      <c r="J2508" s="2">
        <v>2000</v>
      </c>
      <c r="K2508" s="2">
        <v>20</v>
      </c>
      <c r="L2508" s="2">
        <v>0</v>
      </c>
      <c r="M2508" s="2">
        <v>256482.77</v>
      </c>
      <c r="N2508">
        <f t="shared" si="50"/>
        <v>5477083.3700001501</v>
      </c>
      <c r="O2508" s="9" t="s">
        <v>4</v>
      </c>
    </row>
    <row r="2509" spans="1:15" x14ac:dyDescent="0.2">
      <c r="A2509">
        <v>96</v>
      </c>
      <c r="B2509">
        <v>6</v>
      </c>
      <c r="C2509">
        <v>8</v>
      </c>
      <c r="D2509" s="2">
        <v>3</v>
      </c>
      <c r="E2509" s="2">
        <v>2</v>
      </c>
      <c r="F2509" s="2" t="s">
        <v>5</v>
      </c>
      <c r="G2509" s="2">
        <v>301.39999999967398</v>
      </c>
      <c r="H2509" s="2" t="s">
        <v>8</v>
      </c>
      <c r="I2509" s="2">
        <v>538624.00000002701</v>
      </c>
      <c r="J2509" s="2">
        <v>2000</v>
      </c>
      <c r="K2509" s="2">
        <v>20</v>
      </c>
      <c r="L2509" s="2">
        <v>0</v>
      </c>
      <c r="M2509" s="2">
        <v>234603.17</v>
      </c>
      <c r="N2509">
        <f t="shared" si="50"/>
        <v>773528.57000002672</v>
      </c>
      <c r="O2509" s="9" t="s">
        <v>4</v>
      </c>
    </row>
    <row r="2510" spans="1:15" x14ac:dyDescent="0.2">
      <c r="A2510">
        <v>97</v>
      </c>
      <c r="B2510">
        <v>6</v>
      </c>
      <c r="C2510">
        <v>9</v>
      </c>
      <c r="D2510" s="2">
        <v>3</v>
      </c>
      <c r="E2510" s="2">
        <v>2</v>
      </c>
      <c r="F2510" s="2" t="s">
        <v>5</v>
      </c>
      <c r="G2510" s="2">
        <v>374.59999999995802</v>
      </c>
      <c r="H2510" s="2" t="s">
        <v>8</v>
      </c>
      <c r="I2510" s="2">
        <v>698046.99999985995</v>
      </c>
      <c r="J2510" s="2">
        <v>2000</v>
      </c>
      <c r="K2510" s="2">
        <v>20</v>
      </c>
      <c r="L2510" s="2">
        <v>0</v>
      </c>
      <c r="M2510" s="2">
        <v>240482.77</v>
      </c>
      <c r="N2510">
        <f t="shared" si="50"/>
        <v>938904.36999985995</v>
      </c>
      <c r="O2510" s="9" t="s">
        <v>4</v>
      </c>
    </row>
    <row r="2511" spans="1:15" x14ac:dyDescent="0.2">
      <c r="A2511">
        <v>98</v>
      </c>
      <c r="B2511">
        <v>6</v>
      </c>
      <c r="C2511">
        <v>10</v>
      </c>
      <c r="D2511" s="2">
        <v>3</v>
      </c>
      <c r="E2511" s="2">
        <v>2</v>
      </c>
      <c r="F2511" s="2" t="s">
        <v>5</v>
      </c>
      <c r="G2511" s="2">
        <v>496.19999999990199</v>
      </c>
      <c r="H2511" s="2" t="s">
        <v>8</v>
      </c>
      <c r="I2511" s="2">
        <v>1091490.00000002</v>
      </c>
      <c r="J2511" s="2">
        <v>2000</v>
      </c>
      <c r="K2511" s="2">
        <v>20</v>
      </c>
      <c r="L2511" s="2">
        <v>0</v>
      </c>
      <c r="M2511" s="2">
        <v>248284.77</v>
      </c>
      <c r="N2511">
        <f t="shared" si="50"/>
        <v>1340270.97000002</v>
      </c>
      <c r="O2511" s="9" t="s">
        <v>4</v>
      </c>
    </row>
    <row r="2512" spans="1:15" x14ac:dyDescent="0.2">
      <c r="A2512">
        <v>99</v>
      </c>
      <c r="B2512">
        <v>6</v>
      </c>
      <c r="C2512">
        <v>11</v>
      </c>
      <c r="D2512" s="2">
        <v>2</v>
      </c>
      <c r="E2512" s="2">
        <v>2</v>
      </c>
      <c r="F2512" s="2" t="s">
        <v>5</v>
      </c>
      <c r="G2512" s="2">
        <v>500.59999999980698</v>
      </c>
      <c r="H2512" s="2" t="s">
        <v>8</v>
      </c>
      <c r="I2512" s="2">
        <v>2540038.0000001001</v>
      </c>
      <c r="J2512" s="2">
        <v>2000</v>
      </c>
      <c r="K2512" s="2">
        <v>20</v>
      </c>
      <c r="L2512" s="2">
        <v>0</v>
      </c>
      <c r="M2512" s="2">
        <v>300404.77</v>
      </c>
      <c r="N2512">
        <f t="shared" si="50"/>
        <v>2840943.3700000998</v>
      </c>
      <c r="O2512" s="9" t="s">
        <v>4</v>
      </c>
    </row>
    <row r="2513" spans="1:15" x14ac:dyDescent="0.2">
      <c r="A2513">
        <v>70</v>
      </c>
      <c r="B2513">
        <v>6</v>
      </c>
      <c r="C2513">
        <v>6</v>
      </c>
      <c r="D2513" s="2">
        <v>3</v>
      </c>
      <c r="E2513" s="2">
        <v>2</v>
      </c>
      <c r="F2513" s="2" t="s">
        <v>5</v>
      </c>
      <c r="G2513" s="2">
        <v>916.60000000004504</v>
      </c>
      <c r="H2513" s="2" t="s">
        <v>8</v>
      </c>
      <c r="I2513" s="2">
        <v>169758.00000000201</v>
      </c>
      <c r="J2513" s="2">
        <v>3000</v>
      </c>
      <c r="K2513" s="2">
        <v>20</v>
      </c>
      <c r="L2513" s="2">
        <v>0</v>
      </c>
      <c r="M2513" s="2">
        <v>407907.97</v>
      </c>
      <c r="N2513">
        <f>G2513+I2513+M2513</f>
        <v>578582.57000000204</v>
      </c>
      <c r="O2513" s="2" t="s">
        <v>5</v>
      </c>
    </row>
    <row r="2514" spans="1:15" x14ac:dyDescent="0.2">
      <c r="A2514">
        <v>71</v>
      </c>
      <c r="B2514">
        <v>6</v>
      </c>
      <c r="C2514">
        <v>7</v>
      </c>
      <c r="D2514" s="2">
        <v>2</v>
      </c>
      <c r="E2514" s="2">
        <v>2</v>
      </c>
      <c r="F2514" s="2" t="s">
        <v>5</v>
      </c>
      <c r="G2514" s="2">
        <v>840.79999999993095</v>
      </c>
      <c r="H2514" s="2" t="s">
        <v>8</v>
      </c>
      <c r="I2514" s="2">
        <v>333503.99999994802</v>
      </c>
      <c r="J2514" s="2">
        <v>3000</v>
      </c>
      <c r="K2514" s="2">
        <v>20</v>
      </c>
      <c r="L2514" s="2">
        <v>0</v>
      </c>
      <c r="M2514" s="2">
        <v>299968.77</v>
      </c>
      <c r="N2514">
        <f t="shared" ref="N2514:N2542" si="51">G2514+I2514+M2514</f>
        <v>634313.56999994791</v>
      </c>
      <c r="O2514" s="2" t="s">
        <v>5</v>
      </c>
    </row>
    <row r="2515" spans="1:15" x14ac:dyDescent="0.2">
      <c r="A2515">
        <v>72</v>
      </c>
      <c r="B2515">
        <v>6</v>
      </c>
      <c r="C2515">
        <v>7</v>
      </c>
      <c r="D2515" s="2">
        <v>2</v>
      </c>
      <c r="E2515" s="2">
        <v>2</v>
      </c>
      <c r="F2515" s="2" t="s">
        <v>5</v>
      </c>
      <c r="G2515" s="2">
        <v>686.80000000043196</v>
      </c>
      <c r="H2515" s="2" t="s">
        <v>8</v>
      </c>
      <c r="I2515" s="2">
        <v>475044.99999990902</v>
      </c>
      <c r="J2515" s="2">
        <v>3000</v>
      </c>
      <c r="K2515" s="2">
        <v>20</v>
      </c>
      <c r="L2515" s="2">
        <v>0</v>
      </c>
      <c r="M2515" s="2">
        <v>340286.37</v>
      </c>
      <c r="N2515">
        <f t="shared" si="51"/>
        <v>816018.16999990947</v>
      </c>
      <c r="O2515" s="2" t="s">
        <v>5</v>
      </c>
    </row>
    <row r="2516" spans="1:15" x14ac:dyDescent="0.2">
      <c r="A2516">
        <v>73</v>
      </c>
      <c r="B2516">
        <v>6</v>
      </c>
      <c r="C2516">
        <v>7</v>
      </c>
      <c r="D2516" s="2">
        <v>3</v>
      </c>
      <c r="E2516" s="2">
        <v>2</v>
      </c>
      <c r="F2516" s="2" t="s">
        <v>5</v>
      </c>
      <c r="G2516" s="2">
        <v>696.99999999990303</v>
      </c>
      <c r="H2516" s="2" t="s">
        <v>8</v>
      </c>
      <c r="I2516" s="2">
        <v>533288.00000008405</v>
      </c>
      <c r="J2516" s="2">
        <v>3000</v>
      </c>
      <c r="K2516" s="2">
        <v>20</v>
      </c>
      <c r="L2516" s="2">
        <v>0</v>
      </c>
      <c r="M2516" s="2">
        <v>331947.57</v>
      </c>
      <c r="N2516">
        <f t="shared" si="51"/>
        <v>865932.57000008388</v>
      </c>
      <c r="O2516" s="2" t="s">
        <v>4</v>
      </c>
    </row>
    <row r="2517" spans="1:15" x14ac:dyDescent="0.2">
      <c r="A2517">
        <v>74</v>
      </c>
      <c r="B2517">
        <v>6</v>
      </c>
      <c r="C2517">
        <v>9</v>
      </c>
      <c r="D2517" s="2">
        <v>3</v>
      </c>
      <c r="E2517" s="2">
        <v>2</v>
      </c>
      <c r="F2517" s="2" t="s">
        <v>5</v>
      </c>
      <c r="G2517" s="2">
        <v>767.00000000009504</v>
      </c>
      <c r="H2517" s="2" t="s">
        <v>8</v>
      </c>
      <c r="I2517" s="2">
        <v>792881.99999996298</v>
      </c>
      <c r="J2517" s="2">
        <v>3000</v>
      </c>
      <c r="K2517" s="2">
        <v>20</v>
      </c>
      <c r="L2517" s="2">
        <v>0</v>
      </c>
      <c r="M2517" s="2">
        <v>279385.96999999997</v>
      </c>
      <c r="N2517">
        <f t="shared" si="51"/>
        <v>1073034.969999963</v>
      </c>
      <c r="O2517" s="2" t="s">
        <v>4</v>
      </c>
    </row>
    <row r="2518" spans="1:15" x14ac:dyDescent="0.2">
      <c r="A2518">
        <v>75</v>
      </c>
      <c r="B2518">
        <v>6</v>
      </c>
      <c r="C2518">
        <v>7</v>
      </c>
      <c r="D2518" s="2">
        <v>3</v>
      </c>
      <c r="E2518" s="2">
        <v>2</v>
      </c>
      <c r="F2518" s="2" t="s">
        <v>5</v>
      </c>
      <c r="G2518" s="2">
        <v>442.80000000007601</v>
      </c>
      <c r="H2518" s="2" t="s">
        <v>8</v>
      </c>
      <c r="I2518" s="2">
        <v>267370.99999991199</v>
      </c>
      <c r="J2518" s="2">
        <v>3000</v>
      </c>
      <c r="K2518" s="2">
        <v>20</v>
      </c>
      <c r="L2518" s="2">
        <v>0</v>
      </c>
      <c r="M2518" s="2">
        <v>304407.17</v>
      </c>
      <c r="N2518">
        <f t="shared" si="51"/>
        <v>572220.96999991208</v>
      </c>
      <c r="O2518" s="2" t="s">
        <v>4</v>
      </c>
    </row>
    <row r="2519" spans="1:15" x14ac:dyDescent="0.2">
      <c r="A2519">
        <v>76</v>
      </c>
      <c r="B2519">
        <v>6</v>
      </c>
      <c r="C2519">
        <v>8</v>
      </c>
      <c r="D2519" s="2">
        <v>3</v>
      </c>
      <c r="E2519" s="2">
        <v>2</v>
      </c>
      <c r="F2519" s="2" t="s">
        <v>5</v>
      </c>
      <c r="G2519" s="2">
        <v>657.20000000020195</v>
      </c>
      <c r="H2519" s="2" t="s">
        <v>8</v>
      </c>
      <c r="I2519" s="2">
        <v>367324.99999993702</v>
      </c>
      <c r="J2519" s="2">
        <v>3000</v>
      </c>
      <c r="K2519" s="2">
        <v>20</v>
      </c>
      <c r="L2519" s="2">
        <v>0</v>
      </c>
      <c r="M2519" s="2">
        <v>267567.17</v>
      </c>
      <c r="N2519">
        <f t="shared" si="51"/>
        <v>635549.36999993725</v>
      </c>
      <c r="O2519" s="2" t="s">
        <v>5</v>
      </c>
    </row>
    <row r="2520" spans="1:15" x14ac:dyDescent="0.2">
      <c r="A2520">
        <v>77</v>
      </c>
      <c r="B2520">
        <v>6</v>
      </c>
      <c r="C2520">
        <v>8</v>
      </c>
      <c r="D2520" s="2">
        <v>3</v>
      </c>
      <c r="E2520" s="2">
        <v>2</v>
      </c>
      <c r="F2520" s="2" t="s">
        <v>5</v>
      </c>
      <c r="G2520" s="2">
        <v>517.59999999951799</v>
      </c>
      <c r="H2520" s="2" t="s">
        <v>8</v>
      </c>
      <c r="I2520" s="2">
        <v>424015.00000005402</v>
      </c>
      <c r="J2520" s="2">
        <v>3000</v>
      </c>
      <c r="K2520" s="2">
        <v>20</v>
      </c>
      <c r="L2520" s="2">
        <v>0</v>
      </c>
      <c r="M2520" s="2">
        <v>343407.17</v>
      </c>
      <c r="N2520">
        <f t="shared" si="51"/>
        <v>767939.77000005357</v>
      </c>
      <c r="O2520" s="2" t="s">
        <v>4</v>
      </c>
    </row>
    <row r="2521" spans="1:15" x14ac:dyDescent="0.2">
      <c r="A2521">
        <v>78</v>
      </c>
      <c r="B2521">
        <v>6</v>
      </c>
      <c r="C2521">
        <v>8</v>
      </c>
      <c r="D2521" s="2">
        <v>3</v>
      </c>
      <c r="E2521" s="2">
        <v>2</v>
      </c>
      <c r="F2521" s="2" t="s">
        <v>5</v>
      </c>
      <c r="G2521" s="2">
        <v>411.19999999992302</v>
      </c>
      <c r="H2521" s="2" t="s">
        <v>8</v>
      </c>
      <c r="I2521" s="2">
        <v>421569.00000008999</v>
      </c>
      <c r="J2521" s="2">
        <v>3000</v>
      </c>
      <c r="K2521" s="2">
        <v>20</v>
      </c>
      <c r="L2521" s="2">
        <v>0</v>
      </c>
      <c r="M2521" s="2">
        <v>346827.57</v>
      </c>
      <c r="N2521">
        <f t="shared" si="51"/>
        <v>768807.77000008989</v>
      </c>
      <c r="O2521" s="2" t="s">
        <v>4</v>
      </c>
    </row>
    <row r="2522" spans="1:15" x14ac:dyDescent="0.2">
      <c r="A2522">
        <v>79</v>
      </c>
      <c r="B2522">
        <v>6</v>
      </c>
      <c r="C2522">
        <v>8</v>
      </c>
      <c r="D2522" s="2">
        <v>3</v>
      </c>
      <c r="E2522" s="2">
        <v>2</v>
      </c>
      <c r="F2522" s="2" t="s">
        <v>5</v>
      </c>
      <c r="G2522" s="2">
        <v>394.20000000021099</v>
      </c>
      <c r="H2522" s="2" t="s">
        <v>8</v>
      </c>
      <c r="I2522" s="2">
        <v>507382.00000000698</v>
      </c>
      <c r="J2522" s="2">
        <v>3000</v>
      </c>
      <c r="K2522" s="2">
        <v>20</v>
      </c>
      <c r="L2522" s="2">
        <v>0</v>
      </c>
      <c r="M2522" s="2">
        <v>302187.17</v>
      </c>
      <c r="N2522">
        <f t="shared" si="51"/>
        <v>809963.3700000071</v>
      </c>
      <c r="O2522" s="2" t="s">
        <v>4</v>
      </c>
    </row>
    <row r="2523" spans="1:15" x14ac:dyDescent="0.2">
      <c r="A2523">
        <v>80</v>
      </c>
      <c r="B2523">
        <v>6</v>
      </c>
      <c r="C2523">
        <v>7</v>
      </c>
      <c r="D2523" s="2">
        <v>3</v>
      </c>
      <c r="E2523" s="2">
        <v>2</v>
      </c>
      <c r="F2523" s="2" t="s">
        <v>5</v>
      </c>
      <c r="G2523" s="2">
        <v>306.60000000004601</v>
      </c>
      <c r="H2523" s="2" t="s">
        <v>8</v>
      </c>
      <c r="I2523" s="2">
        <v>217282.00000006799</v>
      </c>
      <c r="J2523" s="2">
        <v>3000</v>
      </c>
      <c r="K2523" s="2">
        <v>20</v>
      </c>
      <c r="L2523" s="2">
        <v>0</v>
      </c>
      <c r="M2523" s="2">
        <v>341607.17</v>
      </c>
      <c r="N2523">
        <f t="shared" si="51"/>
        <v>559195.77000006801</v>
      </c>
      <c r="O2523" s="2" t="s">
        <v>4</v>
      </c>
    </row>
    <row r="2524" spans="1:15" x14ac:dyDescent="0.2">
      <c r="A2524">
        <v>81</v>
      </c>
      <c r="B2524">
        <v>6</v>
      </c>
      <c r="C2524">
        <v>8</v>
      </c>
      <c r="D2524" s="2">
        <v>3</v>
      </c>
      <c r="E2524" s="2">
        <v>2</v>
      </c>
      <c r="F2524" s="2" t="s">
        <v>5</v>
      </c>
      <c r="G2524" s="2">
        <v>372.600000000389</v>
      </c>
      <c r="H2524" s="2" t="s">
        <v>8</v>
      </c>
      <c r="I2524" s="2">
        <v>572054.99999986403</v>
      </c>
      <c r="J2524" s="2">
        <v>3000</v>
      </c>
      <c r="K2524" s="2">
        <v>20</v>
      </c>
      <c r="L2524" s="2">
        <v>0</v>
      </c>
      <c r="M2524" s="2">
        <v>298167.17</v>
      </c>
      <c r="N2524">
        <f t="shared" si="51"/>
        <v>870594.76999986451</v>
      </c>
      <c r="O2524" s="2" t="s">
        <v>4</v>
      </c>
    </row>
    <row r="2525" spans="1:15" x14ac:dyDescent="0.2">
      <c r="A2525">
        <v>82</v>
      </c>
      <c r="B2525">
        <v>6</v>
      </c>
      <c r="C2525">
        <v>8</v>
      </c>
      <c r="D2525" s="2">
        <v>2</v>
      </c>
      <c r="E2525" s="2">
        <v>2</v>
      </c>
      <c r="F2525" s="2" t="s">
        <v>5</v>
      </c>
      <c r="G2525" s="2">
        <v>377.99999999990098</v>
      </c>
      <c r="H2525" s="2" t="s">
        <v>8</v>
      </c>
      <c r="I2525" s="2">
        <v>449708.99999998399</v>
      </c>
      <c r="J2525" s="2">
        <v>3000</v>
      </c>
      <c r="K2525" s="2">
        <v>20</v>
      </c>
      <c r="L2525" s="2">
        <v>0</v>
      </c>
      <c r="M2525" s="2">
        <v>340706.77</v>
      </c>
      <c r="N2525">
        <f t="shared" si="51"/>
        <v>790793.76999998395</v>
      </c>
      <c r="O2525" s="2" t="s">
        <v>4</v>
      </c>
    </row>
    <row r="2526" spans="1:15" x14ac:dyDescent="0.2">
      <c r="A2526">
        <v>83</v>
      </c>
      <c r="B2526">
        <v>6</v>
      </c>
      <c r="C2526">
        <v>9</v>
      </c>
      <c r="D2526" s="2">
        <v>2</v>
      </c>
      <c r="E2526" s="2">
        <v>2</v>
      </c>
      <c r="F2526" s="2" t="s">
        <v>5</v>
      </c>
      <c r="G2526" s="2">
        <v>451.20000000018501</v>
      </c>
      <c r="H2526" s="2" t="s">
        <v>8</v>
      </c>
      <c r="I2526" s="2">
        <v>1278454.00000001</v>
      </c>
      <c r="J2526" s="2">
        <v>3000</v>
      </c>
      <c r="K2526" s="2">
        <v>20</v>
      </c>
      <c r="L2526" s="2">
        <v>0</v>
      </c>
      <c r="M2526" s="2">
        <v>356125.97</v>
      </c>
      <c r="N2526">
        <f t="shared" si="51"/>
        <v>1635031.1700000102</v>
      </c>
      <c r="O2526" s="2" t="s">
        <v>4</v>
      </c>
    </row>
    <row r="2527" spans="1:15" x14ac:dyDescent="0.2">
      <c r="A2527">
        <v>84</v>
      </c>
      <c r="B2527">
        <v>6</v>
      </c>
      <c r="C2527">
        <v>10</v>
      </c>
      <c r="D2527" s="2">
        <v>2</v>
      </c>
      <c r="E2527" s="2">
        <v>2</v>
      </c>
      <c r="F2527" s="2" t="s">
        <v>5</v>
      </c>
      <c r="G2527" s="2">
        <v>503.80000000060897</v>
      </c>
      <c r="H2527" s="2" t="s">
        <v>8</v>
      </c>
      <c r="I2527" s="2">
        <v>4835274.0000000298</v>
      </c>
      <c r="J2527" s="2">
        <v>3000</v>
      </c>
      <c r="K2527" s="2">
        <v>20</v>
      </c>
      <c r="L2527" s="2">
        <v>0</v>
      </c>
      <c r="M2527" s="2">
        <v>321386.77</v>
      </c>
      <c r="N2527">
        <f t="shared" si="51"/>
        <v>5157164.5700000301</v>
      </c>
      <c r="O2527" s="2" t="s">
        <v>4</v>
      </c>
    </row>
    <row r="2528" spans="1:15" x14ac:dyDescent="0.2">
      <c r="A2528">
        <v>85</v>
      </c>
      <c r="B2528">
        <v>6</v>
      </c>
      <c r="C2528">
        <v>8</v>
      </c>
      <c r="D2528" s="2">
        <v>2</v>
      </c>
      <c r="E2528" s="2">
        <v>2</v>
      </c>
      <c r="F2528" s="2" t="s">
        <v>5</v>
      </c>
      <c r="G2528" s="2">
        <v>348.000000000326</v>
      </c>
      <c r="H2528" s="2" t="s">
        <v>8</v>
      </c>
      <c r="I2528" s="2">
        <v>562017.99999985297</v>
      </c>
      <c r="J2528" s="2">
        <v>3000</v>
      </c>
      <c r="K2528" s="2">
        <v>20</v>
      </c>
      <c r="L2528" s="2">
        <v>0</v>
      </c>
      <c r="M2528" s="2">
        <v>280708.37</v>
      </c>
      <c r="N2528">
        <f t="shared" si="51"/>
        <v>843074.36999985331</v>
      </c>
      <c r="O2528" s="2" t="s">
        <v>4</v>
      </c>
    </row>
    <row r="2529" spans="1:15" x14ac:dyDescent="0.2">
      <c r="A2529">
        <v>86</v>
      </c>
      <c r="B2529">
        <v>6</v>
      </c>
      <c r="C2529">
        <v>10</v>
      </c>
      <c r="D2529" s="2">
        <v>3</v>
      </c>
      <c r="E2529" s="2">
        <v>2</v>
      </c>
      <c r="F2529" s="2" t="s">
        <v>5</v>
      </c>
      <c r="G2529" s="2">
        <v>468.00000000004599</v>
      </c>
      <c r="H2529" s="2" t="s">
        <v>8</v>
      </c>
      <c r="I2529" s="2">
        <v>2626483.9999998901</v>
      </c>
      <c r="J2529" s="2">
        <v>3000</v>
      </c>
      <c r="K2529" s="2">
        <v>20</v>
      </c>
      <c r="L2529" s="2">
        <v>0</v>
      </c>
      <c r="M2529" s="2">
        <v>435689.17</v>
      </c>
      <c r="N2529">
        <f t="shared" si="51"/>
        <v>3062641.16999989</v>
      </c>
      <c r="O2529" s="2" t="s">
        <v>4</v>
      </c>
    </row>
    <row r="2530" spans="1:15" x14ac:dyDescent="0.2">
      <c r="A2530">
        <v>87</v>
      </c>
      <c r="B2530">
        <v>6</v>
      </c>
      <c r="C2530">
        <v>10</v>
      </c>
      <c r="D2530" s="2">
        <v>2</v>
      </c>
      <c r="E2530" s="2">
        <v>2</v>
      </c>
      <c r="F2530" s="2" t="s">
        <v>5</v>
      </c>
      <c r="G2530" s="2">
        <v>451.39999999968001</v>
      </c>
      <c r="H2530" s="2" t="s">
        <v>8</v>
      </c>
      <c r="I2530" s="2">
        <v>2008806.0000000501</v>
      </c>
      <c r="J2530" s="2">
        <v>3000</v>
      </c>
      <c r="K2530" s="2">
        <v>20</v>
      </c>
      <c r="L2530" s="2">
        <v>0</v>
      </c>
      <c r="M2530" s="2">
        <v>455906.37</v>
      </c>
      <c r="N2530">
        <f t="shared" si="51"/>
        <v>2465163.7700000498</v>
      </c>
      <c r="O2530" s="2" t="s">
        <v>4</v>
      </c>
    </row>
    <row r="2531" spans="1:15" x14ac:dyDescent="0.2">
      <c r="A2531">
        <v>88</v>
      </c>
      <c r="B2531">
        <v>6</v>
      </c>
      <c r="C2531">
        <v>10</v>
      </c>
      <c r="D2531" s="2">
        <v>3</v>
      </c>
      <c r="E2531" s="2">
        <v>2</v>
      </c>
      <c r="F2531" s="2" t="s">
        <v>5</v>
      </c>
      <c r="G2531" s="2">
        <v>490.20000000048498</v>
      </c>
      <c r="H2531" s="2" t="s">
        <v>8</v>
      </c>
      <c r="I2531" s="2">
        <v>1234313.00000016</v>
      </c>
      <c r="J2531" s="2">
        <v>3000</v>
      </c>
      <c r="K2531" s="2">
        <v>20</v>
      </c>
      <c r="L2531" s="2">
        <v>0</v>
      </c>
      <c r="M2531" s="2">
        <v>453507.17</v>
      </c>
      <c r="N2531">
        <f t="shared" si="51"/>
        <v>1688310.3700001603</v>
      </c>
      <c r="O2531" s="2" t="s">
        <v>4</v>
      </c>
    </row>
    <row r="2532" spans="1:15" x14ac:dyDescent="0.2">
      <c r="A2532">
        <v>89</v>
      </c>
      <c r="B2532">
        <v>6</v>
      </c>
      <c r="C2532">
        <v>7</v>
      </c>
      <c r="D2532" s="2">
        <v>3</v>
      </c>
      <c r="E2532" s="2">
        <v>2</v>
      </c>
      <c r="F2532" s="2" t="s">
        <v>5</v>
      </c>
      <c r="G2532" s="2">
        <v>266.39999999993302</v>
      </c>
      <c r="H2532" s="2" t="s">
        <v>8</v>
      </c>
      <c r="I2532" s="2">
        <v>414899.999999989</v>
      </c>
      <c r="J2532" s="2">
        <v>3000</v>
      </c>
      <c r="K2532" s="2">
        <v>20</v>
      </c>
      <c r="L2532" s="2">
        <v>0</v>
      </c>
      <c r="M2532" s="2">
        <v>295466.37</v>
      </c>
      <c r="N2532">
        <f t="shared" si="51"/>
        <v>710632.76999998884</v>
      </c>
      <c r="O2532" s="2" t="s">
        <v>4</v>
      </c>
    </row>
    <row r="2533" spans="1:15" x14ac:dyDescent="0.2">
      <c r="A2533">
        <v>90</v>
      </c>
      <c r="B2533">
        <v>6</v>
      </c>
      <c r="C2533">
        <v>8</v>
      </c>
      <c r="D2533" s="2">
        <v>2</v>
      </c>
      <c r="E2533" s="2">
        <v>2</v>
      </c>
      <c r="F2533" s="2" t="s">
        <v>5</v>
      </c>
      <c r="G2533" s="2">
        <v>335.79999999986399</v>
      </c>
      <c r="H2533" s="2" t="s">
        <v>8</v>
      </c>
      <c r="I2533" s="2">
        <v>636770.00000006997</v>
      </c>
      <c r="J2533" s="2">
        <v>3000</v>
      </c>
      <c r="K2533" s="2">
        <v>20</v>
      </c>
      <c r="L2533" s="2">
        <v>0</v>
      </c>
      <c r="M2533" s="2">
        <v>338908.37</v>
      </c>
      <c r="N2533">
        <f t="shared" si="51"/>
        <v>976014.17000006977</v>
      </c>
      <c r="O2533" s="2" t="s">
        <v>4</v>
      </c>
    </row>
    <row r="2534" spans="1:15" x14ac:dyDescent="0.2">
      <c r="A2534">
        <v>91</v>
      </c>
      <c r="B2534">
        <v>6</v>
      </c>
      <c r="C2534">
        <v>8</v>
      </c>
      <c r="D2534" s="2">
        <v>3</v>
      </c>
      <c r="E2534" s="2">
        <v>2</v>
      </c>
      <c r="F2534" s="2" t="s">
        <v>5</v>
      </c>
      <c r="G2534" s="2">
        <v>335.59999999930301</v>
      </c>
      <c r="H2534" s="2" t="s">
        <v>8</v>
      </c>
      <c r="I2534" s="2">
        <v>411151.00000001799</v>
      </c>
      <c r="J2534" s="2">
        <v>3000</v>
      </c>
      <c r="K2534" s="2">
        <v>20</v>
      </c>
      <c r="L2534" s="2">
        <v>0</v>
      </c>
      <c r="M2534" s="2">
        <v>347847.57</v>
      </c>
      <c r="N2534">
        <f t="shared" si="51"/>
        <v>759334.17000001727</v>
      </c>
      <c r="O2534" s="2" t="s">
        <v>4</v>
      </c>
    </row>
    <row r="2535" spans="1:15" x14ac:dyDescent="0.2">
      <c r="A2535">
        <v>92</v>
      </c>
      <c r="B2535">
        <v>6</v>
      </c>
      <c r="C2535">
        <v>8</v>
      </c>
      <c r="D2535" s="2">
        <v>3</v>
      </c>
      <c r="E2535" s="2">
        <v>2</v>
      </c>
      <c r="F2535" s="2" t="s">
        <v>5</v>
      </c>
      <c r="G2535" s="2">
        <v>306.40000000019501</v>
      </c>
      <c r="H2535" s="2" t="s">
        <v>8</v>
      </c>
      <c r="I2535" s="2">
        <v>326122.99999982503</v>
      </c>
      <c r="J2535" s="2">
        <v>3000</v>
      </c>
      <c r="K2535" s="2">
        <v>20</v>
      </c>
      <c r="L2535" s="2">
        <v>0</v>
      </c>
      <c r="M2535" s="2">
        <v>347847.17</v>
      </c>
      <c r="N2535">
        <f t="shared" si="51"/>
        <v>674276.56999982521</v>
      </c>
      <c r="O2535" s="2" t="s">
        <v>4</v>
      </c>
    </row>
    <row r="2536" spans="1:15" x14ac:dyDescent="0.2">
      <c r="A2536">
        <v>93</v>
      </c>
      <c r="B2536">
        <v>6</v>
      </c>
      <c r="C2536">
        <v>11</v>
      </c>
      <c r="D2536" s="2">
        <v>3</v>
      </c>
      <c r="E2536" s="2">
        <v>2</v>
      </c>
      <c r="F2536" s="2" t="s">
        <v>5</v>
      </c>
      <c r="G2536" s="2">
        <v>515.79999999979998</v>
      </c>
      <c r="H2536" s="2" t="s">
        <v>8</v>
      </c>
      <c r="I2536" s="2">
        <v>2579271.9999999502</v>
      </c>
      <c r="J2536" s="2">
        <v>3000</v>
      </c>
      <c r="K2536" s="2">
        <v>20</v>
      </c>
      <c r="L2536" s="2">
        <v>0</v>
      </c>
      <c r="M2536" s="2">
        <v>424827.17</v>
      </c>
      <c r="N2536">
        <f t="shared" si="51"/>
        <v>3004614.9699999499</v>
      </c>
      <c r="O2536" s="2" t="s">
        <v>4</v>
      </c>
    </row>
    <row r="2537" spans="1:15" x14ac:dyDescent="0.2">
      <c r="A2537">
        <v>94</v>
      </c>
      <c r="B2537">
        <v>6</v>
      </c>
      <c r="C2537">
        <v>10</v>
      </c>
      <c r="D2537" s="2">
        <v>2</v>
      </c>
      <c r="E2537" s="2">
        <v>2</v>
      </c>
      <c r="F2537" s="2" t="s">
        <v>5</v>
      </c>
      <c r="G2537" s="2">
        <v>446.600000000075</v>
      </c>
      <c r="H2537" s="2" t="s">
        <v>8</v>
      </c>
      <c r="I2537" s="2">
        <v>2002005.9999999399</v>
      </c>
      <c r="J2537" s="2">
        <v>3000</v>
      </c>
      <c r="K2537" s="2">
        <v>20</v>
      </c>
      <c r="L2537" s="2">
        <v>0</v>
      </c>
      <c r="M2537" s="2">
        <v>333868.77</v>
      </c>
      <c r="N2537">
        <f t="shared" si="51"/>
        <v>2336321.36999994</v>
      </c>
      <c r="O2537" s="2" t="s">
        <v>4</v>
      </c>
    </row>
    <row r="2538" spans="1:15" x14ac:dyDescent="0.2">
      <c r="A2538">
        <v>95</v>
      </c>
      <c r="B2538">
        <v>6</v>
      </c>
      <c r="C2538">
        <v>12</v>
      </c>
      <c r="D2538" s="2">
        <v>2</v>
      </c>
      <c r="E2538" s="2">
        <v>2</v>
      </c>
      <c r="F2538" s="2" t="s">
        <v>5</v>
      </c>
      <c r="G2538" s="2">
        <v>605.60000000045</v>
      </c>
      <c r="H2538" s="2" t="s">
        <v>8</v>
      </c>
      <c r="I2538" s="2">
        <v>5219995.0000001499</v>
      </c>
      <c r="J2538" s="2">
        <v>3000</v>
      </c>
      <c r="K2538" s="2">
        <v>20</v>
      </c>
      <c r="L2538" s="2">
        <v>0</v>
      </c>
      <c r="M2538" s="2">
        <v>376766.77</v>
      </c>
      <c r="N2538">
        <f t="shared" si="51"/>
        <v>5597367.3700001501</v>
      </c>
      <c r="O2538" s="2" t="s">
        <v>4</v>
      </c>
    </row>
    <row r="2539" spans="1:15" x14ac:dyDescent="0.2">
      <c r="A2539">
        <v>96</v>
      </c>
      <c r="B2539">
        <v>6</v>
      </c>
      <c r="C2539">
        <v>8</v>
      </c>
      <c r="D2539" s="2">
        <v>3</v>
      </c>
      <c r="E2539" s="2">
        <v>2</v>
      </c>
      <c r="F2539" s="2" t="s">
        <v>5</v>
      </c>
      <c r="G2539" s="2">
        <v>301.39999999967398</v>
      </c>
      <c r="H2539" s="2" t="s">
        <v>8</v>
      </c>
      <c r="I2539" s="2">
        <v>538624.00000002701</v>
      </c>
      <c r="J2539" s="2">
        <v>3000</v>
      </c>
      <c r="K2539" s="2">
        <v>20</v>
      </c>
      <c r="L2539" s="2">
        <v>0</v>
      </c>
      <c r="M2539" s="2">
        <v>343947.17</v>
      </c>
      <c r="N2539">
        <f t="shared" si="51"/>
        <v>882872.57000002661</v>
      </c>
      <c r="O2539" s="2" t="s">
        <v>4</v>
      </c>
    </row>
    <row r="2540" spans="1:15" x14ac:dyDescent="0.2">
      <c r="A2540">
        <v>97</v>
      </c>
      <c r="B2540">
        <v>6</v>
      </c>
      <c r="C2540">
        <v>9</v>
      </c>
      <c r="D2540" s="2">
        <v>3</v>
      </c>
      <c r="E2540" s="2">
        <v>2</v>
      </c>
      <c r="F2540" s="2" t="s">
        <v>5</v>
      </c>
      <c r="G2540" s="2">
        <v>374.59999999995802</v>
      </c>
      <c r="H2540" s="2" t="s">
        <v>8</v>
      </c>
      <c r="I2540" s="2">
        <v>698046.99999985995</v>
      </c>
      <c r="J2540" s="2">
        <v>3000</v>
      </c>
      <c r="K2540" s="2">
        <v>20</v>
      </c>
      <c r="L2540" s="2">
        <v>0</v>
      </c>
      <c r="M2540" s="2">
        <v>352766.37</v>
      </c>
      <c r="N2540">
        <f t="shared" si="51"/>
        <v>1051187.96999986</v>
      </c>
      <c r="O2540" s="2" t="s">
        <v>4</v>
      </c>
    </row>
    <row r="2541" spans="1:15" x14ac:dyDescent="0.2">
      <c r="A2541">
        <v>98</v>
      </c>
      <c r="B2541">
        <v>6</v>
      </c>
      <c r="C2541">
        <v>10</v>
      </c>
      <c r="D2541" s="2">
        <v>3</v>
      </c>
      <c r="E2541" s="2">
        <v>2</v>
      </c>
      <c r="F2541" s="2" t="s">
        <v>5</v>
      </c>
      <c r="G2541" s="2">
        <v>496.19999999990199</v>
      </c>
      <c r="H2541" s="2" t="s">
        <v>8</v>
      </c>
      <c r="I2541" s="2">
        <v>1091490.00000002</v>
      </c>
      <c r="J2541" s="2">
        <v>3000</v>
      </c>
      <c r="K2541" s="2">
        <v>20</v>
      </c>
      <c r="L2541" s="2">
        <v>0</v>
      </c>
      <c r="M2541" s="2">
        <v>364467.57</v>
      </c>
      <c r="N2541">
        <f t="shared" si="51"/>
        <v>1456453.77000002</v>
      </c>
      <c r="O2541" s="2" t="s">
        <v>4</v>
      </c>
    </row>
    <row r="2542" spans="1:15" x14ac:dyDescent="0.2">
      <c r="A2542">
        <v>99</v>
      </c>
      <c r="B2542">
        <v>6</v>
      </c>
      <c r="C2542">
        <v>11</v>
      </c>
      <c r="D2542" s="2">
        <v>2</v>
      </c>
      <c r="E2542" s="2">
        <v>2</v>
      </c>
      <c r="F2542" s="2" t="s">
        <v>5</v>
      </c>
      <c r="G2542" s="2">
        <v>500.59999999980698</v>
      </c>
      <c r="H2542" s="2" t="s">
        <v>8</v>
      </c>
      <c r="I2542" s="2">
        <v>2540038.0000001001</v>
      </c>
      <c r="J2542" s="2">
        <v>3000</v>
      </c>
      <c r="K2542" s="2">
        <v>20</v>
      </c>
      <c r="L2542" s="2">
        <v>0</v>
      </c>
      <c r="M2542" s="2">
        <v>442647.97</v>
      </c>
      <c r="N2542">
        <f t="shared" si="51"/>
        <v>2983186.5700000999</v>
      </c>
      <c r="O2542" s="2" t="s">
        <v>4</v>
      </c>
    </row>
    <row r="2543" spans="1:15" x14ac:dyDescent="0.2">
      <c r="A2543">
        <v>70</v>
      </c>
      <c r="B2543">
        <v>6</v>
      </c>
      <c r="C2543">
        <v>6</v>
      </c>
      <c r="D2543" s="2">
        <v>3</v>
      </c>
      <c r="E2543" s="2">
        <v>2</v>
      </c>
      <c r="F2543" s="2" t="s">
        <v>5</v>
      </c>
      <c r="G2543" s="2">
        <v>916.60000000004504</v>
      </c>
      <c r="H2543" s="2" t="s">
        <v>8</v>
      </c>
      <c r="I2543" s="2">
        <v>169758.00000000201</v>
      </c>
      <c r="J2543" s="2">
        <v>3000</v>
      </c>
      <c r="K2543" s="2">
        <v>100</v>
      </c>
      <c r="L2543" s="2">
        <v>0</v>
      </c>
      <c r="M2543" s="2">
        <v>647908.77</v>
      </c>
      <c r="N2543">
        <f>G2543+I2543+M2543</f>
        <v>818583.37000000209</v>
      </c>
      <c r="O2543" s="2" t="s">
        <v>5</v>
      </c>
    </row>
    <row r="2544" spans="1:15" x14ac:dyDescent="0.2">
      <c r="A2544">
        <v>71</v>
      </c>
      <c r="B2544">
        <v>6</v>
      </c>
      <c r="C2544">
        <v>7</v>
      </c>
      <c r="D2544" s="2">
        <v>2</v>
      </c>
      <c r="E2544" s="2">
        <v>2</v>
      </c>
      <c r="F2544" s="2" t="s">
        <v>5</v>
      </c>
      <c r="G2544" s="2">
        <v>840.79999999993095</v>
      </c>
      <c r="H2544" s="2" t="s">
        <v>8</v>
      </c>
      <c r="I2544" s="2">
        <v>333503.99999994802</v>
      </c>
      <c r="J2544" s="2">
        <v>3000</v>
      </c>
      <c r="K2544" s="2">
        <v>100</v>
      </c>
      <c r="L2544" s="2">
        <v>0</v>
      </c>
      <c r="M2544" s="2">
        <v>539968.77</v>
      </c>
      <c r="N2544">
        <f t="shared" ref="N2544:N2572" si="52">G2544+I2544+M2544</f>
        <v>874313.56999994791</v>
      </c>
      <c r="O2544" s="2" t="s">
        <v>4</v>
      </c>
    </row>
    <row r="2545" spans="1:15" x14ac:dyDescent="0.2">
      <c r="A2545">
        <v>72</v>
      </c>
      <c r="B2545">
        <v>6</v>
      </c>
      <c r="C2545">
        <v>7</v>
      </c>
      <c r="D2545" s="2">
        <v>2</v>
      </c>
      <c r="E2545" s="2">
        <v>2</v>
      </c>
      <c r="F2545" s="2" t="s">
        <v>5</v>
      </c>
      <c r="G2545" s="2">
        <v>686.80000000043196</v>
      </c>
      <c r="H2545" s="2" t="s">
        <v>8</v>
      </c>
      <c r="I2545" s="2">
        <v>475044.99999990902</v>
      </c>
      <c r="J2545" s="2">
        <v>3000</v>
      </c>
      <c r="K2545" s="2">
        <v>100</v>
      </c>
      <c r="L2545" s="2">
        <v>0</v>
      </c>
      <c r="M2545" s="2">
        <v>580287.17000000004</v>
      </c>
      <c r="N2545">
        <f t="shared" si="52"/>
        <v>1056018.9699999094</v>
      </c>
      <c r="O2545" s="2" t="s">
        <v>4</v>
      </c>
    </row>
    <row r="2546" spans="1:15" x14ac:dyDescent="0.2">
      <c r="A2546">
        <v>73</v>
      </c>
      <c r="B2546">
        <v>6</v>
      </c>
      <c r="C2546">
        <v>7</v>
      </c>
      <c r="D2546" s="2">
        <v>3</v>
      </c>
      <c r="E2546" s="2">
        <v>2</v>
      </c>
      <c r="F2546" s="2" t="s">
        <v>5</v>
      </c>
      <c r="G2546" s="2">
        <v>696.99999999990303</v>
      </c>
      <c r="H2546" s="2" t="s">
        <v>8</v>
      </c>
      <c r="I2546" s="2">
        <v>533288.00000008405</v>
      </c>
      <c r="J2546" s="2">
        <v>3000</v>
      </c>
      <c r="K2546" s="2">
        <v>100</v>
      </c>
      <c r="L2546" s="2">
        <v>0</v>
      </c>
      <c r="M2546" s="2">
        <v>571948.77</v>
      </c>
      <c r="N2546">
        <f t="shared" si="52"/>
        <v>1105933.7700000838</v>
      </c>
      <c r="O2546" s="2" t="s">
        <v>4</v>
      </c>
    </row>
    <row r="2547" spans="1:15" x14ac:dyDescent="0.2">
      <c r="A2547">
        <v>74</v>
      </c>
      <c r="B2547">
        <v>6</v>
      </c>
      <c r="C2547">
        <v>9</v>
      </c>
      <c r="D2547" s="2">
        <v>3</v>
      </c>
      <c r="E2547" s="2">
        <v>2</v>
      </c>
      <c r="F2547" s="2" t="s">
        <v>5</v>
      </c>
      <c r="G2547" s="2">
        <v>767.00000000009504</v>
      </c>
      <c r="H2547" s="2" t="s">
        <v>8</v>
      </c>
      <c r="I2547" s="2">
        <v>792881.99999996298</v>
      </c>
      <c r="J2547" s="2">
        <v>3000</v>
      </c>
      <c r="K2547" s="2">
        <v>100</v>
      </c>
      <c r="L2547" s="2">
        <v>0</v>
      </c>
      <c r="M2547" s="2">
        <v>519387.17</v>
      </c>
      <c r="N2547">
        <f t="shared" si="52"/>
        <v>1313036.1699999631</v>
      </c>
      <c r="O2547" s="2" t="s">
        <v>4</v>
      </c>
    </row>
    <row r="2548" spans="1:15" x14ac:dyDescent="0.2">
      <c r="A2548">
        <v>75</v>
      </c>
      <c r="B2548">
        <v>6</v>
      </c>
      <c r="C2548">
        <v>7</v>
      </c>
      <c r="D2548" s="2">
        <v>3</v>
      </c>
      <c r="E2548" s="2">
        <v>2</v>
      </c>
      <c r="F2548" s="2" t="s">
        <v>5</v>
      </c>
      <c r="G2548" s="2">
        <v>442.80000000007601</v>
      </c>
      <c r="H2548" s="2" t="s">
        <v>8</v>
      </c>
      <c r="I2548" s="2">
        <v>267370.99999991199</v>
      </c>
      <c r="J2548" s="2">
        <v>3000</v>
      </c>
      <c r="K2548" s="2">
        <v>100</v>
      </c>
      <c r="L2548" s="2">
        <v>0</v>
      </c>
      <c r="M2548" s="2">
        <v>544408.37</v>
      </c>
      <c r="N2548">
        <f t="shared" si="52"/>
        <v>812222.16999991215</v>
      </c>
      <c r="O2548" s="2" t="s">
        <v>4</v>
      </c>
    </row>
    <row r="2549" spans="1:15" x14ac:dyDescent="0.2">
      <c r="A2549">
        <v>76</v>
      </c>
      <c r="B2549">
        <v>6</v>
      </c>
      <c r="C2549">
        <v>8</v>
      </c>
      <c r="D2549" s="2">
        <v>3</v>
      </c>
      <c r="E2549" s="2">
        <v>2</v>
      </c>
      <c r="F2549" s="2" t="s">
        <v>5</v>
      </c>
      <c r="G2549" s="2">
        <v>657.20000000020195</v>
      </c>
      <c r="H2549" s="2" t="s">
        <v>8</v>
      </c>
      <c r="I2549" s="2">
        <v>367324.99999993702</v>
      </c>
      <c r="J2549" s="2">
        <v>3000</v>
      </c>
      <c r="K2549" s="2">
        <v>100</v>
      </c>
      <c r="L2549" s="2">
        <v>0</v>
      </c>
      <c r="M2549" s="2">
        <v>507568.37</v>
      </c>
      <c r="N2549">
        <f t="shared" si="52"/>
        <v>875550.5699999372</v>
      </c>
      <c r="O2549" s="2" t="s">
        <v>4</v>
      </c>
    </row>
    <row r="2550" spans="1:15" x14ac:dyDescent="0.2">
      <c r="A2550">
        <v>77</v>
      </c>
      <c r="B2550">
        <v>6</v>
      </c>
      <c r="C2550">
        <v>8</v>
      </c>
      <c r="D2550" s="2">
        <v>3</v>
      </c>
      <c r="E2550" s="2">
        <v>2</v>
      </c>
      <c r="F2550" s="2" t="s">
        <v>5</v>
      </c>
      <c r="G2550" s="2">
        <v>517.59999999951799</v>
      </c>
      <c r="H2550" s="2" t="s">
        <v>8</v>
      </c>
      <c r="I2550" s="2">
        <v>424015.00000005402</v>
      </c>
      <c r="J2550" s="2">
        <v>3000</v>
      </c>
      <c r="K2550" s="2">
        <v>100</v>
      </c>
      <c r="L2550" s="2">
        <v>0</v>
      </c>
      <c r="M2550" s="2">
        <v>583408.37</v>
      </c>
      <c r="N2550">
        <f t="shared" si="52"/>
        <v>1007940.9700000535</v>
      </c>
      <c r="O2550" s="2" t="s">
        <v>4</v>
      </c>
    </row>
    <row r="2551" spans="1:15" x14ac:dyDescent="0.2">
      <c r="A2551">
        <v>78</v>
      </c>
      <c r="B2551">
        <v>6</v>
      </c>
      <c r="C2551">
        <v>8</v>
      </c>
      <c r="D2551" s="2">
        <v>3</v>
      </c>
      <c r="E2551" s="2">
        <v>2</v>
      </c>
      <c r="F2551" s="2" t="s">
        <v>5</v>
      </c>
      <c r="G2551" s="2">
        <v>411.19999999992302</v>
      </c>
      <c r="H2551" s="2" t="s">
        <v>8</v>
      </c>
      <c r="I2551" s="2">
        <v>421569.00000008999</v>
      </c>
      <c r="J2551" s="2">
        <v>3000</v>
      </c>
      <c r="K2551" s="2">
        <v>100</v>
      </c>
      <c r="L2551" s="2">
        <v>0</v>
      </c>
      <c r="M2551" s="2">
        <v>586827.97</v>
      </c>
      <c r="N2551">
        <f t="shared" si="52"/>
        <v>1008808.1700000898</v>
      </c>
      <c r="O2551" s="2" t="s">
        <v>4</v>
      </c>
    </row>
    <row r="2552" spans="1:15" x14ac:dyDescent="0.2">
      <c r="A2552">
        <v>79</v>
      </c>
      <c r="B2552">
        <v>6</v>
      </c>
      <c r="C2552">
        <v>8</v>
      </c>
      <c r="D2552" s="2">
        <v>3</v>
      </c>
      <c r="E2552" s="2">
        <v>2</v>
      </c>
      <c r="F2552" s="2" t="s">
        <v>5</v>
      </c>
      <c r="G2552" s="2">
        <v>394.20000000021099</v>
      </c>
      <c r="H2552" s="2" t="s">
        <v>8</v>
      </c>
      <c r="I2552" s="2">
        <v>507382.00000000698</v>
      </c>
      <c r="J2552" s="2">
        <v>3000</v>
      </c>
      <c r="K2552" s="2">
        <v>100</v>
      </c>
      <c r="L2552" s="2">
        <v>0</v>
      </c>
      <c r="M2552" s="2">
        <v>542187.97</v>
      </c>
      <c r="N2552">
        <f t="shared" si="52"/>
        <v>1049964.1700000071</v>
      </c>
      <c r="O2552" s="2" t="s">
        <v>4</v>
      </c>
    </row>
    <row r="2553" spans="1:15" x14ac:dyDescent="0.2">
      <c r="A2553">
        <v>80</v>
      </c>
      <c r="B2553">
        <v>6</v>
      </c>
      <c r="C2553">
        <v>7</v>
      </c>
      <c r="D2553" s="2">
        <v>3</v>
      </c>
      <c r="E2553" s="2">
        <v>2</v>
      </c>
      <c r="F2553" s="2" t="s">
        <v>5</v>
      </c>
      <c r="G2553" s="2">
        <v>306.60000000004601</v>
      </c>
      <c r="H2553" s="2" t="s">
        <v>8</v>
      </c>
      <c r="I2553" s="2">
        <v>217282.00000006799</v>
      </c>
      <c r="J2553" s="2">
        <v>3000</v>
      </c>
      <c r="K2553" s="2">
        <v>100</v>
      </c>
      <c r="L2553" s="2">
        <v>0</v>
      </c>
      <c r="M2553" s="2">
        <v>581607.17000000004</v>
      </c>
      <c r="N2553">
        <f t="shared" si="52"/>
        <v>799195.77000006801</v>
      </c>
      <c r="O2553" s="2" t="s">
        <v>4</v>
      </c>
    </row>
    <row r="2554" spans="1:15" x14ac:dyDescent="0.2">
      <c r="A2554">
        <v>81</v>
      </c>
      <c r="B2554">
        <v>6</v>
      </c>
      <c r="C2554">
        <v>8</v>
      </c>
      <c r="D2554" s="2">
        <v>3</v>
      </c>
      <c r="E2554" s="2">
        <v>2</v>
      </c>
      <c r="F2554" s="2" t="s">
        <v>5</v>
      </c>
      <c r="G2554" s="2">
        <v>372.600000000389</v>
      </c>
      <c r="H2554" s="2" t="s">
        <v>8</v>
      </c>
      <c r="I2554" s="2">
        <v>572054.99999986403</v>
      </c>
      <c r="J2554" s="2">
        <v>3000</v>
      </c>
      <c r="K2554" s="2">
        <v>100</v>
      </c>
      <c r="L2554" s="2">
        <v>0</v>
      </c>
      <c r="M2554" s="2">
        <v>538167.56999999995</v>
      </c>
      <c r="N2554">
        <f t="shared" si="52"/>
        <v>1110595.1699998644</v>
      </c>
      <c r="O2554" s="2" t="s">
        <v>4</v>
      </c>
    </row>
    <row r="2555" spans="1:15" x14ac:dyDescent="0.2">
      <c r="A2555">
        <v>82</v>
      </c>
      <c r="B2555">
        <v>6</v>
      </c>
      <c r="C2555">
        <v>8</v>
      </c>
      <c r="D2555" s="2">
        <v>2</v>
      </c>
      <c r="E2555" s="2">
        <v>2</v>
      </c>
      <c r="F2555" s="2" t="s">
        <v>5</v>
      </c>
      <c r="G2555" s="2">
        <v>377.99999999990098</v>
      </c>
      <c r="H2555" s="2" t="s">
        <v>8</v>
      </c>
      <c r="I2555" s="2">
        <v>449708.99999998399</v>
      </c>
      <c r="J2555" s="2">
        <v>3000</v>
      </c>
      <c r="K2555" s="2">
        <v>100</v>
      </c>
      <c r="L2555" s="2">
        <v>0</v>
      </c>
      <c r="M2555" s="2">
        <v>580708.37</v>
      </c>
      <c r="N2555">
        <f t="shared" si="52"/>
        <v>1030795.3699999838</v>
      </c>
      <c r="O2555" s="2" t="s">
        <v>4</v>
      </c>
    </row>
    <row r="2556" spans="1:15" x14ac:dyDescent="0.2">
      <c r="A2556">
        <v>83</v>
      </c>
      <c r="B2556">
        <v>6</v>
      </c>
      <c r="C2556">
        <v>9</v>
      </c>
      <c r="D2556" s="2">
        <v>2</v>
      </c>
      <c r="E2556" s="2">
        <v>2</v>
      </c>
      <c r="F2556" s="2" t="s">
        <v>5</v>
      </c>
      <c r="G2556" s="2">
        <v>451.20000000018501</v>
      </c>
      <c r="H2556" s="2" t="s">
        <v>8</v>
      </c>
      <c r="I2556" s="2">
        <v>1278454.00000001</v>
      </c>
      <c r="J2556" s="2">
        <v>3000</v>
      </c>
      <c r="K2556" s="2">
        <v>100</v>
      </c>
      <c r="L2556" s="2">
        <v>0</v>
      </c>
      <c r="M2556" s="2">
        <v>596126.77</v>
      </c>
      <c r="N2556">
        <f t="shared" si="52"/>
        <v>1875031.9700000102</v>
      </c>
      <c r="O2556" s="2" t="s">
        <v>4</v>
      </c>
    </row>
    <row r="2557" spans="1:15" x14ac:dyDescent="0.2">
      <c r="A2557">
        <v>84</v>
      </c>
      <c r="B2557">
        <v>6</v>
      </c>
      <c r="C2557">
        <v>10</v>
      </c>
      <c r="D2557" s="2">
        <v>2</v>
      </c>
      <c r="E2557" s="2">
        <v>2</v>
      </c>
      <c r="F2557" s="2" t="s">
        <v>5</v>
      </c>
      <c r="G2557" s="2">
        <v>503.80000000060897</v>
      </c>
      <c r="H2557" s="2" t="s">
        <v>8</v>
      </c>
      <c r="I2557" s="2">
        <v>4835274.0000000298</v>
      </c>
      <c r="J2557" s="2">
        <v>3000</v>
      </c>
      <c r="K2557" s="2">
        <v>100</v>
      </c>
      <c r="L2557" s="2">
        <v>0</v>
      </c>
      <c r="M2557" s="2">
        <v>561386.37</v>
      </c>
      <c r="N2557">
        <f t="shared" si="52"/>
        <v>5397164.1700000307</v>
      </c>
      <c r="O2557" s="2" t="s">
        <v>4</v>
      </c>
    </row>
    <row r="2558" spans="1:15" x14ac:dyDescent="0.2">
      <c r="A2558">
        <v>85</v>
      </c>
      <c r="B2558">
        <v>6</v>
      </c>
      <c r="C2558">
        <v>8</v>
      </c>
      <c r="D2558" s="2">
        <v>2</v>
      </c>
      <c r="E2558" s="2">
        <v>2</v>
      </c>
      <c r="F2558" s="2" t="s">
        <v>5</v>
      </c>
      <c r="G2558" s="2">
        <v>348.000000000326</v>
      </c>
      <c r="H2558" s="2" t="s">
        <v>8</v>
      </c>
      <c r="I2558" s="2">
        <v>562017.99999985297</v>
      </c>
      <c r="J2558" s="2">
        <v>3000</v>
      </c>
      <c r="K2558" s="2">
        <v>100</v>
      </c>
      <c r="L2558" s="2">
        <v>0</v>
      </c>
      <c r="M2558" s="2">
        <v>520709.17</v>
      </c>
      <c r="N2558">
        <f t="shared" si="52"/>
        <v>1083075.1699998532</v>
      </c>
      <c r="O2558" s="2" t="s">
        <v>4</v>
      </c>
    </row>
    <row r="2559" spans="1:15" x14ac:dyDescent="0.2">
      <c r="A2559">
        <v>86</v>
      </c>
      <c r="B2559">
        <v>6</v>
      </c>
      <c r="C2559">
        <v>10</v>
      </c>
      <c r="D2559" s="2">
        <v>3</v>
      </c>
      <c r="E2559" s="2">
        <v>2</v>
      </c>
      <c r="F2559" s="2" t="s">
        <v>5</v>
      </c>
      <c r="G2559" s="2">
        <v>468.00000000004599</v>
      </c>
      <c r="H2559" s="2" t="s">
        <v>8</v>
      </c>
      <c r="I2559" s="2">
        <v>2626483.9999998901</v>
      </c>
      <c r="J2559" s="2">
        <v>3000</v>
      </c>
      <c r="K2559" s="2">
        <v>100</v>
      </c>
      <c r="L2559" s="2">
        <v>0</v>
      </c>
      <c r="M2559" s="2">
        <v>675689.97</v>
      </c>
      <c r="N2559">
        <f t="shared" si="52"/>
        <v>3302641.9699998898</v>
      </c>
      <c r="O2559" s="2" t="s">
        <v>4</v>
      </c>
    </row>
    <row r="2560" spans="1:15" x14ac:dyDescent="0.2">
      <c r="A2560">
        <v>87</v>
      </c>
      <c r="B2560">
        <v>6</v>
      </c>
      <c r="C2560">
        <v>10</v>
      </c>
      <c r="D2560" s="2">
        <v>2</v>
      </c>
      <c r="E2560" s="2">
        <v>2</v>
      </c>
      <c r="F2560" s="2" t="s">
        <v>5</v>
      </c>
      <c r="G2560" s="2">
        <v>451.39999999968001</v>
      </c>
      <c r="H2560" s="2" t="s">
        <v>8</v>
      </c>
      <c r="I2560" s="2">
        <v>2008806.0000000501</v>
      </c>
      <c r="J2560" s="2">
        <v>3000</v>
      </c>
      <c r="K2560" s="2">
        <v>100</v>
      </c>
      <c r="L2560" s="2">
        <v>0</v>
      </c>
      <c r="M2560" s="2">
        <v>695907.57</v>
      </c>
      <c r="N2560">
        <f t="shared" si="52"/>
        <v>2705164.9700000496</v>
      </c>
      <c r="O2560" s="2" t="s">
        <v>4</v>
      </c>
    </row>
    <row r="2561" spans="1:15" x14ac:dyDescent="0.2">
      <c r="A2561">
        <v>88</v>
      </c>
      <c r="B2561">
        <v>6</v>
      </c>
      <c r="C2561">
        <v>10</v>
      </c>
      <c r="D2561" s="2">
        <v>3</v>
      </c>
      <c r="E2561" s="2">
        <v>2</v>
      </c>
      <c r="F2561" s="2" t="s">
        <v>5</v>
      </c>
      <c r="G2561" s="2">
        <v>490.20000000048498</v>
      </c>
      <c r="H2561" s="2" t="s">
        <v>8</v>
      </c>
      <c r="I2561" s="2">
        <v>1234313.00000016</v>
      </c>
      <c r="J2561" s="2">
        <v>3000</v>
      </c>
      <c r="K2561" s="2">
        <v>100</v>
      </c>
      <c r="L2561" s="2">
        <v>0</v>
      </c>
      <c r="M2561" s="2">
        <v>693507.57</v>
      </c>
      <c r="N2561">
        <f t="shared" si="52"/>
        <v>1928310.7700001602</v>
      </c>
      <c r="O2561" s="2" t="s">
        <v>4</v>
      </c>
    </row>
    <row r="2562" spans="1:15" x14ac:dyDescent="0.2">
      <c r="A2562">
        <v>89</v>
      </c>
      <c r="B2562">
        <v>6</v>
      </c>
      <c r="C2562">
        <v>7</v>
      </c>
      <c r="D2562" s="2">
        <v>3</v>
      </c>
      <c r="E2562" s="2">
        <v>2</v>
      </c>
      <c r="F2562" s="2" t="s">
        <v>5</v>
      </c>
      <c r="G2562" s="2">
        <v>266.39999999993302</v>
      </c>
      <c r="H2562" s="2" t="s">
        <v>8</v>
      </c>
      <c r="I2562" s="2">
        <v>414899.999999989</v>
      </c>
      <c r="J2562" s="2">
        <v>3000</v>
      </c>
      <c r="K2562" s="2">
        <v>100</v>
      </c>
      <c r="L2562" s="2">
        <v>0</v>
      </c>
      <c r="M2562" s="2">
        <v>535467.17000000004</v>
      </c>
      <c r="N2562">
        <f t="shared" si="52"/>
        <v>950633.56999998889</v>
      </c>
      <c r="O2562" s="2" t="s">
        <v>4</v>
      </c>
    </row>
    <row r="2563" spans="1:15" x14ac:dyDescent="0.2">
      <c r="A2563">
        <v>90</v>
      </c>
      <c r="B2563">
        <v>6</v>
      </c>
      <c r="C2563">
        <v>8</v>
      </c>
      <c r="D2563" s="2">
        <v>2</v>
      </c>
      <c r="E2563" s="2">
        <v>2</v>
      </c>
      <c r="F2563" s="2" t="s">
        <v>5</v>
      </c>
      <c r="G2563" s="2">
        <v>335.79999999986399</v>
      </c>
      <c r="H2563" s="2" t="s">
        <v>8</v>
      </c>
      <c r="I2563" s="2">
        <v>636770.00000006997</v>
      </c>
      <c r="J2563" s="2">
        <v>3000</v>
      </c>
      <c r="K2563" s="2">
        <v>100</v>
      </c>
      <c r="L2563" s="2">
        <v>0</v>
      </c>
      <c r="M2563" s="2">
        <v>578907.97</v>
      </c>
      <c r="N2563">
        <f t="shared" si="52"/>
        <v>1216013.7700000699</v>
      </c>
      <c r="O2563" s="2" t="s">
        <v>4</v>
      </c>
    </row>
    <row r="2564" spans="1:15" x14ac:dyDescent="0.2">
      <c r="A2564">
        <v>91</v>
      </c>
      <c r="B2564">
        <v>6</v>
      </c>
      <c r="C2564">
        <v>8</v>
      </c>
      <c r="D2564" s="2">
        <v>3</v>
      </c>
      <c r="E2564" s="2">
        <v>2</v>
      </c>
      <c r="F2564" s="2" t="s">
        <v>5</v>
      </c>
      <c r="G2564" s="2">
        <v>335.59999999930301</v>
      </c>
      <c r="H2564" s="2" t="s">
        <v>8</v>
      </c>
      <c r="I2564" s="2">
        <v>411151.00000001799</v>
      </c>
      <c r="J2564" s="2">
        <v>3000</v>
      </c>
      <c r="K2564" s="2">
        <v>100</v>
      </c>
      <c r="L2564" s="2">
        <v>0</v>
      </c>
      <c r="M2564" s="2">
        <v>587848.37</v>
      </c>
      <c r="N2564">
        <f t="shared" si="52"/>
        <v>999334.9700000172</v>
      </c>
      <c r="O2564" s="2" t="s">
        <v>4</v>
      </c>
    </row>
    <row r="2565" spans="1:15" x14ac:dyDescent="0.2">
      <c r="A2565">
        <v>92</v>
      </c>
      <c r="B2565">
        <v>6</v>
      </c>
      <c r="C2565">
        <v>8</v>
      </c>
      <c r="D2565" s="2">
        <v>3</v>
      </c>
      <c r="E2565" s="2">
        <v>2</v>
      </c>
      <c r="F2565" s="2" t="s">
        <v>5</v>
      </c>
      <c r="G2565" s="2">
        <v>306.40000000019501</v>
      </c>
      <c r="H2565" s="2" t="s">
        <v>8</v>
      </c>
      <c r="I2565" s="2">
        <v>326122.99999982503</v>
      </c>
      <c r="J2565" s="2">
        <v>3000</v>
      </c>
      <c r="K2565" s="2">
        <v>100</v>
      </c>
      <c r="L2565" s="2">
        <v>0</v>
      </c>
      <c r="M2565" s="2">
        <v>587847.97</v>
      </c>
      <c r="N2565">
        <f t="shared" si="52"/>
        <v>914277.36999982526</v>
      </c>
      <c r="O2565" s="2" t="s">
        <v>4</v>
      </c>
    </row>
    <row r="2566" spans="1:15" x14ac:dyDescent="0.2">
      <c r="A2566">
        <v>93</v>
      </c>
      <c r="B2566">
        <v>6</v>
      </c>
      <c r="C2566">
        <v>11</v>
      </c>
      <c r="D2566" s="2">
        <v>3</v>
      </c>
      <c r="E2566" s="2">
        <v>2</v>
      </c>
      <c r="F2566" s="2" t="s">
        <v>5</v>
      </c>
      <c r="G2566" s="2">
        <v>515.79999999979998</v>
      </c>
      <c r="H2566" s="2" t="s">
        <v>8</v>
      </c>
      <c r="I2566" s="2">
        <v>2579271.9999999502</v>
      </c>
      <c r="J2566" s="2">
        <v>3000</v>
      </c>
      <c r="K2566" s="2">
        <v>100</v>
      </c>
      <c r="L2566" s="2">
        <v>0</v>
      </c>
      <c r="M2566" s="2">
        <v>664828.37</v>
      </c>
      <c r="N2566">
        <f t="shared" si="52"/>
        <v>3244616.1699999501</v>
      </c>
      <c r="O2566" s="2" t="s">
        <v>4</v>
      </c>
    </row>
    <row r="2567" spans="1:15" x14ac:dyDescent="0.2">
      <c r="A2567">
        <v>94</v>
      </c>
      <c r="B2567">
        <v>6</v>
      </c>
      <c r="C2567">
        <v>10</v>
      </c>
      <c r="D2567" s="2">
        <v>2</v>
      </c>
      <c r="E2567" s="2">
        <v>2</v>
      </c>
      <c r="F2567" s="2" t="s">
        <v>5</v>
      </c>
      <c r="G2567" s="2">
        <v>446.600000000075</v>
      </c>
      <c r="H2567" s="2" t="s">
        <v>8</v>
      </c>
      <c r="I2567" s="2">
        <v>2002005.9999999399</v>
      </c>
      <c r="J2567" s="2">
        <v>3000</v>
      </c>
      <c r="K2567" s="2">
        <v>100</v>
      </c>
      <c r="L2567" s="2">
        <v>0</v>
      </c>
      <c r="M2567" s="2">
        <v>573870.37</v>
      </c>
      <c r="N2567">
        <f t="shared" si="52"/>
        <v>2576322.9699999401</v>
      </c>
      <c r="O2567" s="2" t="s">
        <v>4</v>
      </c>
    </row>
    <row r="2568" spans="1:15" x14ac:dyDescent="0.2">
      <c r="A2568">
        <v>95</v>
      </c>
      <c r="B2568">
        <v>6</v>
      </c>
      <c r="C2568">
        <v>12</v>
      </c>
      <c r="D2568" s="2">
        <v>2</v>
      </c>
      <c r="E2568" s="2">
        <v>2</v>
      </c>
      <c r="F2568" s="2" t="s">
        <v>5</v>
      </c>
      <c r="G2568" s="2">
        <v>605.60000000045</v>
      </c>
      <c r="H2568" s="2" t="s">
        <v>8</v>
      </c>
      <c r="I2568" s="2">
        <v>5219995.0000001499</v>
      </c>
      <c r="J2568" s="2">
        <v>3000</v>
      </c>
      <c r="K2568" s="2">
        <v>100</v>
      </c>
      <c r="L2568" s="2">
        <v>0</v>
      </c>
      <c r="M2568" s="2">
        <v>616767.56999999995</v>
      </c>
      <c r="N2568">
        <f t="shared" si="52"/>
        <v>5837368.1700001508</v>
      </c>
      <c r="O2568" s="2" t="s">
        <v>4</v>
      </c>
    </row>
    <row r="2569" spans="1:15" x14ac:dyDescent="0.2">
      <c r="A2569">
        <v>96</v>
      </c>
      <c r="B2569">
        <v>6</v>
      </c>
      <c r="C2569">
        <v>8</v>
      </c>
      <c r="D2569" s="2">
        <v>3</v>
      </c>
      <c r="E2569" s="2">
        <v>2</v>
      </c>
      <c r="F2569" s="2" t="s">
        <v>5</v>
      </c>
      <c r="G2569" s="2">
        <v>301.39999999967398</v>
      </c>
      <c r="H2569" s="2" t="s">
        <v>8</v>
      </c>
      <c r="I2569" s="2">
        <v>538624.00000002701</v>
      </c>
      <c r="J2569" s="2">
        <v>3000</v>
      </c>
      <c r="K2569" s="2">
        <v>100</v>
      </c>
      <c r="L2569" s="2">
        <v>0</v>
      </c>
      <c r="M2569" s="2">
        <v>583947.97</v>
      </c>
      <c r="N2569">
        <f t="shared" si="52"/>
        <v>1122873.3700000267</v>
      </c>
      <c r="O2569" s="2" t="s">
        <v>4</v>
      </c>
    </row>
    <row r="2570" spans="1:15" x14ac:dyDescent="0.2">
      <c r="A2570">
        <v>97</v>
      </c>
      <c r="B2570">
        <v>6</v>
      </c>
      <c r="C2570">
        <v>9</v>
      </c>
      <c r="D2570" s="2">
        <v>3</v>
      </c>
      <c r="E2570" s="2">
        <v>2</v>
      </c>
      <c r="F2570" s="2" t="s">
        <v>5</v>
      </c>
      <c r="G2570" s="2">
        <v>374.59999999995802</v>
      </c>
      <c r="H2570" s="2" t="s">
        <v>8</v>
      </c>
      <c r="I2570" s="2">
        <v>698046.99999985995</v>
      </c>
      <c r="J2570" s="2">
        <v>3000</v>
      </c>
      <c r="K2570" s="2">
        <v>100</v>
      </c>
      <c r="L2570" s="2">
        <v>0</v>
      </c>
      <c r="M2570" s="2">
        <v>592767.56999999995</v>
      </c>
      <c r="N2570">
        <f t="shared" si="52"/>
        <v>1291189.1699998598</v>
      </c>
      <c r="O2570" s="2" t="s">
        <v>4</v>
      </c>
    </row>
    <row r="2571" spans="1:15" x14ac:dyDescent="0.2">
      <c r="A2571">
        <v>98</v>
      </c>
      <c r="B2571">
        <v>6</v>
      </c>
      <c r="C2571">
        <v>10</v>
      </c>
      <c r="D2571" s="2">
        <v>3</v>
      </c>
      <c r="E2571" s="2">
        <v>2</v>
      </c>
      <c r="F2571" s="2" t="s">
        <v>5</v>
      </c>
      <c r="G2571" s="2">
        <v>496.19999999990199</v>
      </c>
      <c r="H2571" s="2" t="s">
        <v>8</v>
      </c>
      <c r="I2571" s="2">
        <v>1091490.00000002</v>
      </c>
      <c r="J2571" s="2">
        <v>3000</v>
      </c>
      <c r="K2571" s="2">
        <v>100</v>
      </c>
      <c r="L2571" s="2">
        <v>0</v>
      </c>
      <c r="M2571" s="2">
        <v>604468.37</v>
      </c>
      <c r="N2571">
        <f t="shared" si="52"/>
        <v>1696454.5700000199</v>
      </c>
      <c r="O2571" s="2" t="s">
        <v>4</v>
      </c>
    </row>
    <row r="2572" spans="1:15" x14ac:dyDescent="0.2">
      <c r="A2572">
        <v>99</v>
      </c>
      <c r="B2572">
        <v>6</v>
      </c>
      <c r="C2572">
        <v>11</v>
      </c>
      <c r="D2572" s="2">
        <v>2</v>
      </c>
      <c r="E2572" s="2">
        <v>2</v>
      </c>
      <c r="F2572" s="2" t="s">
        <v>5</v>
      </c>
      <c r="G2572" s="2">
        <v>500.59999999980698</v>
      </c>
      <c r="H2572" s="2" t="s">
        <v>8</v>
      </c>
      <c r="I2572" s="2">
        <v>2540038.0000001001</v>
      </c>
      <c r="J2572" s="2">
        <v>3000</v>
      </c>
      <c r="K2572" s="2">
        <v>100</v>
      </c>
      <c r="L2572" s="2">
        <v>0</v>
      </c>
      <c r="M2572" s="2">
        <v>682649.17</v>
      </c>
      <c r="N2572">
        <f t="shared" si="52"/>
        <v>3223187.7700000997</v>
      </c>
      <c r="O2572" s="2" t="s">
        <v>4</v>
      </c>
    </row>
    <row r="2573" spans="1:15" x14ac:dyDescent="0.2">
      <c r="A2573">
        <v>70</v>
      </c>
      <c r="B2573">
        <v>6</v>
      </c>
      <c r="C2573">
        <v>6</v>
      </c>
      <c r="D2573" s="2">
        <v>3</v>
      </c>
      <c r="E2573" s="2">
        <v>2</v>
      </c>
      <c r="F2573" s="2" t="s">
        <v>5</v>
      </c>
      <c r="G2573" s="2">
        <v>916.60000000004504</v>
      </c>
      <c r="H2573" s="2" t="s">
        <v>8</v>
      </c>
      <c r="I2573" s="2">
        <v>169758.00000000201</v>
      </c>
      <c r="J2573" s="2">
        <v>5000</v>
      </c>
      <c r="K2573" s="2">
        <v>20</v>
      </c>
      <c r="L2573" s="2">
        <v>0</v>
      </c>
      <c r="M2573" s="2">
        <v>669226.77</v>
      </c>
      <c r="N2573">
        <f t="shared" si="50"/>
        <v>839901.37000000209</v>
      </c>
      <c r="O2573" s="9" t="s">
        <v>5</v>
      </c>
    </row>
    <row r="2574" spans="1:15" x14ac:dyDescent="0.2">
      <c r="A2574">
        <v>71</v>
      </c>
      <c r="B2574">
        <v>6</v>
      </c>
      <c r="C2574">
        <v>7</v>
      </c>
      <c r="D2574" s="2">
        <v>2</v>
      </c>
      <c r="E2574" s="2">
        <v>2</v>
      </c>
      <c r="F2574" s="2" t="s">
        <v>5</v>
      </c>
      <c r="G2574" s="2">
        <v>840.79999999993095</v>
      </c>
      <c r="H2574" s="2" t="s">
        <v>8</v>
      </c>
      <c r="I2574" s="2">
        <v>333503.99999994802</v>
      </c>
      <c r="J2574" s="2">
        <v>5000</v>
      </c>
      <c r="K2574" s="2">
        <v>20</v>
      </c>
      <c r="L2574" s="2">
        <v>0</v>
      </c>
      <c r="M2574" s="2">
        <v>489327.17</v>
      </c>
      <c r="N2574">
        <f t="shared" si="50"/>
        <v>823671.96999994793</v>
      </c>
      <c r="O2574" s="9" t="s">
        <v>4</v>
      </c>
    </row>
    <row r="2575" spans="1:15" x14ac:dyDescent="0.2">
      <c r="A2575">
        <v>72</v>
      </c>
      <c r="B2575">
        <v>6</v>
      </c>
      <c r="C2575">
        <v>7</v>
      </c>
      <c r="D2575" s="2">
        <v>2</v>
      </c>
      <c r="E2575" s="2">
        <v>2</v>
      </c>
      <c r="F2575" s="2" t="s">
        <v>5</v>
      </c>
      <c r="G2575" s="2">
        <v>686.80000000043196</v>
      </c>
      <c r="H2575" s="2" t="s">
        <v>8</v>
      </c>
      <c r="I2575" s="2">
        <v>475044.99999990902</v>
      </c>
      <c r="J2575" s="2">
        <v>5000</v>
      </c>
      <c r="K2575" s="2">
        <v>20</v>
      </c>
      <c r="L2575" s="2">
        <v>0</v>
      </c>
      <c r="M2575" s="2">
        <v>556525.56999999995</v>
      </c>
      <c r="N2575">
        <f t="shared" si="50"/>
        <v>1032257.3699999094</v>
      </c>
      <c r="O2575" s="9" t="s">
        <v>5</v>
      </c>
    </row>
    <row r="2576" spans="1:15" x14ac:dyDescent="0.2">
      <c r="A2576">
        <v>73</v>
      </c>
      <c r="B2576">
        <v>6</v>
      </c>
      <c r="C2576">
        <v>7</v>
      </c>
      <c r="D2576" s="2">
        <v>3</v>
      </c>
      <c r="E2576" s="2">
        <v>2</v>
      </c>
      <c r="F2576" s="2" t="s">
        <v>5</v>
      </c>
      <c r="G2576" s="2">
        <v>696.99999999990303</v>
      </c>
      <c r="H2576" s="2" t="s">
        <v>8</v>
      </c>
      <c r="I2576" s="2">
        <v>533288.00000008405</v>
      </c>
      <c r="J2576" s="2">
        <v>5000</v>
      </c>
      <c r="K2576" s="2">
        <v>20</v>
      </c>
      <c r="L2576" s="2">
        <v>0</v>
      </c>
      <c r="M2576" s="2">
        <v>542626.77</v>
      </c>
      <c r="N2576">
        <f t="shared" si="50"/>
        <v>1076611.7700000838</v>
      </c>
      <c r="O2576" s="9" t="s">
        <v>5</v>
      </c>
    </row>
    <row r="2577" spans="1:15" x14ac:dyDescent="0.2">
      <c r="A2577">
        <v>74</v>
      </c>
      <c r="B2577">
        <v>6</v>
      </c>
      <c r="C2577">
        <v>9</v>
      </c>
      <c r="D2577" s="2">
        <v>3</v>
      </c>
      <c r="E2577" s="2">
        <v>2</v>
      </c>
      <c r="F2577" s="2" t="s">
        <v>5</v>
      </c>
      <c r="G2577" s="2">
        <v>767.00000000009504</v>
      </c>
      <c r="H2577" s="2" t="s">
        <v>8</v>
      </c>
      <c r="I2577" s="2">
        <v>792881.99999996298</v>
      </c>
      <c r="J2577" s="2">
        <v>5000</v>
      </c>
      <c r="K2577" s="2">
        <v>20</v>
      </c>
      <c r="L2577" s="2">
        <v>0</v>
      </c>
      <c r="M2577" s="2">
        <v>455025.17</v>
      </c>
      <c r="N2577">
        <f t="shared" si="50"/>
        <v>1248674.1699999631</v>
      </c>
      <c r="O2577" s="9" t="s">
        <v>4</v>
      </c>
    </row>
    <row r="2578" spans="1:15" x14ac:dyDescent="0.2">
      <c r="A2578">
        <v>75</v>
      </c>
      <c r="B2578">
        <v>6</v>
      </c>
      <c r="C2578">
        <v>7</v>
      </c>
      <c r="D2578" s="2">
        <v>3</v>
      </c>
      <c r="E2578" s="2">
        <v>2</v>
      </c>
      <c r="F2578" s="2" t="s">
        <v>5</v>
      </c>
      <c r="G2578" s="2">
        <v>442.80000000007601</v>
      </c>
      <c r="H2578" s="2" t="s">
        <v>8</v>
      </c>
      <c r="I2578" s="2">
        <v>267370.99999991199</v>
      </c>
      <c r="J2578" s="2">
        <v>5000</v>
      </c>
      <c r="K2578" s="2">
        <v>20</v>
      </c>
      <c r="L2578" s="2">
        <v>0</v>
      </c>
      <c r="M2578" s="2">
        <v>496725.97</v>
      </c>
      <c r="N2578">
        <f t="shared" si="50"/>
        <v>764539.76999991201</v>
      </c>
      <c r="O2578" s="9" t="s">
        <v>5</v>
      </c>
    </row>
    <row r="2579" spans="1:15" x14ac:dyDescent="0.2">
      <c r="A2579">
        <v>76</v>
      </c>
      <c r="B2579">
        <v>6</v>
      </c>
      <c r="C2579">
        <v>8</v>
      </c>
      <c r="D2579" s="2">
        <v>3</v>
      </c>
      <c r="E2579" s="2">
        <v>2</v>
      </c>
      <c r="F2579" s="2" t="s">
        <v>5</v>
      </c>
      <c r="G2579" s="2">
        <v>657.20000000020195</v>
      </c>
      <c r="H2579" s="2" t="s">
        <v>8</v>
      </c>
      <c r="I2579" s="2">
        <v>367324.99999993702</v>
      </c>
      <c r="J2579" s="2">
        <v>5000</v>
      </c>
      <c r="K2579" s="2">
        <v>20</v>
      </c>
      <c r="L2579" s="2">
        <v>0</v>
      </c>
      <c r="M2579" s="2">
        <v>435325.97</v>
      </c>
      <c r="N2579">
        <f t="shared" si="50"/>
        <v>803308.16999993718</v>
      </c>
      <c r="O2579" s="9" t="s">
        <v>4</v>
      </c>
    </row>
    <row r="2580" spans="1:15" x14ac:dyDescent="0.2">
      <c r="A2580">
        <v>77</v>
      </c>
      <c r="B2580">
        <v>6</v>
      </c>
      <c r="C2580">
        <v>8</v>
      </c>
      <c r="D2580" s="2">
        <v>3</v>
      </c>
      <c r="E2580" s="2">
        <v>2</v>
      </c>
      <c r="F2580" s="2" t="s">
        <v>5</v>
      </c>
      <c r="G2580" s="2">
        <v>517.59999999951799</v>
      </c>
      <c r="H2580" s="2" t="s">
        <v>8</v>
      </c>
      <c r="I2580" s="2">
        <v>424015.00000005402</v>
      </c>
      <c r="J2580" s="2">
        <v>5000</v>
      </c>
      <c r="K2580" s="2">
        <v>20</v>
      </c>
      <c r="L2580" s="2">
        <v>0</v>
      </c>
      <c r="M2580" s="2">
        <v>561726.37</v>
      </c>
      <c r="N2580">
        <f t="shared" si="50"/>
        <v>986258.97000005352</v>
      </c>
      <c r="O2580" s="9" t="s">
        <v>4</v>
      </c>
    </row>
    <row r="2581" spans="1:15" x14ac:dyDescent="0.2">
      <c r="A2581">
        <v>78</v>
      </c>
      <c r="B2581">
        <v>6</v>
      </c>
      <c r="C2581">
        <v>8</v>
      </c>
      <c r="D2581" s="2">
        <v>3</v>
      </c>
      <c r="E2581" s="2">
        <v>2</v>
      </c>
      <c r="F2581" s="2" t="s">
        <v>5</v>
      </c>
      <c r="G2581" s="2">
        <v>411.19999999992302</v>
      </c>
      <c r="H2581" s="2" t="s">
        <v>8</v>
      </c>
      <c r="I2581" s="2">
        <v>421569.00000008999</v>
      </c>
      <c r="J2581" s="2">
        <v>5000</v>
      </c>
      <c r="K2581" s="2">
        <v>20</v>
      </c>
      <c r="L2581" s="2">
        <v>0</v>
      </c>
      <c r="M2581" s="2">
        <v>567426.37</v>
      </c>
      <c r="N2581">
        <f t="shared" si="50"/>
        <v>989406.57000008994</v>
      </c>
      <c r="O2581" s="9" t="s">
        <v>4</v>
      </c>
    </row>
    <row r="2582" spans="1:15" x14ac:dyDescent="0.2">
      <c r="A2582">
        <v>79</v>
      </c>
      <c r="B2582">
        <v>6</v>
      </c>
      <c r="C2582">
        <v>8</v>
      </c>
      <c r="D2582" s="2">
        <v>3</v>
      </c>
      <c r="E2582" s="2">
        <v>2</v>
      </c>
      <c r="F2582" s="2" t="s">
        <v>5</v>
      </c>
      <c r="G2582" s="2">
        <v>394.20000000021099</v>
      </c>
      <c r="H2582" s="2" t="s">
        <v>8</v>
      </c>
      <c r="I2582" s="2">
        <v>507382.00000000698</v>
      </c>
      <c r="J2582" s="2">
        <v>5000</v>
      </c>
      <c r="K2582" s="2">
        <v>20</v>
      </c>
      <c r="L2582" s="2">
        <v>0</v>
      </c>
      <c r="M2582" s="2">
        <v>493025.97</v>
      </c>
      <c r="N2582">
        <f t="shared" si="50"/>
        <v>1000802.1700000071</v>
      </c>
      <c r="O2582" s="9" t="s">
        <v>4</v>
      </c>
    </row>
    <row r="2583" spans="1:15" x14ac:dyDescent="0.2">
      <c r="A2583">
        <v>80</v>
      </c>
      <c r="B2583">
        <v>6</v>
      </c>
      <c r="C2583">
        <v>7</v>
      </c>
      <c r="D2583" s="2">
        <v>3</v>
      </c>
      <c r="E2583" s="2">
        <v>2</v>
      </c>
      <c r="F2583" s="2" t="s">
        <v>5</v>
      </c>
      <c r="G2583" s="2">
        <v>306.60000000004601</v>
      </c>
      <c r="H2583" s="2" t="s">
        <v>8</v>
      </c>
      <c r="I2583" s="2">
        <v>217282.00000006799</v>
      </c>
      <c r="J2583" s="2">
        <v>5000</v>
      </c>
      <c r="K2583" s="2">
        <v>20</v>
      </c>
      <c r="L2583" s="2">
        <v>0</v>
      </c>
      <c r="M2583" s="2">
        <v>558725.56999999995</v>
      </c>
      <c r="N2583">
        <f t="shared" si="50"/>
        <v>776314.17000006791</v>
      </c>
      <c r="O2583" s="9" t="s">
        <v>4</v>
      </c>
    </row>
    <row r="2584" spans="1:15" x14ac:dyDescent="0.2">
      <c r="A2584">
        <v>81</v>
      </c>
      <c r="B2584">
        <v>6</v>
      </c>
      <c r="C2584">
        <v>8</v>
      </c>
      <c r="D2584" s="2">
        <v>3</v>
      </c>
      <c r="E2584" s="2">
        <v>2</v>
      </c>
      <c r="F2584" s="2" t="s">
        <v>5</v>
      </c>
      <c r="G2584" s="2">
        <v>372.600000000389</v>
      </c>
      <c r="H2584" s="2" t="s">
        <v>8</v>
      </c>
      <c r="I2584" s="2">
        <v>572054.99999986403</v>
      </c>
      <c r="J2584" s="2">
        <v>5000</v>
      </c>
      <c r="K2584" s="2">
        <v>20</v>
      </c>
      <c r="L2584" s="2">
        <v>0</v>
      </c>
      <c r="M2584" s="2">
        <v>486325.57</v>
      </c>
      <c r="N2584">
        <f t="shared" si="50"/>
        <v>1058753.1699998644</v>
      </c>
      <c r="O2584" s="9" t="s">
        <v>4</v>
      </c>
    </row>
    <row r="2585" spans="1:15" x14ac:dyDescent="0.2">
      <c r="A2585">
        <v>82</v>
      </c>
      <c r="B2585">
        <v>6</v>
      </c>
      <c r="C2585">
        <v>8</v>
      </c>
      <c r="D2585" s="2">
        <v>2</v>
      </c>
      <c r="E2585" s="2">
        <v>2</v>
      </c>
      <c r="F2585" s="2" t="s">
        <v>5</v>
      </c>
      <c r="G2585" s="2">
        <v>377.99999999990098</v>
      </c>
      <c r="H2585" s="2" t="s">
        <v>8</v>
      </c>
      <c r="I2585" s="2">
        <v>449708.99999998399</v>
      </c>
      <c r="J2585" s="2">
        <v>5000</v>
      </c>
      <c r="K2585" s="2">
        <v>20</v>
      </c>
      <c r="L2585" s="2">
        <v>0</v>
      </c>
      <c r="M2585" s="2">
        <v>557226.37</v>
      </c>
      <c r="N2585">
        <f t="shared" si="50"/>
        <v>1007313.3699999838</v>
      </c>
      <c r="O2585" s="9" t="s">
        <v>4</v>
      </c>
    </row>
    <row r="2586" spans="1:15" x14ac:dyDescent="0.2">
      <c r="A2586">
        <v>83</v>
      </c>
      <c r="B2586">
        <v>6</v>
      </c>
      <c r="C2586">
        <v>9</v>
      </c>
      <c r="D2586" s="2">
        <v>2</v>
      </c>
      <c r="E2586" s="2">
        <v>2</v>
      </c>
      <c r="F2586" s="2" t="s">
        <v>5</v>
      </c>
      <c r="G2586" s="2">
        <v>451.20000000018501</v>
      </c>
      <c r="H2586" s="2" t="s">
        <v>8</v>
      </c>
      <c r="I2586" s="2">
        <v>1278454.00000001</v>
      </c>
      <c r="J2586" s="2">
        <v>5000</v>
      </c>
      <c r="K2586" s="2">
        <v>20</v>
      </c>
      <c r="L2586" s="2">
        <v>0</v>
      </c>
      <c r="M2586" s="2">
        <v>582924.77</v>
      </c>
      <c r="N2586">
        <f t="shared" si="50"/>
        <v>1861829.9700000102</v>
      </c>
      <c r="O2586" s="9" t="s">
        <v>4</v>
      </c>
    </row>
    <row r="2587" spans="1:15" x14ac:dyDescent="0.2">
      <c r="A2587">
        <v>84</v>
      </c>
      <c r="B2587">
        <v>6</v>
      </c>
      <c r="C2587">
        <v>10</v>
      </c>
      <c r="D2587" s="2">
        <v>2</v>
      </c>
      <c r="E2587" s="2">
        <v>2</v>
      </c>
      <c r="F2587" s="2" t="s">
        <v>5</v>
      </c>
      <c r="G2587" s="2">
        <v>503.80000000060897</v>
      </c>
      <c r="H2587" s="2" t="s">
        <v>8</v>
      </c>
      <c r="I2587" s="2">
        <v>4835274.0000000298</v>
      </c>
      <c r="J2587" s="2">
        <v>5000</v>
      </c>
      <c r="K2587" s="2">
        <v>20</v>
      </c>
      <c r="L2587" s="2">
        <v>0</v>
      </c>
      <c r="M2587" s="2">
        <v>525025.17000000004</v>
      </c>
      <c r="N2587">
        <f t="shared" si="50"/>
        <v>5360802.9700000305</v>
      </c>
      <c r="O2587" s="9" t="s">
        <v>4</v>
      </c>
    </row>
    <row r="2588" spans="1:15" x14ac:dyDescent="0.2">
      <c r="A2588">
        <v>85</v>
      </c>
      <c r="B2588">
        <v>6</v>
      </c>
      <c r="C2588">
        <v>8</v>
      </c>
      <c r="D2588" s="2">
        <v>2</v>
      </c>
      <c r="E2588" s="2">
        <v>2</v>
      </c>
      <c r="F2588" s="2" t="s">
        <v>5</v>
      </c>
      <c r="G2588" s="2">
        <v>348.000000000326</v>
      </c>
      <c r="H2588" s="2" t="s">
        <v>8</v>
      </c>
      <c r="I2588" s="2">
        <v>562017.99999985297</v>
      </c>
      <c r="J2588" s="2">
        <v>5000</v>
      </c>
      <c r="K2588" s="2">
        <v>20</v>
      </c>
      <c r="L2588" s="2">
        <v>0</v>
      </c>
      <c r="M2588" s="2">
        <v>457227.17</v>
      </c>
      <c r="N2588">
        <f t="shared" si="50"/>
        <v>1019593.1699998532</v>
      </c>
      <c r="O2588" s="9" t="s">
        <v>4</v>
      </c>
    </row>
    <row r="2589" spans="1:15" x14ac:dyDescent="0.2">
      <c r="A2589">
        <v>86</v>
      </c>
      <c r="B2589">
        <v>6</v>
      </c>
      <c r="C2589">
        <v>10</v>
      </c>
      <c r="D2589" s="2">
        <v>3</v>
      </c>
      <c r="E2589" s="2">
        <v>2</v>
      </c>
      <c r="F2589" s="2" t="s">
        <v>5</v>
      </c>
      <c r="G2589" s="2">
        <v>468.00000000004599</v>
      </c>
      <c r="H2589" s="2" t="s">
        <v>8</v>
      </c>
      <c r="I2589" s="2">
        <v>2626483.9999998901</v>
      </c>
      <c r="J2589" s="2">
        <v>5000</v>
      </c>
      <c r="K2589" s="2">
        <v>20</v>
      </c>
      <c r="L2589" s="2">
        <v>0</v>
      </c>
      <c r="M2589" s="2">
        <v>715527.57</v>
      </c>
      <c r="N2589">
        <f t="shared" si="50"/>
        <v>3342479.5699998899</v>
      </c>
      <c r="O2589" s="9" t="s">
        <v>4</v>
      </c>
    </row>
    <row r="2590" spans="1:15" x14ac:dyDescent="0.2">
      <c r="A2590">
        <v>87</v>
      </c>
      <c r="B2590">
        <v>6</v>
      </c>
      <c r="C2590">
        <v>10</v>
      </c>
      <c r="D2590" s="2">
        <v>2</v>
      </c>
      <c r="E2590" s="2">
        <v>2</v>
      </c>
      <c r="F2590" s="2" t="s">
        <v>5</v>
      </c>
      <c r="G2590" s="2">
        <v>451.39999999968001</v>
      </c>
      <c r="H2590" s="2" t="s">
        <v>8</v>
      </c>
      <c r="I2590" s="2">
        <v>2008806.0000000501</v>
      </c>
      <c r="J2590" s="2">
        <v>5000</v>
      </c>
      <c r="K2590" s="2">
        <v>20</v>
      </c>
      <c r="L2590" s="2">
        <v>0</v>
      </c>
      <c r="M2590" s="2">
        <v>749225.57</v>
      </c>
      <c r="N2590">
        <f t="shared" si="50"/>
        <v>2758482.9700000496</v>
      </c>
      <c r="O2590" s="9" t="s">
        <v>4</v>
      </c>
    </row>
    <row r="2591" spans="1:15" x14ac:dyDescent="0.2">
      <c r="A2591">
        <v>88</v>
      </c>
      <c r="B2591">
        <v>6</v>
      </c>
      <c r="C2591">
        <v>10</v>
      </c>
      <c r="D2591" s="2">
        <v>3</v>
      </c>
      <c r="E2591" s="2">
        <v>2</v>
      </c>
      <c r="F2591" s="2" t="s">
        <v>5</v>
      </c>
      <c r="G2591" s="2">
        <v>490.20000000048498</v>
      </c>
      <c r="H2591" s="2" t="s">
        <v>8</v>
      </c>
      <c r="I2591" s="2">
        <v>1234313.00000016</v>
      </c>
      <c r="J2591" s="2">
        <v>5000</v>
      </c>
      <c r="K2591" s="2">
        <v>20</v>
      </c>
      <c r="L2591" s="2">
        <v>0</v>
      </c>
      <c r="M2591" s="2">
        <v>745225.57</v>
      </c>
      <c r="N2591">
        <f t="shared" si="50"/>
        <v>1980028.7700001602</v>
      </c>
      <c r="O2591" s="9" t="s">
        <v>4</v>
      </c>
    </row>
    <row r="2592" spans="1:15" x14ac:dyDescent="0.2">
      <c r="A2592">
        <v>89</v>
      </c>
      <c r="B2592">
        <v>6</v>
      </c>
      <c r="C2592">
        <v>7</v>
      </c>
      <c r="D2592" s="2">
        <v>3</v>
      </c>
      <c r="E2592" s="2">
        <v>2</v>
      </c>
      <c r="F2592" s="2" t="s">
        <v>5</v>
      </c>
      <c r="G2592" s="2">
        <v>266.39999999993302</v>
      </c>
      <c r="H2592" s="2" t="s">
        <v>8</v>
      </c>
      <c r="I2592" s="2">
        <v>414899.999999989</v>
      </c>
      <c r="J2592" s="2">
        <v>5000</v>
      </c>
      <c r="K2592" s="2">
        <v>20</v>
      </c>
      <c r="L2592" s="2">
        <v>0</v>
      </c>
      <c r="M2592" s="2">
        <v>481825.57</v>
      </c>
      <c r="N2592">
        <f t="shared" si="50"/>
        <v>896991.96999998891</v>
      </c>
      <c r="O2592" s="9" t="s">
        <v>4</v>
      </c>
    </row>
    <row r="2593" spans="1:15" x14ac:dyDescent="0.2">
      <c r="A2593">
        <v>90</v>
      </c>
      <c r="B2593">
        <v>6</v>
      </c>
      <c r="C2593">
        <v>8</v>
      </c>
      <c r="D2593" s="2">
        <v>2</v>
      </c>
      <c r="E2593" s="2">
        <v>2</v>
      </c>
      <c r="F2593" s="2" t="s">
        <v>5</v>
      </c>
      <c r="G2593" s="2">
        <v>335.79999999986399</v>
      </c>
      <c r="H2593" s="2" t="s">
        <v>8</v>
      </c>
      <c r="I2593" s="2">
        <v>636770.00000006997</v>
      </c>
      <c r="J2593" s="2">
        <v>5000</v>
      </c>
      <c r="K2593" s="2">
        <v>20</v>
      </c>
      <c r="L2593" s="2">
        <v>0</v>
      </c>
      <c r="M2593" s="2">
        <v>554226.37</v>
      </c>
      <c r="N2593">
        <f t="shared" si="50"/>
        <v>1191332.1700000698</v>
      </c>
      <c r="O2593" s="9" t="s">
        <v>4</v>
      </c>
    </row>
    <row r="2594" spans="1:15" x14ac:dyDescent="0.2">
      <c r="A2594">
        <v>91</v>
      </c>
      <c r="B2594">
        <v>6</v>
      </c>
      <c r="C2594">
        <v>8</v>
      </c>
      <c r="D2594" s="2">
        <v>3</v>
      </c>
      <c r="E2594" s="2">
        <v>2</v>
      </c>
      <c r="F2594" s="2" t="s">
        <v>5</v>
      </c>
      <c r="G2594" s="2">
        <v>335.59999999930301</v>
      </c>
      <c r="H2594" s="2" t="s">
        <v>8</v>
      </c>
      <c r="I2594" s="2">
        <v>411151.00000001799</v>
      </c>
      <c r="J2594" s="2">
        <v>5000</v>
      </c>
      <c r="K2594" s="2">
        <v>20</v>
      </c>
      <c r="L2594" s="2">
        <v>0</v>
      </c>
      <c r="M2594" s="2">
        <v>569127.17000000004</v>
      </c>
      <c r="N2594">
        <f t="shared" si="50"/>
        <v>980613.77000001725</v>
      </c>
      <c r="O2594" s="9" t="s">
        <v>4</v>
      </c>
    </row>
    <row r="2595" spans="1:15" x14ac:dyDescent="0.2">
      <c r="A2595">
        <v>92</v>
      </c>
      <c r="B2595">
        <v>6</v>
      </c>
      <c r="C2595">
        <v>8</v>
      </c>
      <c r="D2595" s="2">
        <v>3</v>
      </c>
      <c r="E2595" s="2">
        <v>2</v>
      </c>
      <c r="F2595" s="2" t="s">
        <v>5</v>
      </c>
      <c r="G2595" s="2">
        <v>306.40000000019501</v>
      </c>
      <c r="H2595" s="2" t="s">
        <v>8</v>
      </c>
      <c r="I2595" s="2">
        <v>326122.99999982503</v>
      </c>
      <c r="J2595" s="2">
        <v>5000</v>
      </c>
      <c r="K2595" s="2">
        <v>20</v>
      </c>
      <c r="L2595" s="2">
        <v>0</v>
      </c>
      <c r="M2595" s="2">
        <v>569127.17000000004</v>
      </c>
      <c r="N2595">
        <f t="shared" si="50"/>
        <v>895556.56999982521</v>
      </c>
      <c r="O2595" s="9" t="s">
        <v>4</v>
      </c>
    </row>
    <row r="2596" spans="1:15" x14ac:dyDescent="0.2">
      <c r="A2596">
        <v>93</v>
      </c>
      <c r="B2596">
        <v>6</v>
      </c>
      <c r="C2596">
        <v>11</v>
      </c>
      <c r="D2596" s="2">
        <v>3</v>
      </c>
      <c r="E2596" s="2">
        <v>2</v>
      </c>
      <c r="F2596" s="2" t="s">
        <v>5</v>
      </c>
      <c r="G2596" s="2">
        <v>515.79999999979998</v>
      </c>
      <c r="H2596" s="2" t="s">
        <v>8</v>
      </c>
      <c r="I2596" s="2">
        <v>2579271.9999999502</v>
      </c>
      <c r="J2596" s="2">
        <v>5000</v>
      </c>
      <c r="K2596" s="2">
        <v>20</v>
      </c>
      <c r="L2596" s="2">
        <v>0</v>
      </c>
      <c r="M2596" s="2">
        <v>697428.37</v>
      </c>
      <c r="N2596">
        <f t="shared" si="50"/>
        <v>3277216.1699999501</v>
      </c>
      <c r="O2596" s="9" t="s">
        <v>4</v>
      </c>
    </row>
    <row r="2597" spans="1:15" x14ac:dyDescent="0.2">
      <c r="A2597">
        <v>94</v>
      </c>
      <c r="B2597">
        <v>6</v>
      </c>
      <c r="C2597">
        <v>10</v>
      </c>
      <c r="D2597" s="2">
        <v>2</v>
      </c>
      <c r="E2597" s="2">
        <v>2</v>
      </c>
      <c r="F2597" s="2" t="s">
        <v>5</v>
      </c>
      <c r="G2597" s="2">
        <v>446.600000000075</v>
      </c>
      <c r="H2597" s="2" t="s">
        <v>8</v>
      </c>
      <c r="I2597" s="2">
        <v>2002005.9999999399</v>
      </c>
      <c r="J2597" s="2">
        <v>5000</v>
      </c>
      <c r="K2597" s="2">
        <v>20</v>
      </c>
      <c r="L2597" s="2">
        <v>0</v>
      </c>
      <c r="M2597" s="2">
        <v>545827.56999999995</v>
      </c>
      <c r="N2597">
        <f t="shared" si="50"/>
        <v>2548280.1699999399</v>
      </c>
      <c r="O2597" s="9" t="s">
        <v>4</v>
      </c>
    </row>
    <row r="2598" spans="1:15" x14ac:dyDescent="0.2">
      <c r="A2598">
        <v>95</v>
      </c>
      <c r="B2598">
        <v>6</v>
      </c>
      <c r="C2598">
        <v>12</v>
      </c>
      <c r="D2598" s="2">
        <v>2</v>
      </c>
      <c r="E2598" s="2">
        <v>2</v>
      </c>
      <c r="F2598" s="2" t="s">
        <v>5</v>
      </c>
      <c r="G2598" s="2">
        <v>605.60000000045</v>
      </c>
      <c r="H2598" s="2" t="s">
        <v>8</v>
      </c>
      <c r="I2598" s="2">
        <v>5219995.0000001499</v>
      </c>
      <c r="J2598" s="2">
        <v>5000</v>
      </c>
      <c r="K2598" s="2">
        <v>20</v>
      </c>
      <c r="L2598" s="2">
        <v>0</v>
      </c>
      <c r="M2598" s="2">
        <v>617325.56999999995</v>
      </c>
      <c r="N2598">
        <f t="shared" si="50"/>
        <v>5837926.1700001508</v>
      </c>
      <c r="O2598" s="9" t="s">
        <v>4</v>
      </c>
    </row>
    <row r="2599" spans="1:15" x14ac:dyDescent="0.2">
      <c r="A2599">
        <v>96</v>
      </c>
      <c r="B2599">
        <v>6</v>
      </c>
      <c r="C2599">
        <v>8</v>
      </c>
      <c r="D2599" s="2">
        <v>3</v>
      </c>
      <c r="E2599" s="2">
        <v>2</v>
      </c>
      <c r="F2599" s="2" t="s">
        <v>5</v>
      </c>
      <c r="G2599" s="2">
        <v>301.39999999967398</v>
      </c>
      <c r="H2599" s="2" t="s">
        <v>8</v>
      </c>
      <c r="I2599" s="2">
        <v>538624.00000002701</v>
      </c>
      <c r="J2599" s="2">
        <v>5000</v>
      </c>
      <c r="K2599" s="2">
        <v>20</v>
      </c>
      <c r="L2599" s="2">
        <v>0</v>
      </c>
      <c r="M2599" s="2">
        <v>562625.97</v>
      </c>
      <c r="N2599">
        <f t="shared" si="50"/>
        <v>1101551.3700000267</v>
      </c>
      <c r="O2599" s="9" t="s">
        <v>4</v>
      </c>
    </row>
    <row r="2600" spans="1:15" x14ac:dyDescent="0.2">
      <c r="A2600">
        <v>97</v>
      </c>
      <c r="B2600">
        <v>6</v>
      </c>
      <c r="C2600">
        <v>9</v>
      </c>
      <c r="D2600" s="2">
        <v>3</v>
      </c>
      <c r="E2600" s="2">
        <v>2</v>
      </c>
      <c r="F2600" s="2" t="s">
        <v>5</v>
      </c>
      <c r="G2600" s="2">
        <v>374.59999999995802</v>
      </c>
      <c r="H2600" s="2" t="s">
        <v>8</v>
      </c>
      <c r="I2600" s="2">
        <v>698046.99999985995</v>
      </c>
      <c r="J2600" s="2">
        <v>5000</v>
      </c>
      <c r="K2600" s="2">
        <v>20</v>
      </c>
      <c r="L2600" s="2">
        <v>0</v>
      </c>
      <c r="M2600" s="2">
        <v>577325.56999999995</v>
      </c>
      <c r="N2600">
        <f t="shared" si="50"/>
        <v>1275747.1699998598</v>
      </c>
      <c r="O2600" s="9" t="s">
        <v>4</v>
      </c>
    </row>
    <row r="2601" spans="1:15" x14ac:dyDescent="0.2">
      <c r="A2601">
        <v>98</v>
      </c>
      <c r="B2601">
        <v>6</v>
      </c>
      <c r="C2601">
        <v>10</v>
      </c>
      <c r="D2601" s="2">
        <v>3</v>
      </c>
      <c r="E2601" s="2">
        <v>2</v>
      </c>
      <c r="F2601" s="2" t="s">
        <v>5</v>
      </c>
      <c r="G2601" s="2">
        <v>496.19999999990199</v>
      </c>
      <c r="H2601" s="2" t="s">
        <v>8</v>
      </c>
      <c r="I2601" s="2">
        <v>1091490.00000002</v>
      </c>
      <c r="J2601" s="2">
        <v>5000</v>
      </c>
      <c r="K2601" s="2">
        <v>20</v>
      </c>
      <c r="L2601" s="2">
        <v>0</v>
      </c>
      <c r="M2601" s="2">
        <v>596826.77</v>
      </c>
      <c r="N2601">
        <f t="shared" si="50"/>
        <v>1688812.97000002</v>
      </c>
      <c r="O2601" s="9" t="s">
        <v>4</v>
      </c>
    </row>
    <row r="2602" spans="1:15" x14ac:dyDescent="0.2">
      <c r="A2602">
        <v>99</v>
      </c>
      <c r="B2602">
        <v>6</v>
      </c>
      <c r="C2602">
        <v>11</v>
      </c>
      <c r="D2602" s="2">
        <v>2</v>
      </c>
      <c r="E2602" s="2">
        <v>2</v>
      </c>
      <c r="F2602" s="2" t="s">
        <v>5</v>
      </c>
      <c r="G2602" s="2">
        <v>500.59999999980698</v>
      </c>
      <c r="H2602" s="2" t="s">
        <v>8</v>
      </c>
      <c r="I2602" s="2">
        <v>2540038.0000001001</v>
      </c>
      <c r="J2602" s="2">
        <v>5000</v>
      </c>
      <c r="K2602" s="2">
        <v>20</v>
      </c>
      <c r="L2602" s="2">
        <v>0</v>
      </c>
      <c r="M2602" s="2">
        <v>727128.77</v>
      </c>
      <c r="N2602">
        <f t="shared" si="50"/>
        <v>3267667.3700000998</v>
      </c>
      <c r="O2602" s="9" t="s">
        <v>4</v>
      </c>
    </row>
    <row r="2603" spans="1:15" x14ac:dyDescent="0.2">
      <c r="A2603">
        <v>70</v>
      </c>
      <c r="B2603">
        <v>6</v>
      </c>
      <c r="C2603">
        <v>6</v>
      </c>
      <c r="D2603" s="2">
        <v>3</v>
      </c>
      <c r="E2603" s="2">
        <v>2</v>
      </c>
      <c r="F2603" s="2" t="s">
        <v>5</v>
      </c>
      <c r="G2603" s="2">
        <v>916.60000000004504</v>
      </c>
      <c r="H2603" s="2" t="s">
        <v>8</v>
      </c>
      <c r="I2603" s="2">
        <v>169758.00000000201</v>
      </c>
      <c r="J2603" s="2">
        <v>2000</v>
      </c>
      <c r="K2603" s="2">
        <v>100</v>
      </c>
      <c r="L2603" s="2">
        <v>0</v>
      </c>
      <c r="M2603" s="2">
        <v>437248.77</v>
      </c>
      <c r="N2603">
        <f t="shared" ref="N2603:N3061" si="53">G2603+I2603+M2603</f>
        <v>607923.37000000209</v>
      </c>
      <c r="O2603" s="9" t="s">
        <v>4</v>
      </c>
    </row>
    <row r="2604" spans="1:15" x14ac:dyDescent="0.2">
      <c r="A2604">
        <v>71</v>
      </c>
      <c r="B2604">
        <v>6</v>
      </c>
      <c r="C2604">
        <v>7</v>
      </c>
      <c r="D2604" s="2">
        <v>2</v>
      </c>
      <c r="E2604" s="2">
        <v>2</v>
      </c>
      <c r="F2604" s="2" t="s">
        <v>5</v>
      </c>
      <c r="G2604" s="2">
        <v>840.79999999993095</v>
      </c>
      <c r="H2604" s="2" t="s">
        <v>8</v>
      </c>
      <c r="I2604" s="2">
        <v>333503.99999994802</v>
      </c>
      <c r="J2604" s="2">
        <v>2000</v>
      </c>
      <c r="K2604" s="2">
        <v>100</v>
      </c>
      <c r="L2604" s="2">
        <v>0</v>
      </c>
      <c r="M2604" s="2">
        <v>365288.77</v>
      </c>
      <c r="N2604">
        <f t="shared" si="53"/>
        <v>699633.56999994791</v>
      </c>
      <c r="O2604" s="9" t="s">
        <v>4</v>
      </c>
    </row>
    <row r="2605" spans="1:15" x14ac:dyDescent="0.2">
      <c r="A2605">
        <v>72</v>
      </c>
      <c r="B2605">
        <v>6</v>
      </c>
      <c r="C2605">
        <v>7</v>
      </c>
      <c r="D2605" s="2">
        <v>2</v>
      </c>
      <c r="E2605" s="2">
        <v>2</v>
      </c>
      <c r="F2605" s="2" t="s">
        <v>5</v>
      </c>
      <c r="G2605" s="2">
        <v>686.80000000043196</v>
      </c>
      <c r="H2605" s="2" t="s">
        <v>8</v>
      </c>
      <c r="I2605" s="2">
        <v>475044.99999990902</v>
      </c>
      <c r="J2605" s="2">
        <v>2000</v>
      </c>
      <c r="K2605" s="2">
        <v>100</v>
      </c>
      <c r="L2605" s="2">
        <v>0</v>
      </c>
      <c r="M2605" s="2">
        <v>392167.17</v>
      </c>
      <c r="N2605">
        <f t="shared" si="53"/>
        <v>867898.9699999094</v>
      </c>
      <c r="O2605" s="9" t="s">
        <v>4</v>
      </c>
    </row>
    <row r="2606" spans="1:15" x14ac:dyDescent="0.2">
      <c r="A2606">
        <v>73</v>
      </c>
      <c r="B2606">
        <v>6</v>
      </c>
      <c r="C2606">
        <v>7</v>
      </c>
      <c r="D2606" s="2">
        <v>3</v>
      </c>
      <c r="E2606" s="2">
        <v>2</v>
      </c>
      <c r="F2606" s="2" t="s">
        <v>5</v>
      </c>
      <c r="G2606" s="2">
        <v>696.99999999990303</v>
      </c>
      <c r="H2606" s="2" t="s">
        <v>8</v>
      </c>
      <c r="I2606" s="2">
        <v>533288.00000008405</v>
      </c>
      <c r="J2606" s="2">
        <v>2000</v>
      </c>
      <c r="K2606" s="2">
        <v>100</v>
      </c>
      <c r="L2606" s="2">
        <v>0</v>
      </c>
      <c r="M2606" s="2">
        <v>386608.77</v>
      </c>
      <c r="N2606">
        <f t="shared" si="53"/>
        <v>920593.77000008395</v>
      </c>
      <c r="O2606" s="9" t="s">
        <v>4</v>
      </c>
    </row>
    <row r="2607" spans="1:15" x14ac:dyDescent="0.2">
      <c r="A2607">
        <v>74</v>
      </c>
      <c r="B2607">
        <v>6</v>
      </c>
      <c r="C2607">
        <v>9</v>
      </c>
      <c r="D2607" s="2">
        <v>3</v>
      </c>
      <c r="E2607" s="2">
        <v>2</v>
      </c>
      <c r="F2607" s="2" t="s">
        <v>5</v>
      </c>
      <c r="G2607" s="2">
        <v>767.00000000009504</v>
      </c>
      <c r="H2607" s="2" t="s">
        <v>8</v>
      </c>
      <c r="I2607" s="2">
        <v>792881.99999996298</v>
      </c>
      <c r="J2607" s="2">
        <v>2000</v>
      </c>
      <c r="K2607" s="2">
        <v>100</v>
      </c>
      <c r="L2607" s="2">
        <v>0</v>
      </c>
      <c r="M2607" s="2">
        <v>351567.17</v>
      </c>
      <c r="N2607">
        <f t="shared" si="53"/>
        <v>1145216.1699999631</v>
      </c>
      <c r="O2607" s="9" t="s">
        <v>4</v>
      </c>
    </row>
    <row r="2608" spans="1:15" x14ac:dyDescent="0.2">
      <c r="A2608">
        <v>75</v>
      </c>
      <c r="B2608">
        <v>6</v>
      </c>
      <c r="C2608">
        <v>7</v>
      </c>
      <c r="D2608" s="2">
        <v>3</v>
      </c>
      <c r="E2608" s="2">
        <v>2</v>
      </c>
      <c r="F2608" s="2" t="s">
        <v>5</v>
      </c>
      <c r="G2608" s="2">
        <v>442.80000000007601</v>
      </c>
      <c r="H2608" s="2" t="s">
        <v>8</v>
      </c>
      <c r="I2608" s="2">
        <v>267370.99999991199</v>
      </c>
      <c r="J2608" s="2">
        <v>2000</v>
      </c>
      <c r="K2608" s="2">
        <v>100</v>
      </c>
      <c r="L2608" s="2">
        <v>0</v>
      </c>
      <c r="M2608" s="2">
        <v>368248.37</v>
      </c>
      <c r="N2608">
        <f t="shared" ref="N2608:N2662" si="54">G2608+I2608+M2608</f>
        <v>636062.16999991215</v>
      </c>
      <c r="O2608" s="9" t="s">
        <v>4</v>
      </c>
    </row>
    <row r="2609" spans="1:15" x14ac:dyDescent="0.2">
      <c r="A2609">
        <v>76</v>
      </c>
      <c r="B2609">
        <v>6</v>
      </c>
      <c r="C2609">
        <v>8</v>
      </c>
      <c r="D2609" s="2">
        <v>3</v>
      </c>
      <c r="E2609" s="2">
        <v>2</v>
      </c>
      <c r="F2609" s="2" t="s">
        <v>5</v>
      </c>
      <c r="G2609" s="2">
        <v>657.20000000020195</v>
      </c>
      <c r="H2609" s="2" t="s">
        <v>8</v>
      </c>
      <c r="I2609" s="2">
        <v>367324.99999993702</v>
      </c>
      <c r="J2609" s="2">
        <v>2000</v>
      </c>
      <c r="K2609" s="2">
        <v>100</v>
      </c>
      <c r="L2609" s="2">
        <v>0</v>
      </c>
      <c r="M2609" s="2">
        <v>343688.37</v>
      </c>
      <c r="N2609">
        <f t="shared" si="54"/>
        <v>711670.5699999372</v>
      </c>
      <c r="O2609" s="9" t="s">
        <v>4</v>
      </c>
    </row>
    <row r="2610" spans="1:15" x14ac:dyDescent="0.2">
      <c r="A2610">
        <v>77</v>
      </c>
      <c r="B2610">
        <v>6</v>
      </c>
      <c r="C2610">
        <v>8</v>
      </c>
      <c r="D2610" s="2">
        <v>3</v>
      </c>
      <c r="E2610" s="2">
        <v>2</v>
      </c>
      <c r="F2610" s="2" t="s">
        <v>5</v>
      </c>
      <c r="G2610" s="2">
        <v>517.59999999951799</v>
      </c>
      <c r="H2610" s="2" t="s">
        <v>8</v>
      </c>
      <c r="I2610" s="2">
        <v>424015.00000005402</v>
      </c>
      <c r="J2610" s="2">
        <v>2000</v>
      </c>
      <c r="K2610" s="2">
        <v>100</v>
      </c>
      <c r="L2610" s="2">
        <v>0</v>
      </c>
      <c r="M2610" s="2">
        <v>394248.37</v>
      </c>
      <c r="N2610">
        <f t="shared" si="54"/>
        <v>818780.97000005352</v>
      </c>
      <c r="O2610" s="9" t="s">
        <v>4</v>
      </c>
    </row>
    <row r="2611" spans="1:15" x14ac:dyDescent="0.2">
      <c r="A2611">
        <v>78</v>
      </c>
      <c r="B2611">
        <v>6</v>
      </c>
      <c r="C2611">
        <v>8</v>
      </c>
      <c r="D2611" s="2">
        <v>3</v>
      </c>
      <c r="E2611" s="2">
        <v>2</v>
      </c>
      <c r="F2611" s="2" t="s">
        <v>5</v>
      </c>
      <c r="G2611" s="2">
        <v>411.19999999992302</v>
      </c>
      <c r="H2611" s="2" t="s">
        <v>8</v>
      </c>
      <c r="I2611" s="2">
        <v>421569.00000008999</v>
      </c>
      <c r="J2611" s="2">
        <v>2000</v>
      </c>
      <c r="K2611" s="2">
        <v>100</v>
      </c>
      <c r="L2611" s="2">
        <v>0</v>
      </c>
      <c r="M2611" s="2">
        <v>396527.97</v>
      </c>
      <c r="N2611">
        <f t="shared" si="54"/>
        <v>818508.1700000898</v>
      </c>
      <c r="O2611" s="9" t="s">
        <v>4</v>
      </c>
    </row>
    <row r="2612" spans="1:15" x14ac:dyDescent="0.2">
      <c r="A2612">
        <v>79</v>
      </c>
      <c r="B2612">
        <v>6</v>
      </c>
      <c r="C2612">
        <v>8</v>
      </c>
      <c r="D2612" s="2">
        <v>3</v>
      </c>
      <c r="E2612" s="2">
        <v>2</v>
      </c>
      <c r="F2612" s="2" t="s">
        <v>5</v>
      </c>
      <c r="G2612" s="2">
        <v>394.20000000021099</v>
      </c>
      <c r="H2612" s="2" t="s">
        <v>8</v>
      </c>
      <c r="I2612" s="2">
        <v>507382.00000000698</v>
      </c>
      <c r="J2612" s="2">
        <v>2000</v>
      </c>
      <c r="K2612" s="2">
        <v>100</v>
      </c>
      <c r="L2612" s="2">
        <v>0</v>
      </c>
      <c r="M2612" s="2">
        <v>366767.97</v>
      </c>
      <c r="N2612">
        <f t="shared" si="54"/>
        <v>874544.17000000714</v>
      </c>
      <c r="O2612" s="9" t="s">
        <v>4</v>
      </c>
    </row>
    <row r="2613" spans="1:15" x14ac:dyDescent="0.2">
      <c r="A2613">
        <v>80</v>
      </c>
      <c r="B2613">
        <v>6</v>
      </c>
      <c r="C2613">
        <v>7</v>
      </c>
      <c r="D2613" s="2">
        <v>3</v>
      </c>
      <c r="E2613" s="2">
        <v>2</v>
      </c>
      <c r="F2613" s="2" t="s">
        <v>5</v>
      </c>
      <c r="G2613" s="2">
        <v>306.60000000004601</v>
      </c>
      <c r="H2613" s="2" t="s">
        <v>8</v>
      </c>
      <c r="I2613" s="2">
        <v>217282.00000006799</v>
      </c>
      <c r="J2613" s="2">
        <v>2000</v>
      </c>
      <c r="K2613" s="2">
        <v>100</v>
      </c>
      <c r="L2613" s="2">
        <v>0</v>
      </c>
      <c r="M2613" s="2">
        <v>393047.17</v>
      </c>
      <c r="N2613">
        <f t="shared" si="54"/>
        <v>610635.77000006801</v>
      </c>
      <c r="O2613" s="9" t="s">
        <v>4</v>
      </c>
    </row>
    <row r="2614" spans="1:15" x14ac:dyDescent="0.2">
      <c r="A2614">
        <v>81</v>
      </c>
      <c r="B2614">
        <v>6</v>
      </c>
      <c r="C2614">
        <v>8</v>
      </c>
      <c r="D2614" s="2">
        <v>3</v>
      </c>
      <c r="E2614" s="2">
        <v>2</v>
      </c>
      <c r="F2614" s="2" t="s">
        <v>5</v>
      </c>
      <c r="G2614" s="2">
        <v>372.600000000389</v>
      </c>
      <c r="H2614" s="2" t="s">
        <v>8</v>
      </c>
      <c r="I2614" s="2">
        <v>572054.99999986403</v>
      </c>
      <c r="J2614" s="2">
        <v>2000</v>
      </c>
      <c r="K2614" s="2">
        <v>100</v>
      </c>
      <c r="L2614" s="2">
        <v>0</v>
      </c>
      <c r="M2614" s="2">
        <v>364087.57</v>
      </c>
      <c r="N2614">
        <f t="shared" si="54"/>
        <v>936515.16999986442</v>
      </c>
      <c r="O2614" s="9" t="s">
        <v>4</v>
      </c>
    </row>
    <row r="2615" spans="1:15" x14ac:dyDescent="0.2">
      <c r="A2615">
        <v>82</v>
      </c>
      <c r="B2615">
        <v>6</v>
      </c>
      <c r="C2615">
        <v>8</v>
      </c>
      <c r="D2615" s="2">
        <v>2</v>
      </c>
      <c r="E2615" s="2">
        <v>2</v>
      </c>
      <c r="F2615" s="2" t="s">
        <v>5</v>
      </c>
      <c r="G2615" s="2">
        <v>377.99999999990098</v>
      </c>
      <c r="H2615" s="2" t="s">
        <v>8</v>
      </c>
      <c r="I2615" s="2">
        <v>449708.99999998399</v>
      </c>
      <c r="J2615" s="2">
        <v>2000</v>
      </c>
      <c r="K2615" s="2">
        <v>100</v>
      </c>
      <c r="L2615" s="2">
        <v>0</v>
      </c>
      <c r="M2615" s="2">
        <v>392448.37</v>
      </c>
      <c r="N2615">
        <f t="shared" si="54"/>
        <v>842535.36999998381</v>
      </c>
      <c r="O2615" s="9" t="s">
        <v>4</v>
      </c>
    </row>
    <row r="2616" spans="1:15" x14ac:dyDescent="0.2">
      <c r="A2616">
        <v>83</v>
      </c>
      <c r="B2616">
        <v>6</v>
      </c>
      <c r="C2616">
        <v>9</v>
      </c>
      <c r="D2616" s="2">
        <v>2</v>
      </c>
      <c r="E2616" s="2">
        <v>2</v>
      </c>
      <c r="F2616" s="2" t="s">
        <v>5</v>
      </c>
      <c r="G2616" s="2">
        <v>451.20000000018501</v>
      </c>
      <c r="H2616" s="2" t="s">
        <v>8</v>
      </c>
      <c r="I2616" s="2">
        <v>1278454.00000001</v>
      </c>
      <c r="J2616" s="2">
        <v>2000</v>
      </c>
      <c r="K2616" s="2">
        <v>100</v>
      </c>
      <c r="L2616" s="2">
        <v>0</v>
      </c>
      <c r="M2616" s="2">
        <v>402726.77</v>
      </c>
      <c r="N2616">
        <f t="shared" si="54"/>
        <v>1681631.9700000102</v>
      </c>
      <c r="O2616" s="9" t="s">
        <v>4</v>
      </c>
    </row>
    <row r="2617" spans="1:15" x14ac:dyDescent="0.2">
      <c r="A2617">
        <v>84</v>
      </c>
      <c r="B2617">
        <v>6</v>
      </c>
      <c r="C2617">
        <v>10</v>
      </c>
      <c r="D2617" s="2">
        <v>2</v>
      </c>
      <c r="E2617" s="2">
        <v>2</v>
      </c>
      <c r="F2617" s="2" t="s">
        <v>5</v>
      </c>
      <c r="G2617" s="2">
        <v>503.80000000060897</v>
      </c>
      <c r="H2617" s="2" t="s">
        <v>8</v>
      </c>
      <c r="I2617" s="2">
        <v>4835274.0000000298</v>
      </c>
      <c r="J2617" s="2">
        <v>2000</v>
      </c>
      <c r="K2617" s="2">
        <v>100</v>
      </c>
      <c r="L2617" s="2">
        <v>0</v>
      </c>
      <c r="M2617" s="2">
        <v>379566.37</v>
      </c>
      <c r="N2617">
        <f t="shared" si="54"/>
        <v>5215344.1700000307</v>
      </c>
      <c r="O2617" s="9" t="s">
        <v>4</v>
      </c>
    </row>
    <row r="2618" spans="1:15" x14ac:dyDescent="0.2">
      <c r="A2618">
        <v>85</v>
      </c>
      <c r="B2618">
        <v>6</v>
      </c>
      <c r="C2618">
        <v>8</v>
      </c>
      <c r="D2618" s="2">
        <v>2</v>
      </c>
      <c r="E2618" s="2">
        <v>2</v>
      </c>
      <c r="F2618" s="2" t="s">
        <v>5</v>
      </c>
      <c r="G2618" s="2">
        <v>348.000000000326</v>
      </c>
      <c r="H2618" s="2" t="s">
        <v>8</v>
      </c>
      <c r="I2618" s="2">
        <v>562017.99999985297</v>
      </c>
      <c r="J2618" s="2">
        <v>2000</v>
      </c>
      <c r="K2618" s="2">
        <v>100</v>
      </c>
      <c r="L2618" s="2">
        <v>0</v>
      </c>
      <c r="M2618" s="2">
        <v>352449.17</v>
      </c>
      <c r="N2618">
        <f t="shared" si="54"/>
        <v>914815.16999985324</v>
      </c>
      <c r="O2618" s="9" t="s">
        <v>4</v>
      </c>
    </row>
    <row r="2619" spans="1:15" x14ac:dyDescent="0.2">
      <c r="A2619">
        <v>86</v>
      </c>
      <c r="B2619">
        <v>6</v>
      </c>
      <c r="C2619">
        <v>10</v>
      </c>
      <c r="D2619" s="2">
        <v>3</v>
      </c>
      <c r="E2619" s="2">
        <v>2</v>
      </c>
      <c r="F2619" s="2" t="s">
        <v>5</v>
      </c>
      <c r="G2619" s="2">
        <v>468.00000000004599</v>
      </c>
      <c r="H2619" s="2" t="s">
        <v>8</v>
      </c>
      <c r="I2619" s="2">
        <v>2626483.9999998901</v>
      </c>
      <c r="J2619" s="2">
        <v>2000</v>
      </c>
      <c r="K2619" s="2">
        <v>100</v>
      </c>
      <c r="L2619" s="2">
        <v>0</v>
      </c>
      <c r="M2619" s="2">
        <v>455769.97</v>
      </c>
      <c r="N2619">
        <f t="shared" si="54"/>
        <v>3082721.9699998898</v>
      </c>
      <c r="O2619" s="9" t="s">
        <v>4</v>
      </c>
    </row>
    <row r="2620" spans="1:15" x14ac:dyDescent="0.2">
      <c r="A2620">
        <v>87</v>
      </c>
      <c r="B2620">
        <v>6</v>
      </c>
      <c r="C2620">
        <v>10</v>
      </c>
      <c r="D2620" s="2">
        <v>2</v>
      </c>
      <c r="E2620" s="2">
        <v>2</v>
      </c>
      <c r="F2620" s="2" t="s">
        <v>5</v>
      </c>
      <c r="G2620" s="2">
        <v>451.39999999968001</v>
      </c>
      <c r="H2620" s="2" t="s">
        <v>8</v>
      </c>
      <c r="I2620" s="2">
        <v>2008806.0000000501</v>
      </c>
      <c r="J2620" s="2">
        <v>2000</v>
      </c>
      <c r="K2620" s="2">
        <v>100</v>
      </c>
      <c r="L2620" s="2">
        <v>0</v>
      </c>
      <c r="M2620" s="2">
        <v>469247.57</v>
      </c>
      <c r="N2620">
        <f t="shared" si="54"/>
        <v>2478504.9700000496</v>
      </c>
      <c r="O2620" s="9" t="s">
        <v>4</v>
      </c>
    </row>
    <row r="2621" spans="1:15" x14ac:dyDescent="0.2">
      <c r="A2621">
        <v>88</v>
      </c>
      <c r="B2621">
        <v>6</v>
      </c>
      <c r="C2621">
        <v>10</v>
      </c>
      <c r="D2621" s="2">
        <v>3</v>
      </c>
      <c r="E2621" s="2">
        <v>2</v>
      </c>
      <c r="F2621" s="2" t="s">
        <v>5</v>
      </c>
      <c r="G2621" s="2">
        <v>490.20000000048498</v>
      </c>
      <c r="H2621" s="2" t="s">
        <v>8</v>
      </c>
      <c r="I2621" s="2">
        <v>1234313.00000016</v>
      </c>
      <c r="J2621" s="2">
        <v>2000</v>
      </c>
      <c r="K2621" s="2">
        <v>100</v>
      </c>
      <c r="L2621" s="2">
        <v>0</v>
      </c>
      <c r="M2621" s="2">
        <v>467647.57</v>
      </c>
      <c r="N2621">
        <f t="shared" si="54"/>
        <v>1702450.7700001604</v>
      </c>
      <c r="O2621" s="9" t="s">
        <v>4</v>
      </c>
    </row>
    <row r="2622" spans="1:15" x14ac:dyDescent="0.2">
      <c r="A2622">
        <v>89</v>
      </c>
      <c r="B2622">
        <v>6</v>
      </c>
      <c r="C2622">
        <v>7</v>
      </c>
      <c r="D2622" s="2">
        <v>3</v>
      </c>
      <c r="E2622" s="2">
        <v>2</v>
      </c>
      <c r="F2622" s="2" t="s">
        <v>5</v>
      </c>
      <c r="G2622" s="2">
        <v>266.39999999993302</v>
      </c>
      <c r="H2622" s="2" t="s">
        <v>8</v>
      </c>
      <c r="I2622" s="2">
        <v>414899.999999989</v>
      </c>
      <c r="J2622" s="2">
        <v>2000</v>
      </c>
      <c r="K2622" s="2">
        <v>100</v>
      </c>
      <c r="L2622" s="2">
        <v>0</v>
      </c>
      <c r="M2622" s="2">
        <v>362287.17</v>
      </c>
      <c r="N2622">
        <f t="shared" si="54"/>
        <v>777453.56999998889</v>
      </c>
      <c r="O2622" s="9" t="s">
        <v>4</v>
      </c>
    </row>
    <row r="2623" spans="1:15" x14ac:dyDescent="0.2">
      <c r="A2623">
        <v>90</v>
      </c>
      <c r="B2623">
        <v>6</v>
      </c>
      <c r="C2623">
        <v>8</v>
      </c>
      <c r="D2623" s="2">
        <v>2</v>
      </c>
      <c r="E2623" s="2">
        <v>2</v>
      </c>
      <c r="F2623" s="2" t="s">
        <v>5</v>
      </c>
      <c r="G2623" s="2">
        <v>335.79999999986399</v>
      </c>
      <c r="H2623" s="2" t="s">
        <v>8</v>
      </c>
      <c r="I2623" s="2">
        <v>636770.00000006997</v>
      </c>
      <c r="J2623" s="2">
        <v>2000</v>
      </c>
      <c r="K2623" s="2">
        <v>100</v>
      </c>
      <c r="L2623" s="2">
        <v>0</v>
      </c>
      <c r="M2623" s="2">
        <v>391247.97</v>
      </c>
      <c r="N2623">
        <f t="shared" si="54"/>
        <v>1028353.7700000698</v>
      </c>
      <c r="O2623" s="9" t="s">
        <v>4</v>
      </c>
    </row>
    <row r="2624" spans="1:15" x14ac:dyDescent="0.2">
      <c r="A2624">
        <v>91</v>
      </c>
      <c r="B2624">
        <v>6</v>
      </c>
      <c r="C2624">
        <v>8</v>
      </c>
      <c r="D2624" s="2">
        <v>3</v>
      </c>
      <c r="E2624" s="2">
        <v>2</v>
      </c>
      <c r="F2624" s="2" t="s">
        <v>5</v>
      </c>
      <c r="G2624" s="2">
        <v>335.59999999930301</v>
      </c>
      <c r="H2624" s="2" t="s">
        <v>8</v>
      </c>
      <c r="I2624" s="2">
        <v>411151.00000001799</v>
      </c>
      <c r="J2624" s="2">
        <v>2000</v>
      </c>
      <c r="K2624" s="2">
        <v>100</v>
      </c>
      <c r="L2624" s="2">
        <v>0</v>
      </c>
      <c r="M2624" s="2">
        <v>397208.37</v>
      </c>
      <c r="N2624">
        <f t="shared" si="54"/>
        <v>808694.9700000172</v>
      </c>
      <c r="O2624" s="9" t="s">
        <v>4</v>
      </c>
    </row>
    <row r="2625" spans="1:15" x14ac:dyDescent="0.2">
      <c r="A2625">
        <v>92</v>
      </c>
      <c r="B2625">
        <v>6</v>
      </c>
      <c r="C2625">
        <v>8</v>
      </c>
      <c r="D2625" s="2">
        <v>3</v>
      </c>
      <c r="E2625" s="2">
        <v>2</v>
      </c>
      <c r="F2625" s="2" t="s">
        <v>5</v>
      </c>
      <c r="G2625" s="2">
        <v>306.40000000019501</v>
      </c>
      <c r="H2625" s="2" t="s">
        <v>8</v>
      </c>
      <c r="I2625" s="2">
        <v>326122.99999982503</v>
      </c>
      <c r="J2625" s="2">
        <v>2000</v>
      </c>
      <c r="K2625" s="2">
        <v>100</v>
      </c>
      <c r="L2625" s="2">
        <v>0</v>
      </c>
      <c r="M2625" s="2">
        <v>397207.97</v>
      </c>
      <c r="N2625">
        <f t="shared" si="54"/>
        <v>723637.36999982526</v>
      </c>
      <c r="O2625" s="9" t="s">
        <v>4</v>
      </c>
    </row>
    <row r="2626" spans="1:15" x14ac:dyDescent="0.2">
      <c r="A2626">
        <v>93</v>
      </c>
      <c r="B2626">
        <v>6</v>
      </c>
      <c r="C2626">
        <v>11</v>
      </c>
      <c r="D2626" s="2">
        <v>3</v>
      </c>
      <c r="E2626" s="2">
        <v>2</v>
      </c>
      <c r="F2626" s="2" t="s">
        <v>5</v>
      </c>
      <c r="G2626" s="2">
        <v>515.79999999979998</v>
      </c>
      <c r="H2626" s="2" t="s">
        <v>8</v>
      </c>
      <c r="I2626" s="2">
        <v>2579271.9999999502</v>
      </c>
      <c r="J2626" s="2">
        <v>2000</v>
      </c>
      <c r="K2626" s="2">
        <v>100</v>
      </c>
      <c r="L2626" s="2">
        <v>0</v>
      </c>
      <c r="M2626" s="2">
        <v>448528.37</v>
      </c>
      <c r="N2626">
        <f t="shared" si="54"/>
        <v>3028316.1699999501</v>
      </c>
      <c r="O2626" s="9" t="s">
        <v>4</v>
      </c>
    </row>
    <row r="2627" spans="1:15" x14ac:dyDescent="0.2">
      <c r="A2627">
        <v>94</v>
      </c>
      <c r="B2627">
        <v>6</v>
      </c>
      <c r="C2627">
        <v>10</v>
      </c>
      <c r="D2627" s="2">
        <v>2</v>
      </c>
      <c r="E2627" s="2">
        <v>2</v>
      </c>
      <c r="F2627" s="2" t="s">
        <v>5</v>
      </c>
      <c r="G2627" s="2">
        <v>446.600000000075</v>
      </c>
      <c r="H2627" s="2" t="s">
        <v>8</v>
      </c>
      <c r="I2627" s="2">
        <v>2002005.9999999399</v>
      </c>
      <c r="J2627" s="2">
        <v>2000</v>
      </c>
      <c r="K2627" s="2">
        <v>100</v>
      </c>
      <c r="L2627" s="2">
        <v>0</v>
      </c>
      <c r="M2627" s="2">
        <v>387890.37</v>
      </c>
      <c r="N2627">
        <f t="shared" si="54"/>
        <v>2390342.9699999401</v>
      </c>
      <c r="O2627" s="9" t="s">
        <v>4</v>
      </c>
    </row>
    <row r="2628" spans="1:15" x14ac:dyDescent="0.2">
      <c r="A2628">
        <v>95</v>
      </c>
      <c r="B2628">
        <v>6</v>
      </c>
      <c r="C2628">
        <v>12</v>
      </c>
      <c r="D2628" s="2">
        <v>2</v>
      </c>
      <c r="E2628" s="2">
        <v>2</v>
      </c>
      <c r="F2628" s="2" t="s">
        <v>5</v>
      </c>
      <c r="G2628" s="2">
        <v>605.60000000045</v>
      </c>
      <c r="H2628" s="2" t="s">
        <v>8</v>
      </c>
      <c r="I2628" s="2">
        <v>5219995.0000001499</v>
      </c>
      <c r="J2628" s="2">
        <v>2000</v>
      </c>
      <c r="K2628" s="2">
        <v>100</v>
      </c>
      <c r="L2628" s="2">
        <v>0</v>
      </c>
      <c r="M2628" s="2">
        <v>416487.57</v>
      </c>
      <c r="N2628">
        <f t="shared" si="54"/>
        <v>5637088.1700001508</v>
      </c>
      <c r="O2628" s="9" t="s">
        <v>4</v>
      </c>
    </row>
    <row r="2629" spans="1:15" x14ac:dyDescent="0.2">
      <c r="A2629">
        <v>96</v>
      </c>
      <c r="B2629">
        <v>6</v>
      </c>
      <c r="C2629">
        <v>8</v>
      </c>
      <c r="D2629" s="2">
        <v>3</v>
      </c>
      <c r="E2629" s="2">
        <v>2</v>
      </c>
      <c r="F2629" s="2" t="s">
        <v>5</v>
      </c>
      <c r="G2629" s="2">
        <v>301.39999999967398</v>
      </c>
      <c r="H2629" s="2" t="s">
        <v>8</v>
      </c>
      <c r="I2629" s="2">
        <v>538624.00000002701</v>
      </c>
      <c r="J2629" s="2">
        <v>2000</v>
      </c>
      <c r="K2629" s="2">
        <v>100</v>
      </c>
      <c r="L2629" s="2">
        <v>0</v>
      </c>
      <c r="M2629" s="2">
        <v>394607.97</v>
      </c>
      <c r="N2629">
        <f t="shared" si="54"/>
        <v>933533.37000002665</v>
      </c>
      <c r="O2629" s="9" t="s">
        <v>4</v>
      </c>
    </row>
    <row r="2630" spans="1:15" x14ac:dyDescent="0.2">
      <c r="A2630">
        <v>97</v>
      </c>
      <c r="B2630">
        <v>6</v>
      </c>
      <c r="C2630">
        <v>9</v>
      </c>
      <c r="D2630" s="2">
        <v>3</v>
      </c>
      <c r="E2630" s="2">
        <v>2</v>
      </c>
      <c r="F2630" s="2" t="s">
        <v>5</v>
      </c>
      <c r="G2630" s="2">
        <v>374.59999999995802</v>
      </c>
      <c r="H2630" s="2" t="s">
        <v>8</v>
      </c>
      <c r="I2630" s="2">
        <v>698046.99999985995</v>
      </c>
      <c r="J2630" s="2">
        <v>2000</v>
      </c>
      <c r="K2630" s="2">
        <v>100</v>
      </c>
      <c r="L2630" s="2">
        <v>0</v>
      </c>
      <c r="M2630" s="2">
        <v>400487.57</v>
      </c>
      <c r="N2630">
        <f t="shared" si="54"/>
        <v>1098909.16999986</v>
      </c>
      <c r="O2630" s="9" t="s">
        <v>4</v>
      </c>
    </row>
    <row r="2631" spans="1:15" x14ac:dyDescent="0.2">
      <c r="A2631">
        <v>98</v>
      </c>
      <c r="B2631">
        <v>6</v>
      </c>
      <c r="C2631">
        <v>10</v>
      </c>
      <c r="D2631" s="2">
        <v>3</v>
      </c>
      <c r="E2631" s="2">
        <v>2</v>
      </c>
      <c r="F2631" s="2" t="s">
        <v>5</v>
      </c>
      <c r="G2631" s="2">
        <v>496.19999999990199</v>
      </c>
      <c r="H2631" s="2" t="s">
        <v>8</v>
      </c>
      <c r="I2631" s="2">
        <v>1091490.00000002</v>
      </c>
      <c r="J2631" s="2">
        <v>2000</v>
      </c>
      <c r="K2631" s="2">
        <v>100</v>
      </c>
      <c r="L2631" s="2">
        <v>0</v>
      </c>
      <c r="M2631" s="2">
        <v>408288.37</v>
      </c>
      <c r="N2631">
        <f t="shared" si="54"/>
        <v>1500274.5700000199</v>
      </c>
      <c r="O2631" s="9" t="s">
        <v>4</v>
      </c>
    </row>
    <row r="2632" spans="1:15" x14ac:dyDescent="0.2">
      <c r="A2632">
        <v>99</v>
      </c>
      <c r="B2632">
        <v>6</v>
      </c>
      <c r="C2632">
        <v>11</v>
      </c>
      <c r="D2632" s="2">
        <v>2</v>
      </c>
      <c r="E2632" s="2">
        <v>2</v>
      </c>
      <c r="F2632" s="2" t="s">
        <v>5</v>
      </c>
      <c r="G2632" s="2">
        <v>500.59999999980698</v>
      </c>
      <c r="H2632" s="2" t="s">
        <v>8</v>
      </c>
      <c r="I2632" s="2">
        <v>2540038.0000001001</v>
      </c>
      <c r="J2632" s="2">
        <v>2000</v>
      </c>
      <c r="K2632" s="2">
        <v>100</v>
      </c>
      <c r="L2632" s="2">
        <v>0</v>
      </c>
      <c r="M2632" s="2">
        <v>460409.17</v>
      </c>
      <c r="N2632">
        <f t="shared" si="54"/>
        <v>3000947.7700000997</v>
      </c>
      <c r="O2632" s="9" t="s">
        <v>4</v>
      </c>
    </row>
    <row r="2633" spans="1:15" x14ac:dyDescent="0.2">
      <c r="A2633">
        <v>70</v>
      </c>
      <c r="B2633">
        <v>6</v>
      </c>
      <c r="C2633">
        <v>6</v>
      </c>
      <c r="D2633" s="2">
        <v>3</v>
      </c>
      <c r="E2633" s="2">
        <v>2</v>
      </c>
      <c r="F2633" s="2" t="s">
        <v>5</v>
      </c>
      <c r="G2633" s="2">
        <v>916.60000000004504</v>
      </c>
      <c r="H2633" s="2" t="s">
        <v>8</v>
      </c>
      <c r="I2633" s="2">
        <v>169758.00000000201</v>
      </c>
      <c r="J2633" s="2">
        <v>1000</v>
      </c>
      <c r="K2633" s="2">
        <v>100</v>
      </c>
      <c r="L2633" s="2">
        <v>0</v>
      </c>
      <c r="M2633" s="2">
        <v>226588.77</v>
      </c>
      <c r="N2633">
        <f t="shared" si="54"/>
        <v>397263.37000000203</v>
      </c>
      <c r="O2633" s="9" t="s">
        <v>4</v>
      </c>
    </row>
    <row r="2634" spans="1:15" x14ac:dyDescent="0.2">
      <c r="A2634">
        <v>71</v>
      </c>
      <c r="B2634">
        <v>6</v>
      </c>
      <c r="C2634">
        <v>7</v>
      </c>
      <c r="D2634" s="2">
        <v>2</v>
      </c>
      <c r="E2634" s="2">
        <v>2</v>
      </c>
      <c r="F2634" s="2" t="s">
        <v>5</v>
      </c>
      <c r="G2634" s="2">
        <v>840.79999999993095</v>
      </c>
      <c r="H2634" s="2" t="s">
        <v>8</v>
      </c>
      <c r="I2634" s="2">
        <v>333503.99999994802</v>
      </c>
      <c r="J2634" s="2">
        <v>1000</v>
      </c>
      <c r="K2634" s="2">
        <v>100</v>
      </c>
      <c r="L2634" s="2">
        <v>0</v>
      </c>
      <c r="M2634" s="2">
        <v>190608.77</v>
      </c>
      <c r="N2634">
        <f t="shared" si="54"/>
        <v>524953.56999994791</v>
      </c>
      <c r="O2634" s="9" t="s">
        <v>4</v>
      </c>
    </row>
    <row r="2635" spans="1:15" x14ac:dyDescent="0.2">
      <c r="A2635">
        <v>72</v>
      </c>
      <c r="B2635">
        <v>6</v>
      </c>
      <c r="C2635">
        <v>7</v>
      </c>
      <c r="D2635" s="2">
        <v>2</v>
      </c>
      <c r="E2635" s="2">
        <v>2</v>
      </c>
      <c r="F2635" s="2" t="s">
        <v>5</v>
      </c>
      <c r="G2635" s="2">
        <v>686.80000000043196</v>
      </c>
      <c r="H2635" s="2" t="s">
        <v>8</v>
      </c>
      <c r="I2635" s="2">
        <v>475044.99999990902</v>
      </c>
      <c r="J2635" s="2">
        <v>1000</v>
      </c>
      <c r="K2635" s="2">
        <v>100</v>
      </c>
      <c r="L2635" s="2">
        <v>0</v>
      </c>
      <c r="M2635" s="2">
        <v>204047.17</v>
      </c>
      <c r="N2635">
        <f t="shared" si="54"/>
        <v>679778.96999990952</v>
      </c>
      <c r="O2635" s="9" t="s">
        <v>4</v>
      </c>
    </row>
    <row r="2636" spans="1:15" x14ac:dyDescent="0.2">
      <c r="A2636">
        <v>73</v>
      </c>
      <c r="B2636">
        <v>6</v>
      </c>
      <c r="C2636">
        <v>7</v>
      </c>
      <c r="D2636" s="2">
        <v>3</v>
      </c>
      <c r="E2636" s="2">
        <v>2</v>
      </c>
      <c r="F2636" s="2" t="s">
        <v>5</v>
      </c>
      <c r="G2636" s="2">
        <v>696.99999999990303</v>
      </c>
      <c r="H2636" s="2" t="s">
        <v>8</v>
      </c>
      <c r="I2636" s="2">
        <v>533288.00000008405</v>
      </c>
      <c r="J2636" s="2">
        <v>1000</v>
      </c>
      <c r="K2636" s="2">
        <v>100</v>
      </c>
      <c r="L2636" s="2">
        <v>0</v>
      </c>
      <c r="M2636" s="2">
        <v>201269.17</v>
      </c>
      <c r="N2636">
        <f t="shared" si="54"/>
        <v>735254.17000008398</v>
      </c>
      <c r="O2636" s="9" t="s">
        <v>4</v>
      </c>
    </row>
    <row r="2637" spans="1:15" x14ac:dyDescent="0.2">
      <c r="A2637">
        <v>74</v>
      </c>
      <c r="B2637">
        <v>6</v>
      </c>
      <c r="C2637">
        <v>9</v>
      </c>
      <c r="D2637" s="2">
        <v>3</v>
      </c>
      <c r="E2637" s="2">
        <v>2</v>
      </c>
      <c r="F2637" s="2" t="s">
        <v>5</v>
      </c>
      <c r="G2637" s="2">
        <v>767.00000000009504</v>
      </c>
      <c r="H2637" s="2" t="s">
        <v>8</v>
      </c>
      <c r="I2637" s="2">
        <v>792881.99999996298</v>
      </c>
      <c r="J2637" s="2">
        <v>1000</v>
      </c>
      <c r="K2637" s="2">
        <v>100</v>
      </c>
      <c r="L2637" s="2">
        <v>0</v>
      </c>
      <c r="M2637" s="2">
        <v>183747.17</v>
      </c>
      <c r="N2637">
        <f t="shared" si="54"/>
        <v>977396.16999996314</v>
      </c>
      <c r="O2637" s="9" t="s">
        <v>4</v>
      </c>
    </row>
    <row r="2638" spans="1:15" x14ac:dyDescent="0.2">
      <c r="A2638">
        <v>75</v>
      </c>
      <c r="B2638">
        <v>6</v>
      </c>
      <c r="C2638">
        <v>7</v>
      </c>
      <c r="D2638" s="2">
        <v>3</v>
      </c>
      <c r="E2638" s="2">
        <v>2</v>
      </c>
      <c r="F2638" s="2" t="s">
        <v>5</v>
      </c>
      <c r="G2638" s="2">
        <v>442.80000000007601</v>
      </c>
      <c r="H2638" s="2" t="s">
        <v>8</v>
      </c>
      <c r="I2638" s="2">
        <v>267370.99999991199</v>
      </c>
      <c r="J2638" s="2">
        <v>1000</v>
      </c>
      <c r="K2638" s="2">
        <v>100</v>
      </c>
      <c r="L2638" s="2">
        <v>0</v>
      </c>
      <c r="M2638" s="2">
        <v>192087.97</v>
      </c>
      <c r="N2638">
        <f t="shared" si="54"/>
        <v>459901.76999991213</v>
      </c>
      <c r="O2638" s="9" t="s">
        <v>4</v>
      </c>
    </row>
    <row r="2639" spans="1:15" x14ac:dyDescent="0.2">
      <c r="A2639">
        <v>76</v>
      </c>
      <c r="B2639">
        <v>6</v>
      </c>
      <c r="C2639">
        <v>8</v>
      </c>
      <c r="D2639" s="2">
        <v>3</v>
      </c>
      <c r="E2639" s="2">
        <v>2</v>
      </c>
      <c r="F2639" s="2" t="s">
        <v>5</v>
      </c>
      <c r="G2639" s="2">
        <v>657.20000000020195</v>
      </c>
      <c r="H2639" s="2" t="s">
        <v>8</v>
      </c>
      <c r="I2639" s="2">
        <v>367324.99999993702</v>
      </c>
      <c r="J2639" s="2">
        <v>1000</v>
      </c>
      <c r="K2639" s="2">
        <v>100</v>
      </c>
      <c r="L2639" s="2">
        <v>0</v>
      </c>
      <c r="M2639" s="2">
        <v>179807.57</v>
      </c>
      <c r="N2639">
        <f t="shared" si="54"/>
        <v>547789.76999993715</v>
      </c>
      <c r="O2639" s="9" t="s">
        <v>4</v>
      </c>
    </row>
    <row r="2640" spans="1:15" x14ac:dyDescent="0.2">
      <c r="A2640">
        <v>77</v>
      </c>
      <c r="B2640">
        <v>6</v>
      </c>
      <c r="C2640">
        <v>8</v>
      </c>
      <c r="D2640" s="2">
        <v>3</v>
      </c>
      <c r="E2640" s="2">
        <v>2</v>
      </c>
      <c r="F2640" s="2" t="s">
        <v>5</v>
      </c>
      <c r="G2640" s="2">
        <v>517.59999999951799</v>
      </c>
      <c r="H2640" s="2" t="s">
        <v>8</v>
      </c>
      <c r="I2640" s="2">
        <v>424015.00000005402</v>
      </c>
      <c r="J2640" s="2">
        <v>1000</v>
      </c>
      <c r="K2640" s="2">
        <v>100</v>
      </c>
      <c r="L2640" s="2">
        <v>0</v>
      </c>
      <c r="M2640" s="2">
        <v>205088.37</v>
      </c>
      <c r="N2640">
        <f t="shared" si="54"/>
        <v>629620.97000005352</v>
      </c>
      <c r="O2640" s="9" t="s">
        <v>4</v>
      </c>
    </row>
    <row r="2641" spans="1:15" x14ac:dyDescent="0.2">
      <c r="A2641">
        <v>78</v>
      </c>
      <c r="B2641">
        <v>6</v>
      </c>
      <c r="C2641">
        <v>8</v>
      </c>
      <c r="D2641" s="2">
        <v>3</v>
      </c>
      <c r="E2641" s="2">
        <v>2</v>
      </c>
      <c r="F2641" s="2" t="s">
        <v>5</v>
      </c>
      <c r="G2641" s="2">
        <v>411.19999999992302</v>
      </c>
      <c r="H2641" s="2" t="s">
        <v>8</v>
      </c>
      <c r="I2641" s="2">
        <v>421569.00000008999</v>
      </c>
      <c r="J2641" s="2">
        <v>1000</v>
      </c>
      <c r="K2641" s="2">
        <v>100</v>
      </c>
      <c r="L2641" s="2">
        <v>0</v>
      </c>
      <c r="M2641" s="2">
        <v>206228.77</v>
      </c>
      <c r="N2641">
        <f t="shared" si="54"/>
        <v>628208.97000008984</v>
      </c>
      <c r="O2641" s="9" t="s">
        <v>4</v>
      </c>
    </row>
    <row r="2642" spans="1:15" x14ac:dyDescent="0.2">
      <c r="A2642">
        <v>79</v>
      </c>
      <c r="B2642">
        <v>6</v>
      </c>
      <c r="C2642">
        <v>8</v>
      </c>
      <c r="D2642" s="2">
        <v>3</v>
      </c>
      <c r="E2642" s="2">
        <v>2</v>
      </c>
      <c r="F2642" s="2" t="s">
        <v>5</v>
      </c>
      <c r="G2642" s="2">
        <v>394.20000000021099</v>
      </c>
      <c r="H2642" s="2" t="s">
        <v>8</v>
      </c>
      <c r="I2642" s="2">
        <v>507382.00000000698</v>
      </c>
      <c r="J2642" s="2">
        <v>1000</v>
      </c>
      <c r="K2642" s="2">
        <v>100</v>
      </c>
      <c r="L2642" s="2">
        <v>0</v>
      </c>
      <c r="M2642" s="2">
        <v>191347.97</v>
      </c>
      <c r="N2642">
        <f t="shared" si="54"/>
        <v>699124.17000000714</v>
      </c>
      <c r="O2642" s="9" t="s">
        <v>4</v>
      </c>
    </row>
    <row r="2643" spans="1:15" x14ac:dyDescent="0.2">
      <c r="A2643">
        <v>80</v>
      </c>
      <c r="B2643">
        <v>6</v>
      </c>
      <c r="C2643">
        <v>7</v>
      </c>
      <c r="D2643" s="2">
        <v>3</v>
      </c>
      <c r="E2643" s="2">
        <v>2</v>
      </c>
      <c r="F2643" s="2" t="s">
        <v>5</v>
      </c>
      <c r="G2643" s="2">
        <v>306.60000000004601</v>
      </c>
      <c r="H2643" s="2" t="s">
        <v>8</v>
      </c>
      <c r="I2643" s="2">
        <v>217282.00000006799</v>
      </c>
      <c r="J2643" s="2">
        <v>1000</v>
      </c>
      <c r="K2643" s="2">
        <v>100</v>
      </c>
      <c r="L2643" s="2">
        <v>0</v>
      </c>
      <c r="M2643" s="2">
        <v>204487.97</v>
      </c>
      <c r="N2643">
        <f t="shared" si="54"/>
        <v>422076.57000006805</v>
      </c>
      <c r="O2643" s="9" t="s">
        <v>4</v>
      </c>
    </row>
    <row r="2644" spans="1:15" x14ac:dyDescent="0.2">
      <c r="A2644">
        <v>81</v>
      </c>
      <c r="B2644">
        <v>6</v>
      </c>
      <c r="C2644">
        <v>8</v>
      </c>
      <c r="D2644" s="2">
        <v>3</v>
      </c>
      <c r="E2644" s="2">
        <v>2</v>
      </c>
      <c r="F2644" s="2" t="s">
        <v>5</v>
      </c>
      <c r="G2644" s="2">
        <v>372.600000000389</v>
      </c>
      <c r="H2644" s="2" t="s">
        <v>8</v>
      </c>
      <c r="I2644" s="2">
        <v>572054.99999986403</v>
      </c>
      <c r="J2644" s="2">
        <v>1000</v>
      </c>
      <c r="K2644" s="2">
        <v>100</v>
      </c>
      <c r="L2644" s="2">
        <v>0</v>
      </c>
      <c r="M2644" s="2">
        <v>190007.97</v>
      </c>
      <c r="N2644">
        <f t="shared" si="54"/>
        <v>762435.56999986444</v>
      </c>
      <c r="O2644" s="9" t="s">
        <v>4</v>
      </c>
    </row>
    <row r="2645" spans="1:15" x14ac:dyDescent="0.2">
      <c r="A2645">
        <v>82</v>
      </c>
      <c r="B2645">
        <v>6</v>
      </c>
      <c r="C2645">
        <v>8</v>
      </c>
      <c r="D2645" s="2">
        <v>2</v>
      </c>
      <c r="E2645" s="2">
        <v>2</v>
      </c>
      <c r="F2645" s="2" t="s">
        <v>5</v>
      </c>
      <c r="G2645" s="2">
        <v>377.99999999990098</v>
      </c>
      <c r="H2645" s="2" t="s">
        <v>8</v>
      </c>
      <c r="I2645" s="2">
        <v>449708.99999998399</v>
      </c>
      <c r="J2645" s="2">
        <v>1000</v>
      </c>
      <c r="K2645" s="2">
        <v>100</v>
      </c>
      <c r="L2645" s="2">
        <v>0</v>
      </c>
      <c r="M2645" s="2">
        <v>204187.97</v>
      </c>
      <c r="N2645">
        <f t="shared" si="54"/>
        <v>654274.96999998391</v>
      </c>
      <c r="O2645" s="9" t="s">
        <v>4</v>
      </c>
    </row>
    <row r="2646" spans="1:15" x14ac:dyDescent="0.2">
      <c r="A2646">
        <v>83</v>
      </c>
      <c r="B2646">
        <v>6</v>
      </c>
      <c r="C2646">
        <v>9</v>
      </c>
      <c r="D2646" s="2">
        <v>2</v>
      </c>
      <c r="E2646" s="2">
        <v>2</v>
      </c>
      <c r="F2646" s="2" t="s">
        <v>5</v>
      </c>
      <c r="G2646" s="2">
        <v>451.20000000018501</v>
      </c>
      <c r="H2646" s="2" t="s">
        <v>8</v>
      </c>
      <c r="I2646" s="2">
        <v>1278454.00000001</v>
      </c>
      <c r="J2646" s="2">
        <v>1000</v>
      </c>
      <c r="K2646" s="2">
        <v>100</v>
      </c>
      <c r="L2646" s="2">
        <v>0</v>
      </c>
      <c r="M2646" s="2">
        <v>209326.77</v>
      </c>
      <c r="N2646">
        <f t="shared" si="54"/>
        <v>1488231.9700000102</v>
      </c>
      <c r="O2646" s="9" t="s">
        <v>4</v>
      </c>
    </row>
    <row r="2647" spans="1:15" x14ac:dyDescent="0.2">
      <c r="A2647">
        <v>84</v>
      </c>
      <c r="B2647">
        <v>6</v>
      </c>
      <c r="C2647">
        <v>10</v>
      </c>
      <c r="D2647" s="2">
        <v>2</v>
      </c>
      <c r="E2647" s="2">
        <v>2</v>
      </c>
      <c r="F2647" s="2" t="s">
        <v>5</v>
      </c>
      <c r="G2647" s="2">
        <v>503.80000000060897</v>
      </c>
      <c r="H2647" s="2" t="s">
        <v>8</v>
      </c>
      <c r="I2647" s="2">
        <v>4835274.0000000298</v>
      </c>
      <c r="J2647" s="2">
        <v>1000</v>
      </c>
      <c r="K2647" s="2">
        <v>100</v>
      </c>
      <c r="L2647" s="2">
        <v>0</v>
      </c>
      <c r="M2647" s="2">
        <v>197747.97</v>
      </c>
      <c r="N2647">
        <f t="shared" si="54"/>
        <v>5033525.7700000303</v>
      </c>
      <c r="O2647" s="9" t="s">
        <v>4</v>
      </c>
    </row>
    <row r="2648" spans="1:15" x14ac:dyDescent="0.2">
      <c r="A2648">
        <v>85</v>
      </c>
      <c r="B2648">
        <v>6</v>
      </c>
      <c r="C2648">
        <v>8</v>
      </c>
      <c r="D2648" s="2">
        <v>2</v>
      </c>
      <c r="E2648" s="2">
        <v>2</v>
      </c>
      <c r="F2648" s="2" t="s">
        <v>5</v>
      </c>
      <c r="G2648" s="2">
        <v>348.000000000326</v>
      </c>
      <c r="H2648" s="2" t="s">
        <v>8</v>
      </c>
      <c r="I2648" s="2">
        <v>562017.99999985297</v>
      </c>
      <c r="J2648" s="2">
        <v>1000</v>
      </c>
      <c r="K2648" s="2">
        <v>100</v>
      </c>
      <c r="L2648" s="2">
        <v>0</v>
      </c>
      <c r="M2648" s="2">
        <v>184188.37</v>
      </c>
      <c r="N2648">
        <f t="shared" si="54"/>
        <v>746554.36999985331</v>
      </c>
      <c r="O2648" s="9" t="s">
        <v>4</v>
      </c>
    </row>
    <row r="2649" spans="1:15" x14ac:dyDescent="0.2">
      <c r="A2649">
        <v>86</v>
      </c>
      <c r="B2649">
        <v>6</v>
      </c>
      <c r="C2649">
        <v>10</v>
      </c>
      <c r="D2649" s="2">
        <v>3</v>
      </c>
      <c r="E2649" s="2">
        <v>2</v>
      </c>
      <c r="F2649" s="2" t="s">
        <v>5</v>
      </c>
      <c r="G2649" s="2">
        <v>468.00000000004599</v>
      </c>
      <c r="H2649" s="2" t="s">
        <v>8</v>
      </c>
      <c r="I2649" s="2">
        <v>2626483.9999998901</v>
      </c>
      <c r="J2649" s="2">
        <v>1000</v>
      </c>
      <c r="K2649" s="2">
        <v>100</v>
      </c>
      <c r="L2649" s="2">
        <v>0</v>
      </c>
      <c r="M2649" s="2">
        <v>235849.97</v>
      </c>
      <c r="N2649">
        <f t="shared" si="54"/>
        <v>2862801.9699998903</v>
      </c>
      <c r="O2649" s="9" t="s">
        <v>4</v>
      </c>
    </row>
    <row r="2650" spans="1:15" x14ac:dyDescent="0.2">
      <c r="A2650">
        <v>87</v>
      </c>
      <c r="B2650">
        <v>6</v>
      </c>
      <c r="C2650">
        <v>10</v>
      </c>
      <c r="D2650" s="2">
        <v>2</v>
      </c>
      <c r="E2650" s="2">
        <v>2</v>
      </c>
      <c r="F2650" s="2" t="s">
        <v>5</v>
      </c>
      <c r="G2650" s="2">
        <v>451.39999999968001</v>
      </c>
      <c r="H2650" s="2" t="s">
        <v>8</v>
      </c>
      <c r="I2650" s="2">
        <v>2008806.0000000501</v>
      </c>
      <c r="J2650" s="2">
        <v>1000</v>
      </c>
      <c r="K2650" s="2">
        <v>100</v>
      </c>
      <c r="L2650" s="2">
        <v>0</v>
      </c>
      <c r="M2650" s="2">
        <v>242587.17</v>
      </c>
      <c r="N2650">
        <f t="shared" si="54"/>
        <v>2251844.5700000497</v>
      </c>
      <c r="O2650" s="9" t="s">
        <v>4</v>
      </c>
    </row>
    <row r="2651" spans="1:15" x14ac:dyDescent="0.2">
      <c r="A2651">
        <v>88</v>
      </c>
      <c r="B2651">
        <v>6</v>
      </c>
      <c r="C2651">
        <v>10</v>
      </c>
      <c r="D2651" s="2">
        <v>3</v>
      </c>
      <c r="E2651" s="2">
        <v>2</v>
      </c>
      <c r="F2651" s="2" t="s">
        <v>5</v>
      </c>
      <c r="G2651" s="2">
        <v>490.20000000048498</v>
      </c>
      <c r="H2651" s="2" t="s">
        <v>8</v>
      </c>
      <c r="I2651" s="2">
        <v>1234313.00000016</v>
      </c>
      <c r="J2651" s="2">
        <v>1000</v>
      </c>
      <c r="K2651" s="2">
        <v>100</v>
      </c>
      <c r="L2651" s="2">
        <v>0</v>
      </c>
      <c r="M2651" s="2">
        <v>241787.97</v>
      </c>
      <c r="N2651">
        <f t="shared" si="54"/>
        <v>1476591.1700001603</v>
      </c>
      <c r="O2651" s="9" t="s">
        <v>4</v>
      </c>
    </row>
    <row r="2652" spans="1:15" x14ac:dyDescent="0.2">
      <c r="A2652">
        <v>89</v>
      </c>
      <c r="B2652">
        <v>6</v>
      </c>
      <c r="C2652">
        <v>7</v>
      </c>
      <c r="D2652" s="2">
        <v>3</v>
      </c>
      <c r="E2652" s="2">
        <v>2</v>
      </c>
      <c r="F2652" s="2" t="s">
        <v>5</v>
      </c>
      <c r="G2652" s="2">
        <v>266.39999999993302</v>
      </c>
      <c r="H2652" s="2" t="s">
        <v>8</v>
      </c>
      <c r="I2652" s="2">
        <v>414899.999999989</v>
      </c>
      <c r="J2652" s="2">
        <v>1000</v>
      </c>
      <c r="K2652" s="2">
        <v>100</v>
      </c>
      <c r="L2652" s="2">
        <v>0</v>
      </c>
      <c r="M2652" s="2">
        <v>189107.17</v>
      </c>
      <c r="N2652">
        <f t="shared" si="54"/>
        <v>604273.56999998889</v>
      </c>
      <c r="O2652" s="9" t="s">
        <v>4</v>
      </c>
    </row>
    <row r="2653" spans="1:15" x14ac:dyDescent="0.2">
      <c r="A2653">
        <v>90</v>
      </c>
      <c r="B2653">
        <v>6</v>
      </c>
      <c r="C2653">
        <v>8</v>
      </c>
      <c r="D2653" s="2">
        <v>2</v>
      </c>
      <c r="E2653" s="2">
        <v>2</v>
      </c>
      <c r="F2653" s="2" t="s">
        <v>5</v>
      </c>
      <c r="G2653" s="2">
        <v>335.79999999986399</v>
      </c>
      <c r="H2653" s="2" t="s">
        <v>8</v>
      </c>
      <c r="I2653" s="2">
        <v>636770.00000006997</v>
      </c>
      <c r="J2653" s="2">
        <v>1000</v>
      </c>
      <c r="K2653" s="2">
        <v>100</v>
      </c>
      <c r="L2653" s="2">
        <v>0</v>
      </c>
      <c r="M2653" s="2">
        <v>203588.37</v>
      </c>
      <c r="N2653">
        <f t="shared" si="54"/>
        <v>840694.17000006977</v>
      </c>
      <c r="O2653" s="9" t="s">
        <v>4</v>
      </c>
    </row>
    <row r="2654" spans="1:15" x14ac:dyDescent="0.2">
      <c r="A2654">
        <v>91</v>
      </c>
      <c r="B2654">
        <v>6</v>
      </c>
      <c r="C2654">
        <v>8</v>
      </c>
      <c r="D2654" s="2">
        <v>3</v>
      </c>
      <c r="E2654" s="2">
        <v>2</v>
      </c>
      <c r="F2654" s="2" t="s">
        <v>5</v>
      </c>
      <c r="G2654" s="2">
        <v>335.59999999930301</v>
      </c>
      <c r="H2654" s="2" t="s">
        <v>8</v>
      </c>
      <c r="I2654" s="2">
        <v>411151.00000001799</v>
      </c>
      <c r="J2654" s="2">
        <v>1000</v>
      </c>
      <c r="K2654" s="2">
        <v>100</v>
      </c>
      <c r="L2654" s="2">
        <v>0</v>
      </c>
      <c r="M2654" s="2">
        <v>206569.17</v>
      </c>
      <c r="N2654">
        <f t="shared" si="54"/>
        <v>618055.77000001725</v>
      </c>
      <c r="O2654" s="9" t="s">
        <v>4</v>
      </c>
    </row>
    <row r="2655" spans="1:15" x14ac:dyDescent="0.2">
      <c r="A2655">
        <v>92</v>
      </c>
      <c r="B2655">
        <v>6</v>
      </c>
      <c r="C2655">
        <v>8</v>
      </c>
      <c r="D2655" s="2">
        <v>3</v>
      </c>
      <c r="E2655" s="2">
        <v>2</v>
      </c>
      <c r="F2655" s="2" t="s">
        <v>5</v>
      </c>
      <c r="G2655" s="2">
        <v>306.40000000019501</v>
      </c>
      <c r="H2655" s="2" t="s">
        <v>8</v>
      </c>
      <c r="I2655" s="2">
        <v>326122.99999982503</v>
      </c>
      <c r="J2655" s="2">
        <v>1000</v>
      </c>
      <c r="K2655" s="2">
        <v>100</v>
      </c>
      <c r="L2655" s="2">
        <v>0</v>
      </c>
      <c r="M2655" s="2">
        <v>206567.57</v>
      </c>
      <c r="N2655">
        <f t="shared" si="54"/>
        <v>532996.96999982523</v>
      </c>
      <c r="O2655" s="9" t="s">
        <v>4</v>
      </c>
    </row>
    <row r="2656" spans="1:15" x14ac:dyDescent="0.2">
      <c r="A2656">
        <v>93</v>
      </c>
      <c r="B2656">
        <v>6</v>
      </c>
      <c r="C2656">
        <v>11</v>
      </c>
      <c r="D2656" s="2">
        <v>3</v>
      </c>
      <c r="E2656" s="2">
        <v>2</v>
      </c>
      <c r="F2656" s="2" t="s">
        <v>5</v>
      </c>
      <c r="G2656" s="2">
        <v>515.79999999979998</v>
      </c>
      <c r="H2656" s="2" t="s">
        <v>8</v>
      </c>
      <c r="I2656" s="2">
        <v>2579271.9999999502</v>
      </c>
      <c r="J2656" s="2">
        <v>1000</v>
      </c>
      <c r="K2656" s="2">
        <v>100</v>
      </c>
      <c r="L2656" s="2">
        <v>0</v>
      </c>
      <c r="M2656" s="2">
        <v>232228.37</v>
      </c>
      <c r="N2656">
        <f t="shared" si="54"/>
        <v>2812016.1699999501</v>
      </c>
      <c r="O2656" s="9" t="s">
        <v>4</v>
      </c>
    </row>
    <row r="2657" spans="1:15" x14ac:dyDescent="0.2">
      <c r="A2657">
        <v>94</v>
      </c>
      <c r="B2657">
        <v>6</v>
      </c>
      <c r="C2657">
        <v>10</v>
      </c>
      <c r="D2657" s="2">
        <v>2</v>
      </c>
      <c r="E2657" s="2">
        <v>2</v>
      </c>
      <c r="F2657" s="2" t="s">
        <v>5</v>
      </c>
      <c r="G2657" s="2">
        <v>446.600000000075</v>
      </c>
      <c r="H2657" s="2" t="s">
        <v>8</v>
      </c>
      <c r="I2657" s="2">
        <v>2002005.9999999399</v>
      </c>
      <c r="J2657" s="2">
        <v>1000</v>
      </c>
      <c r="K2657" s="2">
        <v>100</v>
      </c>
      <c r="L2657" s="2">
        <v>0</v>
      </c>
      <c r="M2657" s="2">
        <v>201909.97</v>
      </c>
      <c r="N2657">
        <f t="shared" si="54"/>
        <v>2204362.5699999402</v>
      </c>
      <c r="O2657" s="9" t="s">
        <v>4</v>
      </c>
    </row>
    <row r="2658" spans="1:15" x14ac:dyDescent="0.2">
      <c r="A2658">
        <v>95</v>
      </c>
      <c r="B2658">
        <v>6</v>
      </c>
      <c r="C2658">
        <v>12</v>
      </c>
      <c r="D2658" s="2">
        <v>2</v>
      </c>
      <c r="E2658" s="2">
        <v>2</v>
      </c>
      <c r="F2658" s="2" t="s">
        <v>5</v>
      </c>
      <c r="G2658" s="2">
        <v>605.60000000045</v>
      </c>
      <c r="H2658" s="2" t="s">
        <v>8</v>
      </c>
      <c r="I2658" s="2">
        <v>5219995.0000001499</v>
      </c>
      <c r="J2658" s="2">
        <v>1000</v>
      </c>
      <c r="K2658" s="2">
        <v>100</v>
      </c>
      <c r="L2658" s="2">
        <v>0</v>
      </c>
      <c r="M2658" s="2">
        <v>216207.97</v>
      </c>
      <c r="N2658">
        <f t="shared" si="54"/>
        <v>5436808.5700001502</v>
      </c>
      <c r="O2658" s="9" t="s">
        <v>4</v>
      </c>
    </row>
    <row r="2659" spans="1:15" x14ac:dyDescent="0.2">
      <c r="A2659">
        <v>96</v>
      </c>
      <c r="B2659">
        <v>6</v>
      </c>
      <c r="C2659">
        <v>8</v>
      </c>
      <c r="D2659" s="2">
        <v>3</v>
      </c>
      <c r="E2659" s="2">
        <v>2</v>
      </c>
      <c r="F2659" s="2" t="s">
        <v>5</v>
      </c>
      <c r="G2659" s="2">
        <v>301.39999999967398</v>
      </c>
      <c r="H2659" s="2" t="s">
        <v>8</v>
      </c>
      <c r="I2659" s="2">
        <v>538624.00000002701</v>
      </c>
      <c r="J2659" s="2">
        <v>1000</v>
      </c>
      <c r="K2659" s="2">
        <v>100</v>
      </c>
      <c r="L2659" s="2">
        <v>0</v>
      </c>
      <c r="M2659" s="2">
        <v>205267.97</v>
      </c>
      <c r="N2659">
        <f t="shared" si="54"/>
        <v>744193.37000002665</v>
      </c>
      <c r="O2659" s="9" t="s">
        <v>4</v>
      </c>
    </row>
    <row r="2660" spans="1:15" x14ac:dyDescent="0.2">
      <c r="A2660">
        <v>97</v>
      </c>
      <c r="B2660">
        <v>6</v>
      </c>
      <c r="C2660">
        <v>9</v>
      </c>
      <c r="D2660" s="2">
        <v>3</v>
      </c>
      <c r="E2660" s="2">
        <v>2</v>
      </c>
      <c r="F2660" s="2" t="s">
        <v>5</v>
      </c>
      <c r="G2660" s="2">
        <v>374.59999999995802</v>
      </c>
      <c r="H2660" s="2" t="s">
        <v>8</v>
      </c>
      <c r="I2660" s="2">
        <v>698046.99999985995</v>
      </c>
      <c r="J2660" s="2">
        <v>1000</v>
      </c>
      <c r="K2660" s="2">
        <v>100</v>
      </c>
      <c r="L2660" s="2">
        <v>0</v>
      </c>
      <c r="M2660" s="2">
        <v>208207.97</v>
      </c>
      <c r="N2660">
        <f t="shared" si="54"/>
        <v>906629.5699998599</v>
      </c>
      <c r="O2660" s="9" t="s">
        <v>4</v>
      </c>
    </row>
    <row r="2661" spans="1:15" x14ac:dyDescent="0.2">
      <c r="A2661">
        <v>98</v>
      </c>
      <c r="B2661">
        <v>6</v>
      </c>
      <c r="C2661">
        <v>10</v>
      </c>
      <c r="D2661" s="2">
        <v>3</v>
      </c>
      <c r="E2661" s="2">
        <v>2</v>
      </c>
      <c r="F2661" s="2" t="s">
        <v>5</v>
      </c>
      <c r="G2661" s="2">
        <v>496.19999999990199</v>
      </c>
      <c r="H2661" s="2" t="s">
        <v>8</v>
      </c>
      <c r="I2661" s="2">
        <v>1091490.00000002</v>
      </c>
      <c r="J2661" s="2">
        <v>1000</v>
      </c>
      <c r="K2661" s="2">
        <v>100</v>
      </c>
      <c r="L2661" s="2">
        <v>0</v>
      </c>
      <c r="M2661" s="2">
        <v>212107.57</v>
      </c>
      <c r="N2661">
        <f t="shared" si="54"/>
        <v>1304093.77000002</v>
      </c>
      <c r="O2661" s="9" t="s">
        <v>4</v>
      </c>
    </row>
    <row r="2662" spans="1:15" x14ac:dyDescent="0.2">
      <c r="A2662">
        <v>99</v>
      </c>
      <c r="B2662">
        <v>6</v>
      </c>
      <c r="C2662">
        <v>11</v>
      </c>
      <c r="D2662" s="2">
        <v>2</v>
      </c>
      <c r="E2662" s="2">
        <v>2</v>
      </c>
      <c r="F2662" s="2" t="s">
        <v>5</v>
      </c>
      <c r="G2662" s="2">
        <v>500.59999999980698</v>
      </c>
      <c r="H2662" s="2" t="s">
        <v>8</v>
      </c>
      <c r="I2662" s="2">
        <v>2540038.0000001001</v>
      </c>
      <c r="J2662" s="2">
        <v>1000</v>
      </c>
      <c r="K2662" s="2">
        <v>100</v>
      </c>
      <c r="L2662" s="2">
        <v>0</v>
      </c>
      <c r="M2662" s="2">
        <v>238169.97</v>
      </c>
      <c r="N2662">
        <f t="shared" si="54"/>
        <v>2778708.5700000999</v>
      </c>
      <c r="O2662" s="9" t="s">
        <v>4</v>
      </c>
    </row>
    <row r="2663" spans="1:15" x14ac:dyDescent="0.2">
      <c r="A2663">
        <v>70</v>
      </c>
      <c r="B2663">
        <v>6</v>
      </c>
      <c r="C2663">
        <v>6</v>
      </c>
      <c r="D2663" s="2">
        <v>3</v>
      </c>
      <c r="E2663" s="2">
        <v>2</v>
      </c>
      <c r="F2663" s="2" t="s">
        <v>5</v>
      </c>
      <c r="G2663" s="2">
        <v>916.60000000004504</v>
      </c>
      <c r="H2663" s="2" t="s">
        <v>8</v>
      </c>
      <c r="I2663" s="2">
        <v>169758.00000000201</v>
      </c>
      <c r="J2663" s="2">
        <v>1000</v>
      </c>
      <c r="K2663" s="2">
        <v>500</v>
      </c>
      <c r="L2663" s="2">
        <v>0</v>
      </c>
      <c r="M2663" s="2">
        <v>626588.77</v>
      </c>
      <c r="N2663">
        <f t="shared" ref="N2663:N2722" si="55">G2663+I2663+M2663</f>
        <v>797263.37000000209</v>
      </c>
      <c r="O2663" s="2" t="s">
        <v>4</v>
      </c>
    </row>
    <row r="2664" spans="1:15" x14ac:dyDescent="0.2">
      <c r="A2664">
        <v>71</v>
      </c>
      <c r="B2664">
        <v>6</v>
      </c>
      <c r="C2664">
        <v>7</v>
      </c>
      <c r="D2664" s="2">
        <v>2</v>
      </c>
      <c r="E2664" s="2">
        <v>2</v>
      </c>
      <c r="F2664" s="2" t="s">
        <v>5</v>
      </c>
      <c r="G2664" s="2">
        <v>840.79999999993095</v>
      </c>
      <c r="H2664" s="2" t="s">
        <v>8</v>
      </c>
      <c r="I2664" s="2">
        <v>333503.99999994802</v>
      </c>
      <c r="J2664" s="2">
        <v>1000</v>
      </c>
      <c r="K2664" s="2">
        <v>500</v>
      </c>
      <c r="L2664" s="2">
        <v>0</v>
      </c>
      <c r="M2664" s="2">
        <v>590608.77</v>
      </c>
      <c r="N2664">
        <f t="shared" si="55"/>
        <v>924953.56999994791</v>
      </c>
      <c r="O2664" s="2" t="s">
        <v>4</v>
      </c>
    </row>
    <row r="2665" spans="1:15" x14ac:dyDescent="0.2">
      <c r="A2665">
        <v>72</v>
      </c>
      <c r="B2665">
        <v>6</v>
      </c>
      <c r="C2665">
        <v>7</v>
      </c>
      <c r="D2665" s="2">
        <v>2</v>
      </c>
      <c r="E2665" s="2">
        <v>2</v>
      </c>
      <c r="F2665" s="2" t="s">
        <v>5</v>
      </c>
      <c r="G2665" s="2">
        <v>686.80000000043196</v>
      </c>
      <c r="H2665" s="2" t="s">
        <v>8</v>
      </c>
      <c r="I2665" s="2">
        <v>475044.99999990902</v>
      </c>
      <c r="J2665" s="2">
        <v>1000</v>
      </c>
      <c r="K2665" s="2">
        <v>500</v>
      </c>
      <c r="L2665" s="2">
        <v>0</v>
      </c>
      <c r="M2665" s="2">
        <v>604047.17000000004</v>
      </c>
      <c r="N2665">
        <f t="shared" si="55"/>
        <v>1079778.9699999094</v>
      </c>
      <c r="O2665" s="2" t="s">
        <v>4</v>
      </c>
    </row>
    <row r="2666" spans="1:15" x14ac:dyDescent="0.2">
      <c r="A2666">
        <v>73</v>
      </c>
      <c r="B2666">
        <v>6</v>
      </c>
      <c r="C2666">
        <v>7</v>
      </c>
      <c r="D2666" s="2">
        <v>3</v>
      </c>
      <c r="E2666" s="2">
        <v>2</v>
      </c>
      <c r="F2666" s="2" t="s">
        <v>5</v>
      </c>
      <c r="G2666" s="2">
        <v>696.99999999990303</v>
      </c>
      <c r="H2666" s="2" t="s">
        <v>8</v>
      </c>
      <c r="I2666" s="2">
        <v>533288.00000008405</v>
      </c>
      <c r="J2666" s="2">
        <v>1000</v>
      </c>
      <c r="K2666" s="2">
        <v>500</v>
      </c>
      <c r="L2666" s="2">
        <v>0</v>
      </c>
      <c r="M2666" s="2">
        <v>601269.17000000004</v>
      </c>
      <c r="N2666">
        <f t="shared" si="55"/>
        <v>1135254.170000084</v>
      </c>
      <c r="O2666" s="2" t="s">
        <v>4</v>
      </c>
    </row>
    <row r="2667" spans="1:15" x14ac:dyDescent="0.2">
      <c r="A2667">
        <v>74</v>
      </c>
      <c r="B2667">
        <v>6</v>
      </c>
      <c r="C2667">
        <v>9</v>
      </c>
      <c r="D2667" s="2">
        <v>3</v>
      </c>
      <c r="E2667" s="2">
        <v>2</v>
      </c>
      <c r="F2667" s="2" t="s">
        <v>5</v>
      </c>
      <c r="G2667" s="2">
        <v>767.00000000009504</v>
      </c>
      <c r="H2667" s="2" t="s">
        <v>8</v>
      </c>
      <c r="I2667" s="2">
        <v>792881.99999996298</v>
      </c>
      <c r="J2667" s="2">
        <v>1000</v>
      </c>
      <c r="K2667" s="2">
        <v>500</v>
      </c>
      <c r="L2667" s="2">
        <v>0</v>
      </c>
      <c r="M2667" s="2">
        <v>583747.17000000004</v>
      </c>
      <c r="N2667">
        <f t="shared" si="55"/>
        <v>1377396.1699999631</v>
      </c>
      <c r="O2667" s="2" t="s">
        <v>4</v>
      </c>
    </row>
    <row r="2668" spans="1:15" x14ac:dyDescent="0.2">
      <c r="A2668">
        <v>75</v>
      </c>
      <c r="B2668">
        <v>6</v>
      </c>
      <c r="C2668">
        <v>7</v>
      </c>
      <c r="D2668" s="2">
        <v>3</v>
      </c>
      <c r="E2668" s="2">
        <v>2</v>
      </c>
      <c r="F2668" s="2" t="s">
        <v>5</v>
      </c>
      <c r="G2668" s="2">
        <v>442.80000000007601</v>
      </c>
      <c r="H2668" s="2" t="s">
        <v>8</v>
      </c>
      <c r="I2668" s="2">
        <v>267370.99999991199</v>
      </c>
      <c r="J2668" s="2">
        <v>1000</v>
      </c>
      <c r="K2668" s="2">
        <v>500</v>
      </c>
      <c r="L2668" s="2">
        <v>0</v>
      </c>
      <c r="M2668" s="2">
        <v>592087.97</v>
      </c>
      <c r="N2668">
        <f t="shared" si="55"/>
        <v>859901.76999991201</v>
      </c>
      <c r="O2668" s="2" t="s">
        <v>4</v>
      </c>
    </row>
    <row r="2669" spans="1:15" x14ac:dyDescent="0.2">
      <c r="A2669">
        <v>76</v>
      </c>
      <c r="B2669">
        <v>6</v>
      </c>
      <c r="C2669">
        <v>8</v>
      </c>
      <c r="D2669" s="2">
        <v>3</v>
      </c>
      <c r="E2669" s="2">
        <v>2</v>
      </c>
      <c r="F2669" s="2" t="s">
        <v>5</v>
      </c>
      <c r="G2669" s="2">
        <v>657.20000000020195</v>
      </c>
      <c r="H2669" s="2" t="s">
        <v>8</v>
      </c>
      <c r="I2669" s="2">
        <v>367324.99999993702</v>
      </c>
      <c r="J2669" s="2">
        <v>1000</v>
      </c>
      <c r="K2669" s="2">
        <v>500</v>
      </c>
      <c r="L2669" s="2">
        <v>0</v>
      </c>
      <c r="M2669" s="2">
        <v>579807.56999999995</v>
      </c>
      <c r="N2669">
        <f t="shared" si="55"/>
        <v>947789.76999993715</v>
      </c>
      <c r="O2669" s="2" t="s">
        <v>4</v>
      </c>
    </row>
    <row r="2670" spans="1:15" x14ac:dyDescent="0.2">
      <c r="A2670">
        <v>77</v>
      </c>
      <c r="B2670">
        <v>6</v>
      </c>
      <c r="C2670">
        <v>8</v>
      </c>
      <c r="D2670" s="2">
        <v>3</v>
      </c>
      <c r="E2670" s="2">
        <v>2</v>
      </c>
      <c r="F2670" s="2" t="s">
        <v>5</v>
      </c>
      <c r="G2670" s="2">
        <v>517.59999999951799</v>
      </c>
      <c r="H2670" s="2" t="s">
        <v>8</v>
      </c>
      <c r="I2670" s="2">
        <v>424015.00000005402</v>
      </c>
      <c r="J2670" s="2">
        <v>1000</v>
      </c>
      <c r="K2670" s="2">
        <v>500</v>
      </c>
      <c r="L2670" s="2">
        <v>0</v>
      </c>
      <c r="M2670" s="2">
        <v>605088.37</v>
      </c>
      <c r="N2670">
        <f t="shared" si="55"/>
        <v>1029620.9700000535</v>
      </c>
      <c r="O2670" s="2" t="s">
        <v>4</v>
      </c>
    </row>
    <row r="2671" spans="1:15" x14ac:dyDescent="0.2">
      <c r="A2671">
        <v>78</v>
      </c>
      <c r="B2671">
        <v>6</v>
      </c>
      <c r="C2671">
        <v>8</v>
      </c>
      <c r="D2671" s="2">
        <v>3</v>
      </c>
      <c r="E2671" s="2">
        <v>2</v>
      </c>
      <c r="F2671" s="2" t="s">
        <v>5</v>
      </c>
      <c r="G2671" s="2">
        <v>411.19999999992302</v>
      </c>
      <c r="H2671" s="2" t="s">
        <v>8</v>
      </c>
      <c r="I2671" s="2">
        <v>421569.00000008999</v>
      </c>
      <c r="J2671" s="2">
        <v>1000</v>
      </c>
      <c r="K2671" s="2">
        <v>500</v>
      </c>
      <c r="L2671" s="2">
        <v>0</v>
      </c>
      <c r="M2671" s="2">
        <v>606228.77</v>
      </c>
      <c r="N2671">
        <f t="shared" si="55"/>
        <v>1028208.9700000898</v>
      </c>
      <c r="O2671" s="2" t="s">
        <v>4</v>
      </c>
    </row>
    <row r="2672" spans="1:15" x14ac:dyDescent="0.2">
      <c r="A2672">
        <v>79</v>
      </c>
      <c r="B2672">
        <v>6</v>
      </c>
      <c r="C2672">
        <v>8</v>
      </c>
      <c r="D2672" s="2">
        <v>3</v>
      </c>
      <c r="E2672" s="2">
        <v>2</v>
      </c>
      <c r="F2672" s="2" t="s">
        <v>5</v>
      </c>
      <c r="G2672" s="2">
        <v>394.20000000021099</v>
      </c>
      <c r="H2672" s="2" t="s">
        <v>8</v>
      </c>
      <c r="I2672" s="2">
        <v>507382.00000000698</v>
      </c>
      <c r="J2672" s="2">
        <v>1000</v>
      </c>
      <c r="K2672" s="2">
        <v>500</v>
      </c>
      <c r="L2672" s="2">
        <v>0</v>
      </c>
      <c r="M2672" s="2">
        <v>591347.97</v>
      </c>
      <c r="N2672">
        <f t="shared" si="55"/>
        <v>1099124.1700000071</v>
      </c>
      <c r="O2672" s="2" t="s">
        <v>4</v>
      </c>
    </row>
    <row r="2673" spans="1:15" x14ac:dyDescent="0.2">
      <c r="A2673">
        <v>80</v>
      </c>
      <c r="B2673">
        <v>6</v>
      </c>
      <c r="C2673">
        <v>7</v>
      </c>
      <c r="D2673" s="2">
        <v>3</v>
      </c>
      <c r="E2673" s="2">
        <v>2</v>
      </c>
      <c r="F2673" s="2" t="s">
        <v>5</v>
      </c>
      <c r="G2673" s="2">
        <v>306.60000000004601</v>
      </c>
      <c r="H2673" s="2" t="s">
        <v>8</v>
      </c>
      <c r="I2673" s="2">
        <v>217282.00000006799</v>
      </c>
      <c r="J2673" s="2">
        <v>1000</v>
      </c>
      <c r="K2673" s="2">
        <v>500</v>
      </c>
      <c r="L2673" s="2">
        <v>0</v>
      </c>
      <c r="M2673" s="2">
        <v>604487.97</v>
      </c>
      <c r="N2673">
        <f t="shared" si="55"/>
        <v>822076.57000006805</v>
      </c>
      <c r="O2673" s="2" t="s">
        <v>4</v>
      </c>
    </row>
    <row r="2674" spans="1:15" x14ac:dyDescent="0.2">
      <c r="A2674">
        <v>81</v>
      </c>
      <c r="B2674">
        <v>6</v>
      </c>
      <c r="C2674">
        <v>8</v>
      </c>
      <c r="D2674" s="2">
        <v>3</v>
      </c>
      <c r="E2674" s="2">
        <v>2</v>
      </c>
      <c r="F2674" s="2" t="s">
        <v>5</v>
      </c>
      <c r="G2674" s="2">
        <v>372.600000000389</v>
      </c>
      <c r="H2674" s="2" t="s">
        <v>8</v>
      </c>
      <c r="I2674" s="2">
        <v>572054.99999986403</v>
      </c>
      <c r="J2674" s="2">
        <v>1000</v>
      </c>
      <c r="K2674" s="2">
        <v>500</v>
      </c>
      <c r="L2674" s="2">
        <v>0</v>
      </c>
      <c r="M2674" s="2">
        <v>590007.97</v>
      </c>
      <c r="N2674">
        <f t="shared" si="55"/>
        <v>1162435.5699998643</v>
      </c>
      <c r="O2674" s="2" t="s">
        <v>4</v>
      </c>
    </row>
    <row r="2675" spans="1:15" x14ac:dyDescent="0.2">
      <c r="A2675">
        <v>82</v>
      </c>
      <c r="B2675">
        <v>6</v>
      </c>
      <c r="C2675">
        <v>8</v>
      </c>
      <c r="D2675" s="2">
        <v>2</v>
      </c>
      <c r="E2675" s="2">
        <v>2</v>
      </c>
      <c r="F2675" s="2" t="s">
        <v>5</v>
      </c>
      <c r="G2675" s="2">
        <v>377.99999999990098</v>
      </c>
      <c r="H2675" s="2" t="s">
        <v>8</v>
      </c>
      <c r="I2675" s="2">
        <v>449708.99999998399</v>
      </c>
      <c r="J2675" s="2">
        <v>1000</v>
      </c>
      <c r="K2675" s="2">
        <v>500</v>
      </c>
      <c r="L2675" s="2">
        <v>0</v>
      </c>
      <c r="M2675" s="2">
        <v>604187.97</v>
      </c>
      <c r="N2675">
        <f t="shared" si="55"/>
        <v>1054274.9699999839</v>
      </c>
      <c r="O2675" s="2" t="s">
        <v>4</v>
      </c>
    </row>
    <row r="2676" spans="1:15" x14ac:dyDescent="0.2">
      <c r="A2676">
        <v>83</v>
      </c>
      <c r="B2676">
        <v>6</v>
      </c>
      <c r="C2676">
        <v>9</v>
      </c>
      <c r="D2676" s="2">
        <v>2</v>
      </c>
      <c r="E2676" s="2">
        <v>2</v>
      </c>
      <c r="F2676" s="2" t="s">
        <v>5</v>
      </c>
      <c r="G2676" s="2">
        <v>451.20000000018501</v>
      </c>
      <c r="H2676" s="2" t="s">
        <v>8</v>
      </c>
      <c r="I2676" s="2">
        <v>1278454.00000001</v>
      </c>
      <c r="J2676" s="2">
        <v>1000</v>
      </c>
      <c r="K2676" s="2">
        <v>500</v>
      </c>
      <c r="L2676" s="2">
        <v>0</v>
      </c>
      <c r="M2676" s="2">
        <v>609326.77</v>
      </c>
      <c r="N2676">
        <f t="shared" si="55"/>
        <v>1888231.9700000102</v>
      </c>
      <c r="O2676" s="2" t="s">
        <v>4</v>
      </c>
    </row>
    <row r="2677" spans="1:15" x14ac:dyDescent="0.2">
      <c r="A2677">
        <v>84</v>
      </c>
      <c r="B2677">
        <v>6</v>
      </c>
      <c r="C2677">
        <v>10</v>
      </c>
      <c r="D2677" s="2">
        <v>2</v>
      </c>
      <c r="E2677" s="2">
        <v>2</v>
      </c>
      <c r="F2677" s="2" t="s">
        <v>5</v>
      </c>
      <c r="G2677" s="2">
        <v>503.80000000060897</v>
      </c>
      <c r="H2677" s="2" t="s">
        <v>8</v>
      </c>
      <c r="I2677" s="2">
        <v>4835274.0000000298</v>
      </c>
      <c r="J2677" s="2">
        <v>1000</v>
      </c>
      <c r="K2677" s="2">
        <v>500</v>
      </c>
      <c r="L2677" s="2">
        <v>0</v>
      </c>
      <c r="M2677" s="2">
        <v>597747.97</v>
      </c>
      <c r="N2677">
        <f t="shared" si="55"/>
        <v>5433525.7700000303</v>
      </c>
      <c r="O2677" s="2" t="s">
        <v>4</v>
      </c>
    </row>
    <row r="2678" spans="1:15" x14ac:dyDescent="0.2">
      <c r="A2678">
        <v>85</v>
      </c>
      <c r="B2678">
        <v>6</v>
      </c>
      <c r="C2678">
        <v>8</v>
      </c>
      <c r="D2678" s="2">
        <v>2</v>
      </c>
      <c r="E2678" s="2">
        <v>2</v>
      </c>
      <c r="F2678" s="2" t="s">
        <v>5</v>
      </c>
      <c r="G2678" s="2">
        <v>348.000000000326</v>
      </c>
      <c r="H2678" s="2" t="s">
        <v>8</v>
      </c>
      <c r="I2678" s="2">
        <v>562017.99999985297</v>
      </c>
      <c r="J2678" s="2">
        <v>1000</v>
      </c>
      <c r="K2678" s="2">
        <v>500</v>
      </c>
      <c r="L2678" s="2">
        <v>0</v>
      </c>
      <c r="M2678" s="2">
        <v>584188.37</v>
      </c>
      <c r="N2678">
        <f t="shared" si="55"/>
        <v>1146554.3699998534</v>
      </c>
      <c r="O2678" s="2" t="s">
        <v>4</v>
      </c>
    </row>
    <row r="2679" spans="1:15" x14ac:dyDescent="0.2">
      <c r="A2679">
        <v>86</v>
      </c>
      <c r="B2679">
        <v>6</v>
      </c>
      <c r="C2679">
        <v>10</v>
      </c>
      <c r="D2679" s="2">
        <v>3</v>
      </c>
      <c r="E2679" s="2">
        <v>2</v>
      </c>
      <c r="F2679" s="2" t="s">
        <v>5</v>
      </c>
      <c r="G2679" s="2">
        <v>468.00000000004599</v>
      </c>
      <c r="H2679" s="2" t="s">
        <v>8</v>
      </c>
      <c r="I2679" s="2">
        <v>2626483.9999998901</v>
      </c>
      <c r="J2679" s="2">
        <v>1000</v>
      </c>
      <c r="K2679" s="2">
        <v>500</v>
      </c>
      <c r="L2679" s="2">
        <v>0</v>
      </c>
      <c r="M2679" s="2">
        <v>635849.97</v>
      </c>
      <c r="N2679">
        <f t="shared" si="55"/>
        <v>3262801.9699998898</v>
      </c>
      <c r="O2679" s="2" t="s">
        <v>4</v>
      </c>
    </row>
    <row r="2680" spans="1:15" x14ac:dyDescent="0.2">
      <c r="A2680">
        <v>87</v>
      </c>
      <c r="B2680">
        <v>6</v>
      </c>
      <c r="C2680">
        <v>10</v>
      </c>
      <c r="D2680" s="2">
        <v>2</v>
      </c>
      <c r="E2680" s="2">
        <v>2</v>
      </c>
      <c r="F2680" s="2" t="s">
        <v>5</v>
      </c>
      <c r="G2680" s="2">
        <v>451.39999999968001</v>
      </c>
      <c r="H2680" s="2" t="s">
        <v>8</v>
      </c>
      <c r="I2680" s="2">
        <v>2008806.0000000501</v>
      </c>
      <c r="J2680" s="2">
        <v>1000</v>
      </c>
      <c r="K2680" s="2">
        <v>500</v>
      </c>
      <c r="L2680" s="2">
        <v>0</v>
      </c>
      <c r="M2680" s="2">
        <v>642587.17000000004</v>
      </c>
      <c r="N2680">
        <f t="shared" si="55"/>
        <v>2651844.5700000497</v>
      </c>
      <c r="O2680" s="2" t="s">
        <v>4</v>
      </c>
    </row>
    <row r="2681" spans="1:15" x14ac:dyDescent="0.2">
      <c r="A2681">
        <v>88</v>
      </c>
      <c r="B2681">
        <v>6</v>
      </c>
      <c r="C2681">
        <v>10</v>
      </c>
      <c r="D2681" s="2">
        <v>3</v>
      </c>
      <c r="E2681" s="2">
        <v>2</v>
      </c>
      <c r="F2681" s="2" t="s">
        <v>5</v>
      </c>
      <c r="G2681" s="2">
        <v>490.20000000048498</v>
      </c>
      <c r="H2681" s="2" t="s">
        <v>8</v>
      </c>
      <c r="I2681" s="2">
        <v>1234313.00000016</v>
      </c>
      <c r="J2681" s="2">
        <v>1000</v>
      </c>
      <c r="K2681" s="2">
        <v>500</v>
      </c>
      <c r="L2681" s="2">
        <v>0</v>
      </c>
      <c r="M2681" s="2">
        <v>641787.97</v>
      </c>
      <c r="N2681">
        <f t="shared" si="55"/>
        <v>1876591.1700001603</v>
      </c>
      <c r="O2681" s="2" t="s">
        <v>4</v>
      </c>
    </row>
    <row r="2682" spans="1:15" x14ac:dyDescent="0.2">
      <c r="A2682">
        <v>89</v>
      </c>
      <c r="B2682">
        <v>6</v>
      </c>
      <c r="C2682">
        <v>7</v>
      </c>
      <c r="D2682" s="2">
        <v>3</v>
      </c>
      <c r="E2682" s="2">
        <v>2</v>
      </c>
      <c r="F2682" s="2" t="s">
        <v>5</v>
      </c>
      <c r="G2682" s="2">
        <v>266.39999999993302</v>
      </c>
      <c r="H2682" s="2" t="s">
        <v>8</v>
      </c>
      <c r="I2682" s="2">
        <v>414899.999999989</v>
      </c>
      <c r="J2682" s="2">
        <v>1000</v>
      </c>
      <c r="K2682" s="2">
        <v>500</v>
      </c>
      <c r="L2682" s="2">
        <v>0</v>
      </c>
      <c r="M2682" s="2">
        <v>589107.17000000004</v>
      </c>
      <c r="N2682">
        <f t="shared" si="55"/>
        <v>1004273.5699999889</v>
      </c>
      <c r="O2682" s="2" t="s">
        <v>4</v>
      </c>
    </row>
    <row r="2683" spans="1:15" x14ac:dyDescent="0.2">
      <c r="A2683">
        <v>90</v>
      </c>
      <c r="B2683">
        <v>6</v>
      </c>
      <c r="C2683">
        <v>8</v>
      </c>
      <c r="D2683" s="2">
        <v>2</v>
      </c>
      <c r="E2683" s="2">
        <v>2</v>
      </c>
      <c r="F2683" s="2" t="s">
        <v>5</v>
      </c>
      <c r="G2683" s="2">
        <v>335.79999999986399</v>
      </c>
      <c r="H2683" s="2" t="s">
        <v>8</v>
      </c>
      <c r="I2683" s="2">
        <v>636770.00000006997</v>
      </c>
      <c r="J2683" s="2">
        <v>1000</v>
      </c>
      <c r="K2683" s="2">
        <v>500</v>
      </c>
      <c r="L2683" s="2">
        <v>0</v>
      </c>
      <c r="M2683" s="2">
        <v>603588.37</v>
      </c>
      <c r="N2683">
        <f t="shared" si="55"/>
        <v>1240694.1700000698</v>
      </c>
      <c r="O2683" s="2" t="s">
        <v>4</v>
      </c>
    </row>
    <row r="2684" spans="1:15" x14ac:dyDescent="0.2">
      <c r="A2684">
        <v>91</v>
      </c>
      <c r="B2684">
        <v>6</v>
      </c>
      <c r="C2684">
        <v>8</v>
      </c>
      <c r="D2684" s="2">
        <v>3</v>
      </c>
      <c r="E2684" s="2">
        <v>2</v>
      </c>
      <c r="F2684" s="2" t="s">
        <v>5</v>
      </c>
      <c r="G2684" s="2">
        <v>335.59999999930301</v>
      </c>
      <c r="H2684" s="2" t="s">
        <v>8</v>
      </c>
      <c r="I2684" s="2">
        <v>411151.00000001799</v>
      </c>
      <c r="J2684" s="2">
        <v>1000</v>
      </c>
      <c r="K2684" s="2">
        <v>500</v>
      </c>
      <c r="L2684" s="2">
        <v>0</v>
      </c>
      <c r="M2684" s="2">
        <v>606569.17000000004</v>
      </c>
      <c r="N2684">
        <f t="shared" si="55"/>
        <v>1018055.7700000172</v>
      </c>
      <c r="O2684" s="2" t="s">
        <v>4</v>
      </c>
    </row>
    <row r="2685" spans="1:15" x14ac:dyDescent="0.2">
      <c r="A2685">
        <v>92</v>
      </c>
      <c r="B2685">
        <v>6</v>
      </c>
      <c r="C2685">
        <v>8</v>
      </c>
      <c r="D2685" s="2">
        <v>3</v>
      </c>
      <c r="E2685" s="2">
        <v>2</v>
      </c>
      <c r="F2685" s="2" t="s">
        <v>5</v>
      </c>
      <c r="G2685" s="2">
        <v>306.40000000019501</v>
      </c>
      <c r="H2685" s="2" t="s">
        <v>8</v>
      </c>
      <c r="I2685" s="2">
        <v>326122.99999982503</v>
      </c>
      <c r="J2685" s="2">
        <v>1000</v>
      </c>
      <c r="K2685" s="2">
        <v>500</v>
      </c>
      <c r="L2685" s="2">
        <v>0</v>
      </c>
      <c r="M2685" s="2">
        <v>606567.56999999995</v>
      </c>
      <c r="N2685">
        <f t="shared" si="55"/>
        <v>932996.96999982512</v>
      </c>
      <c r="O2685" s="2" t="s">
        <v>4</v>
      </c>
    </row>
    <row r="2686" spans="1:15" x14ac:dyDescent="0.2">
      <c r="A2686">
        <v>93</v>
      </c>
      <c r="B2686">
        <v>6</v>
      </c>
      <c r="C2686">
        <v>11</v>
      </c>
      <c r="D2686" s="2">
        <v>3</v>
      </c>
      <c r="E2686" s="2">
        <v>2</v>
      </c>
      <c r="F2686" s="2" t="s">
        <v>5</v>
      </c>
      <c r="G2686" s="2">
        <v>515.79999999979998</v>
      </c>
      <c r="H2686" s="2" t="s">
        <v>8</v>
      </c>
      <c r="I2686" s="2">
        <v>2579271.9999999502</v>
      </c>
      <c r="J2686" s="2">
        <v>1000</v>
      </c>
      <c r="K2686" s="2">
        <v>500</v>
      </c>
      <c r="L2686" s="2">
        <v>0</v>
      </c>
      <c r="M2686" s="2">
        <v>632228.37</v>
      </c>
      <c r="N2686">
        <f t="shared" si="55"/>
        <v>3212016.1699999501</v>
      </c>
      <c r="O2686" s="2" t="s">
        <v>4</v>
      </c>
    </row>
    <row r="2687" spans="1:15" x14ac:dyDescent="0.2">
      <c r="A2687">
        <v>94</v>
      </c>
      <c r="B2687">
        <v>6</v>
      </c>
      <c r="C2687">
        <v>10</v>
      </c>
      <c r="D2687" s="2">
        <v>2</v>
      </c>
      <c r="E2687" s="2">
        <v>2</v>
      </c>
      <c r="F2687" s="2" t="s">
        <v>5</v>
      </c>
      <c r="G2687" s="2">
        <v>446.600000000075</v>
      </c>
      <c r="H2687" s="2" t="s">
        <v>8</v>
      </c>
      <c r="I2687" s="2">
        <v>2002005.9999999399</v>
      </c>
      <c r="J2687" s="2">
        <v>1000</v>
      </c>
      <c r="K2687" s="2">
        <v>500</v>
      </c>
      <c r="L2687" s="2">
        <v>0</v>
      </c>
      <c r="M2687" s="2">
        <v>601909.97</v>
      </c>
      <c r="N2687">
        <f t="shared" si="55"/>
        <v>2604362.5699999398</v>
      </c>
      <c r="O2687" s="2" t="s">
        <v>4</v>
      </c>
    </row>
    <row r="2688" spans="1:15" x14ac:dyDescent="0.2">
      <c r="A2688">
        <v>95</v>
      </c>
      <c r="B2688">
        <v>6</v>
      </c>
      <c r="C2688">
        <v>12</v>
      </c>
      <c r="D2688" s="2">
        <v>2</v>
      </c>
      <c r="E2688" s="2">
        <v>2</v>
      </c>
      <c r="F2688" s="2" t="s">
        <v>5</v>
      </c>
      <c r="G2688" s="2">
        <v>605.60000000045</v>
      </c>
      <c r="H2688" s="2" t="s">
        <v>8</v>
      </c>
      <c r="I2688" s="2">
        <v>5219995.0000001499</v>
      </c>
      <c r="J2688" s="2">
        <v>1000</v>
      </c>
      <c r="K2688" s="2">
        <v>500</v>
      </c>
      <c r="L2688" s="2">
        <v>0</v>
      </c>
      <c r="M2688" s="2">
        <v>616207.97</v>
      </c>
      <c r="N2688">
        <f t="shared" si="55"/>
        <v>5836808.5700001502</v>
      </c>
      <c r="O2688" s="2" t="s">
        <v>4</v>
      </c>
    </row>
    <row r="2689" spans="1:15" x14ac:dyDescent="0.2">
      <c r="A2689">
        <v>96</v>
      </c>
      <c r="B2689">
        <v>6</v>
      </c>
      <c r="C2689">
        <v>8</v>
      </c>
      <c r="D2689" s="2">
        <v>3</v>
      </c>
      <c r="E2689" s="2">
        <v>2</v>
      </c>
      <c r="F2689" s="2" t="s">
        <v>5</v>
      </c>
      <c r="G2689" s="2">
        <v>301.39999999967398</v>
      </c>
      <c r="H2689" s="2" t="s">
        <v>8</v>
      </c>
      <c r="I2689" s="2">
        <v>538624.00000002701</v>
      </c>
      <c r="J2689" s="2">
        <v>1000</v>
      </c>
      <c r="K2689" s="2">
        <v>500</v>
      </c>
      <c r="L2689" s="2">
        <v>0</v>
      </c>
      <c r="M2689" s="2">
        <v>605267.97</v>
      </c>
      <c r="N2689">
        <f t="shared" si="55"/>
        <v>1144193.3700000267</v>
      </c>
      <c r="O2689" s="2" t="s">
        <v>5</v>
      </c>
    </row>
    <row r="2690" spans="1:15" x14ac:dyDescent="0.2">
      <c r="A2690">
        <v>97</v>
      </c>
      <c r="B2690">
        <v>6</v>
      </c>
      <c r="C2690">
        <v>9</v>
      </c>
      <c r="D2690" s="2">
        <v>3</v>
      </c>
      <c r="E2690" s="2">
        <v>2</v>
      </c>
      <c r="F2690" s="2" t="s">
        <v>5</v>
      </c>
      <c r="G2690" s="2">
        <v>374.59999999995802</v>
      </c>
      <c r="H2690" s="2" t="s">
        <v>8</v>
      </c>
      <c r="I2690" s="2">
        <v>698046.99999985995</v>
      </c>
      <c r="J2690" s="2">
        <v>1000</v>
      </c>
      <c r="K2690" s="2">
        <v>500</v>
      </c>
      <c r="L2690" s="2">
        <v>0</v>
      </c>
      <c r="M2690" s="2">
        <v>608207.97</v>
      </c>
      <c r="N2690">
        <f t="shared" si="55"/>
        <v>1306629.5699998599</v>
      </c>
      <c r="O2690" s="2" t="s">
        <v>4</v>
      </c>
    </row>
    <row r="2691" spans="1:15" x14ac:dyDescent="0.2">
      <c r="A2691">
        <v>98</v>
      </c>
      <c r="B2691">
        <v>6</v>
      </c>
      <c r="C2691">
        <v>10</v>
      </c>
      <c r="D2691" s="2">
        <v>3</v>
      </c>
      <c r="E2691" s="2">
        <v>2</v>
      </c>
      <c r="F2691" s="2" t="s">
        <v>5</v>
      </c>
      <c r="G2691" s="2">
        <v>496.19999999990199</v>
      </c>
      <c r="H2691" s="2" t="s">
        <v>8</v>
      </c>
      <c r="I2691" s="2">
        <v>1091490.00000002</v>
      </c>
      <c r="J2691" s="2">
        <v>1000</v>
      </c>
      <c r="K2691" s="2">
        <v>500</v>
      </c>
      <c r="L2691" s="2">
        <v>0</v>
      </c>
      <c r="M2691" s="2">
        <v>612107.56999999995</v>
      </c>
      <c r="N2691">
        <f t="shared" si="55"/>
        <v>1704093.77000002</v>
      </c>
      <c r="O2691" s="2" t="s">
        <v>4</v>
      </c>
    </row>
    <row r="2692" spans="1:15" x14ac:dyDescent="0.2">
      <c r="A2692">
        <v>99</v>
      </c>
      <c r="B2692">
        <v>6</v>
      </c>
      <c r="C2692">
        <v>11</v>
      </c>
      <c r="D2692" s="2">
        <v>2</v>
      </c>
      <c r="E2692" s="2">
        <v>2</v>
      </c>
      <c r="F2692" s="2" t="s">
        <v>5</v>
      </c>
      <c r="G2692" s="2">
        <v>500.59999999980698</v>
      </c>
      <c r="H2692" s="2" t="s">
        <v>8</v>
      </c>
      <c r="I2692" s="2">
        <v>2540038.0000001001</v>
      </c>
      <c r="J2692" s="2">
        <v>1000</v>
      </c>
      <c r="K2692" s="2">
        <v>500</v>
      </c>
      <c r="L2692" s="2">
        <v>0</v>
      </c>
      <c r="M2692" s="2">
        <v>638169.97</v>
      </c>
      <c r="N2692">
        <f t="shared" si="55"/>
        <v>3178708.5700000999</v>
      </c>
      <c r="O2692" s="2" t="s">
        <v>4</v>
      </c>
    </row>
    <row r="2693" spans="1:15" x14ac:dyDescent="0.2">
      <c r="A2693">
        <v>70</v>
      </c>
      <c r="B2693">
        <v>6</v>
      </c>
      <c r="C2693">
        <v>6</v>
      </c>
      <c r="D2693" s="2">
        <v>3</v>
      </c>
      <c r="E2693" s="2">
        <v>2</v>
      </c>
      <c r="F2693" s="2" t="s">
        <v>5</v>
      </c>
      <c r="G2693" s="2">
        <v>916.60000000004504</v>
      </c>
      <c r="H2693" s="2" t="s">
        <v>8</v>
      </c>
      <c r="I2693" s="2">
        <v>169758.00000000201</v>
      </c>
      <c r="J2693" s="2">
        <v>1000</v>
      </c>
      <c r="K2693" s="2">
        <v>300</v>
      </c>
      <c r="L2693" s="2">
        <v>0</v>
      </c>
      <c r="M2693" s="2">
        <v>426586.77</v>
      </c>
      <c r="N2693">
        <f t="shared" si="55"/>
        <v>597261.37000000209</v>
      </c>
      <c r="O2693" s="2" t="s">
        <v>4</v>
      </c>
    </row>
    <row r="2694" spans="1:15" x14ac:dyDescent="0.2">
      <c r="A2694">
        <v>71</v>
      </c>
      <c r="B2694">
        <v>6</v>
      </c>
      <c r="C2694">
        <v>7</v>
      </c>
      <c r="D2694" s="2">
        <v>2</v>
      </c>
      <c r="E2694" s="2">
        <v>2</v>
      </c>
      <c r="F2694" s="2" t="s">
        <v>5</v>
      </c>
      <c r="G2694" s="2">
        <v>840.79999999993095</v>
      </c>
      <c r="H2694" s="2" t="s">
        <v>8</v>
      </c>
      <c r="I2694" s="2">
        <v>333503.99999994802</v>
      </c>
      <c r="J2694" s="2">
        <v>1000</v>
      </c>
      <c r="K2694" s="2">
        <v>300</v>
      </c>
      <c r="L2694" s="2">
        <v>0</v>
      </c>
      <c r="M2694" s="2">
        <v>390606.37</v>
      </c>
      <c r="N2694">
        <f t="shared" si="55"/>
        <v>724951.169999948</v>
      </c>
      <c r="O2694" s="2" t="s">
        <v>4</v>
      </c>
    </row>
    <row r="2695" spans="1:15" x14ac:dyDescent="0.2">
      <c r="A2695">
        <v>72</v>
      </c>
      <c r="B2695">
        <v>6</v>
      </c>
      <c r="C2695">
        <v>7</v>
      </c>
      <c r="D2695" s="2">
        <v>2</v>
      </c>
      <c r="E2695" s="2">
        <v>2</v>
      </c>
      <c r="F2695" s="2" t="s">
        <v>5</v>
      </c>
      <c r="G2695" s="2">
        <v>686.80000000043196</v>
      </c>
      <c r="H2695" s="2" t="s">
        <v>8</v>
      </c>
      <c r="I2695" s="2">
        <v>475044.99999990902</v>
      </c>
      <c r="J2695" s="2">
        <v>1000</v>
      </c>
      <c r="K2695" s="2">
        <v>300</v>
      </c>
      <c r="L2695" s="2">
        <v>0</v>
      </c>
      <c r="M2695" s="2">
        <v>404044.77</v>
      </c>
      <c r="N2695">
        <f t="shared" si="55"/>
        <v>879776.56999990949</v>
      </c>
      <c r="O2695" s="2" t="s">
        <v>4</v>
      </c>
    </row>
    <row r="2696" spans="1:15" x14ac:dyDescent="0.2">
      <c r="A2696">
        <v>73</v>
      </c>
      <c r="B2696">
        <v>6</v>
      </c>
      <c r="C2696">
        <v>7</v>
      </c>
      <c r="D2696" s="2">
        <v>3</v>
      </c>
      <c r="E2696" s="2">
        <v>2</v>
      </c>
      <c r="F2696" s="2" t="s">
        <v>5</v>
      </c>
      <c r="G2696" s="2">
        <v>696.99999999990303</v>
      </c>
      <c r="H2696" s="2" t="s">
        <v>8</v>
      </c>
      <c r="I2696" s="2">
        <v>533288.00000008405</v>
      </c>
      <c r="J2696" s="2">
        <v>1000</v>
      </c>
      <c r="K2696" s="2">
        <v>300</v>
      </c>
      <c r="L2696" s="2">
        <v>0</v>
      </c>
      <c r="M2696" s="2">
        <v>401265.97</v>
      </c>
      <c r="N2696">
        <f t="shared" si="55"/>
        <v>935250.97000008391</v>
      </c>
      <c r="O2696" s="2" t="s">
        <v>5</v>
      </c>
    </row>
    <row r="2697" spans="1:15" x14ac:dyDescent="0.2">
      <c r="A2697">
        <v>74</v>
      </c>
      <c r="B2697">
        <v>6</v>
      </c>
      <c r="C2697">
        <v>9</v>
      </c>
      <c r="D2697" s="2">
        <v>3</v>
      </c>
      <c r="E2697" s="2">
        <v>2</v>
      </c>
      <c r="F2697" s="2" t="s">
        <v>5</v>
      </c>
      <c r="G2697" s="2">
        <v>767.00000000009504</v>
      </c>
      <c r="H2697" s="2" t="s">
        <v>8</v>
      </c>
      <c r="I2697" s="2">
        <v>792881.99999996298</v>
      </c>
      <c r="J2697" s="2">
        <v>1000</v>
      </c>
      <c r="K2697" s="2">
        <v>300</v>
      </c>
      <c r="L2697" s="2">
        <v>0</v>
      </c>
      <c r="M2697" s="2">
        <v>383744.77</v>
      </c>
      <c r="N2697">
        <f t="shared" si="55"/>
        <v>1177393.7699999632</v>
      </c>
      <c r="O2697" s="2" t="s">
        <v>4</v>
      </c>
    </row>
    <row r="2698" spans="1:15" x14ac:dyDescent="0.2">
      <c r="A2698">
        <v>75</v>
      </c>
      <c r="B2698">
        <v>6</v>
      </c>
      <c r="C2698">
        <v>7</v>
      </c>
      <c r="D2698" s="2">
        <v>3</v>
      </c>
      <c r="E2698" s="2">
        <v>2</v>
      </c>
      <c r="F2698" s="2" t="s">
        <v>5</v>
      </c>
      <c r="G2698" s="2">
        <v>442.80000000007601</v>
      </c>
      <c r="H2698" s="2" t="s">
        <v>8</v>
      </c>
      <c r="I2698" s="2">
        <v>267370.99999991199</v>
      </c>
      <c r="J2698" s="2">
        <v>1000</v>
      </c>
      <c r="K2698" s="2">
        <v>300</v>
      </c>
      <c r="L2698" s="2">
        <v>0</v>
      </c>
      <c r="M2698" s="2">
        <v>392085.17</v>
      </c>
      <c r="N2698">
        <f t="shared" si="55"/>
        <v>659898.96999991208</v>
      </c>
      <c r="O2698" s="2" t="s">
        <v>4</v>
      </c>
    </row>
    <row r="2699" spans="1:15" x14ac:dyDescent="0.2">
      <c r="A2699">
        <v>76</v>
      </c>
      <c r="B2699">
        <v>6</v>
      </c>
      <c r="C2699">
        <v>8</v>
      </c>
      <c r="D2699" s="2">
        <v>3</v>
      </c>
      <c r="E2699" s="2">
        <v>2</v>
      </c>
      <c r="F2699" s="2" t="s">
        <v>5</v>
      </c>
      <c r="G2699" s="2">
        <v>657.20000000020195</v>
      </c>
      <c r="H2699" s="2" t="s">
        <v>8</v>
      </c>
      <c r="I2699" s="2">
        <v>367324.99999993702</v>
      </c>
      <c r="J2699" s="2">
        <v>1000</v>
      </c>
      <c r="K2699" s="2">
        <v>300</v>
      </c>
      <c r="L2699" s="2">
        <v>0</v>
      </c>
      <c r="M2699" s="2">
        <v>379804.77</v>
      </c>
      <c r="N2699">
        <f t="shared" si="55"/>
        <v>747786.96999993722</v>
      </c>
      <c r="O2699" s="2" t="s">
        <v>4</v>
      </c>
    </row>
    <row r="2700" spans="1:15" x14ac:dyDescent="0.2">
      <c r="A2700">
        <v>77</v>
      </c>
      <c r="B2700">
        <v>6</v>
      </c>
      <c r="C2700">
        <v>8</v>
      </c>
      <c r="D2700" s="2">
        <v>3</v>
      </c>
      <c r="E2700" s="2">
        <v>2</v>
      </c>
      <c r="F2700" s="2" t="s">
        <v>5</v>
      </c>
      <c r="G2700" s="2">
        <v>517.59999999951799</v>
      </c>
      <c r="H2700" s="2" t="s">
        <v>8</v>
      </c>
      <c r="I2700" s="2">
        <v>424015.00000005402</v>
      </c>
      <c r="J2700" s="2">
        <v>1000</v>
      </c>
      <c r="K2700" s="2">
        <v>300</v>
      </c>
      <c r="L2700" s="2">
        <v>0</v>
      </c>
      <c r="M2700" s="2">
        <v>405085.97</v>
      </c>
      <c r="N2700">
        <f t="shared" si="55"/>
        <v>829618.5700000535</v>
      </c>
      <c r="O2700" s="2" t="s">
        <v>4</v>
      </c>
    </row>
    <row r="2701" spans="1:15" x14ac:dyDescent="0.2">
      <c r="A2701">
        <v>78</v>
      </c>
      <c r="B2701">
        <v>6</v>
      </c>
      <c r="C2701">
        <v>8</v>
      </c>
      <c r="D2701" s="2">
        <v>3</v>
      </c>
      <c r="E2701" s="2">
        <v>2</v>
      </c>
      <c r="F2701" s="2" t="s">
        <v>5</v>
      </c>
      <c r="G2701" s="2">
        <v>411.19999999992302</v>
      </c>
      <c r="H2701" s="2" t="s">
        <v>8</v>
      </c>
      <c r="I2701" s="2">
        <v>421569.00000008999</v>
      </c>
      <c r="J2701" s="2">
        <v>1000</v>
      </c>
      <c r="K2701" s="2">
        <v>300</v>
      </c>
      <c r="L2701" s="2">
        <v>0</v>
      </c>
      <c r="M2701" s="2">
        <v>406225.97</v>
      </c>
      <c r="N2701">
        <f t="shared" si="55"/>
        <v>828206.1700000898</v>
      </c>
      <c r="O2701" s="2" t="s">
        <v>4</v>
      </c>
    </row>
    <row r="2702" spans="1:15" x14ac:dyDescent="0.2">
      <c r="A2702">
        <v>79</v>
      </c>
      <c r="B2702">
        <v>6</v>
      </c>
      <c r="C2702">
        <v>8</v>
      </c>
      <c r="D2702" s="2">
        <v>3</v>
      </c>
      <c r="E2702" s="2">
        <v>2</v>
      </c>
      <c r="F2702" s="2" t="s">
        <v>5</v>
      </c>
      <c r="G2702" s="2">
        <v>394.20000000021099</v>
      </c>
      <c r="H2702" s="2" t="s">
        <v>8</v>
      </c>
      <c r="I2702" s="2">
        <v>507382.00000000698</v>
      </c>
      <c r="J2702" s="2">
        <v>1000</v>
      </c>
      <c r="K2702" s="2">
        <v>300</v>
      </c>
      <c r="L2702" s="2">
        <v>0</v>
      </c>
      <c r="M2702" s="2">
        <v>391345.97</v>
      </c>
      <c r="N2702">
        <f t="shared" si="55"/>
        <v>899122.17000000714</v>
      </c>
      <c r="O2702" s="2" t="s">
        <v>4</v>
      </c>
    </row>
    <row r="2703" spans="1:15" x14ac:dyDescent="0.2">
      <c r="A2703">
        <v>80</v>
      </c>
      <c r="B2703">
        <v>6</v>
      </c>
      <c r="C2703">
        <v>7</v>
      </c>
      <c r="D2703" s="2">
        <v>3</v>
      </c>
      <c r="E2703" s="2">
        <v>2</v>
      </c>
      <c r="F2703" s="2" t="s">
        <v>5</v>
      </c>
      <c r="G2703" s="2">
        <v>306.60000000004601</v>
      </c>
      <c r="H2703" s="2" t="s">
        <v>8</v>
      </c>
      <c r="I2703" s="2">
        <v>217282.00000006799</v>
      </c>
      <c r="J2703" s="2">
        <v>1000</v>
      </c>
      <c r="K2703" s="2">
        <v>300</v>
      </c>
      <c r="L2703" s="2">
        <v>0</v>
      </c>
      <c r="M2703" s="2">
        <v>404484.77</v>
      </c>
      <c r="N2703">
        <f t="shared" si="55"/>
        <v>622073.3700000681</v>
      </c>
      <c r="O2703" s="2" t="s">
        <v>4</v>
      </c>
    </row>
    <row r="2704" spans="1:15" x14ac:dyDescent="0.2">
      <c r="A2704">
        <v>81</v>
      </c>
      <c r="B2704">
        <v>6</v>
      </c>
      <c r="C2704">
        <v>8</v>
      </c>
      <c r="D2704" s="2">
        <v>3</v>
      </c>
      <c r="E2704" s="2">
        <v>2</v>
      </c>
      <c r="F2704" s="2" t="s">
        <v>5</v>
      </c>
      <c r="G2704" s="2">
        <v>372.600000000389</v>
      </c>
      <c r="H2704" s="2" t="s">
        <v>8</v>
      </c>
      <c r="I2704" s="2">
        <v>572054.99999986403</v>
      </c>
      <c r="J2704" s="2">
        <v>1000</v>
      </c>
      <c r="K2704" s="2">
        <v>300</v>
      </c>
      <c r="L2704" s="2">
        <v>0</v>
      </c>
      <c r="M2704" s="2">
        <v>390005.17</v>
      </c>
      <c r="N2704">
        <f t="shared" si="55"/>
        <v>962432.76999986451</v>
      </c>
      <c r="O2704" s="2" t="s">
        <v>4</v>
      </c>
    </row>
    <row r="2705" spans="1:15" x14ac:dyDescent="0.2">
      <c r="A2705">
        <v>82</v>
      </c>
      <c r="B2705">
        <v>6</v>
      </c>
      <c r="C2705">
        <v>8</v>
      </c>
      <c r="D2705" s="2">
        <v>2</v>
      </c>
      <c r="E2705" s="2">
        <v>2</v>
      </c>
      <c r="F2705" s="2" t="s">
        <v>5</v>
      </c>
      <c r="G2705" s="2">
        <v>377.99999999990098</v>
      </c>
      <c r="H2705" s="2" t="s">
        <v>8</v>
      </c>
      <c r="I2705" s="2">
        <v>449708.99999998399</v>
      </c>
      <c r="J2705" s="2">
        <v>1000</v>
      </c>
      <c r="K2705" s="2">
        <v>300</v>
      </c>
      <c r="L2705" s="2">
        <v>0</v>
      </c>
      <c r="M2705" s="2">
        <v>404185.17</v>
      </c>
      <c r="N2705">
        <f t="shared" si="55"/>
        <v>854272.16999998386</v>
      </c>
      <c r="O2705" s="2" t="s">
        <v>4</v>
      </c>
    </row>
    <row r="2706" spans="1:15" x14ac:dyDescent="0.2">
      <c r="A2706">
        <v>83</v>
      </c>
      <c r="B2706">
        <v>6</v>
      </c>
      <c r="C2706">
        <v>9</v>
      </c>
      <c r="D2706" s="2">
        <v>2</v>
      </c>
      <c r="E2706" s="2">
        <v>2</v>
      </c>
      <c r="F2706" s="2" t="s">
        <v>5</v>
      </c>
      <c r="G2706" s="2">
        <v>451.20000000018501</v>
      </c>
      <c r="H2706" s="2" t="s">
        <v>8</v>
      </c>
      <c r="I2706" s="2">
        <v>1278454.00000001</v>
      </c>
      <c r="J2706" s="2">
        <v>1000</v>
      </c>
      <c r="K2706" s="2">
        <v>300</v>
      </c>
      <c r="L2706" s="2">
        <v>0</v>
      </c>
      <c r="M2706" s="2">
        <v>409325.17</v>
      </c>
      <c r="N2706">
        <f t="shared" si="55"/>
        <v>1688230.3700000101</v>
      </c>
      <c r="O2706" s="2" t="s">
        <v>4</v>
      </c>
    </row>
    <row r="2707" spans="1:15" x14ac:dyDescent="0.2">
      <c r="A2707">
        <v>84</v>
      </c>
      <c r="B2707">
        <v>6</v>
      </c>
      <c r="C2707">
        <v>10</v>
      </c>
      <c r="D2707" s="2">
        <v>2</v>
      </c>
      <c r="E2707" s="2">
        <v>2</v>
      </c>
      <c r="F2707" s="2" t="s">
        <v>5</v>
      </c>
      <c r="G2707" s="2">
        <v>503.80000000060897</v>
      </c>
      <c r="H2707" s="2" t="s">
        <v>8</v>
      </c>
      <c r="I2707" s="2">
        <v>4835274.0000000298</v>
      </c>
      <c r="J2707" s="2">
        <v>1000</v>
      </c>
      <c r="K2707" s="2">
        <v>300</v>
      </c>
      <c r="L2707" s="2">
        <v>0</v>
      </c>
      <c r="M2707" s="2">
        <v>397745.17</v>
      </c>
      <c r="N2707">
        <f t="shared" si="55"/>
        <v>5233522.9700000305</v>
      </c>
      <c r="O2707" s="2" t="s">
        <v>4</v>
      </c>
    </row>
    <row r="2708" spans="1:15" x14ac:dyDescent="0.2">
      <c r="A2708">
        <v>85</v>
      </c>
      <c r="B2708">
        <v>6</v>
      </c>
      <c r="C2708">
        <v>8</v>
      </c>
      <c r="D2708" s="2">
        <v>2</v>
      </c>
      <c r="E2708" s="2">
        <v>2</v>
      </c>
      <c r="F2708" s="2" t="s">
        <v>5</v>
      </c>
      <c r="G2708" s="2">
        <v>348.000000000326</v>
      </c>
      <c r="H2708" s="2" t="s">
        <v>8</v>
      </c>
      <c r="I2708" s="2">
        <v>562017.99999985297</v>
      </c>
      <c r="J2708" s="2">
        <v>1000</v>
      </c>
      <c r="K2708" s="2">
        <v>300</v>
      </c>
      <c r="L2708" s="2">
        <v>0</v>
      </c>
      <c r="M2708" s="2">
        <v>384186.77</v>
      </c>
      <c r="N2708">
        <f t="shared" si="55"/>
        <v>946552.76999985334</v>
      </c>
      <c r="O2708" s="2" t="s">
        <v>4</v>
      </c>
    </row>
    <row r="2709" spans="1:15" x14ac:dyDescent="0.2">
      <c r="A2709">
        <v>86</v>
      </c>
      <c r="B2709">
        <v>6</v>
      </c>
      <c r="C2709">
        <v>10</v>
      </c>
      <c r="D2709" s="2">
        <v>3</v>
      </c>
      <c r="E2709" s="2">
        <v>2</v>
      </c>
      <c r="F2709" s="2" t="s">
        <v>5</v>
      </c>
      <c r="G2709" s="2">
        <v>468.00000000004599</v>
      </c>
      <c r="H2709" s="2" t="s">
        <v>8</v>
      </c>
      <c r="I2709" s="2">
        <v>2626483.9999998901</v>
      </c>
      <c r="J2709" s="2">
        <v>1000</v>
      </c>
      <c r="K2709" s="2">
        <v>300</v>
      </c>
      <c r="L2709" s="2">
        <v>0</v>
      </c>
      <c r="M2709" s="2">
        <v>435847.57</v>
      </c>
      <c r="N2709">
        <f t="shared" si="55"/>
        <v>3062799.5699998899</v>
      </c>
      <c r="O2709" s="2" t="s">
        <v>4</v>
      </c>
    </row>
    <row r="2710" spans="1:15" x14ac:dyDescent="0.2">
      <c r="A2710">
        <v>87</v>
      </c>
      <c r="B2710">
        <v>6</v>
      </c>
      <c r="C2710">
        <v>10</v>
      </c>
      <c r="D2710" s="2">
        <v>2</v>
      </c>
      <c r="E2710" s="2">
        <v>2</v>
      </c>
      <c r="F2710" s="2" t="s">
        <v>5</v>
      </c>
      <c r="G2710" s="2">
        <v>451.39999999968001</v>
      </c>
      <c r="H2710" s="2" t="s">
        <v>8</v>
      </c>
      <c r="I2710" s="2">
        <v>2008806.0000000501</v>
      </c>
      <c r="J2710" s="2">
        <v>1000</v>
      </c>
      <c r="K2710" s="2">
        <v>300</v>
      </c>
      <c r="L2710" s="2">
        <v>0</v>
      </c>
      <c r="M2710" s="2">
        <v>442585.17</v>
      </c>
      <c r="N2710">
        <f t="shared" si="55"/>
        <v>2451842.5700000497</v>
      </c>
      <c r="O2710" s="2" t="s">
        <v>4</v>
      </c>
    </row>
    <row r="2711" spans="1:15" x14ac:dyDescent="0.2">
      <c r="A2711">
        <v>88</v>
      </c>
      <c r="B2711">
        <v>6</v>
      </c>
      <c r="C2711">
        <v>10</v>
      </c>
      <c r="D2711" s="2">
        <v>3</v>
      </c>
      <c r="E2711" s="2">
        <v>2</v>
      </c>
      <c r="F2711" s="2" t="s">
        <v>5</v>
      </c>
      <c r="G2711" s="2">
        <v>490.20000000048498</v>
      </c>
      <c r="H2711" s="2" t="s">
        <v>8</v>
      </c>
      <c r="I2711" s="2">
        <v>1234313.00000016</v>
      </c>
      <c r="J2711" s="2">
        <v>1000</v>
      </c>
      <c r="K2711" s="2">
        <v>300</v>
      </c>
      <c r="L2711" s="2">
        <v>0</v>
      </c>
      <c r="M2711" s="2">
        <v>441785.57</v>
      </c>
      <c r="N2711">
        <f t="shared" si="55"/>
        <v>1676588.7700001604</v>
      </c>
      <c r="O2711" s="2" t="s">
        <v>4</v>
      </c>
    </row>
    <row r="2712" spans="1:15" x14ac:dyDescent="0.2">
      <c r="A2712">
        <v>89</v>
      </c>
      <c r="B2712">
        <v>6</v>
      </c>
      <c r="C2712">
        <v>7</v>
      </c>
      <c r="D2712" s="2">
        <v>3</v>
      </c>
      <c r="E2712" s="2">
        <v>2</v>
      </c>
      <c r="F2712" s="2" t="s">
        <v>5</v>
      </c>
      <c r="G2712" s="2">
        <v>266.39999999993302</v>
      </c>
      <c r="H2712" s="2" t="s">
        <v>8</v>
      </c>
      <c r="I2712" s="2">
        <v>414899.999999989</v>
      </c>
      <c r="J2712" s="2">
        <v>1000</v>
      </c>
      <c r="K2712" s="2">
        <v>300</v>
      </c>
      <c r="L2712" s="2">
        <v>0</v>
      </c>
      <c r="M2712" s="2">
        <v>389105.17</v>
      </c>
      <c r="N2712">
        <f t="shared" si="55"/>
        <v>804271.56999998889</v>
      </c>
      <c r="O2712" s="2" t="s">
        <v>4</v>
      </c>
    </row>
    <row r="2713" spans="1:15" x14ac:dyDescent="0.2">
      <c r="A2713">
        <v>90</v>
      </c>
      <c r="B2713">
        <v>6</v>
      </c>
      <c r="C2713">
        <v>8</v>
      </c>
      <c r="D2713" s="2">
        <v>2</v>
      </c>
      <c r="E2713" s="2">
        <v>2</v>
      </c>
      <c r="F2713" s="2" t="s">
        <v>5</v>
      </c>
      <c r="G2713" s="2">
        <v>335.79999999986399</v>
      </c>
      <c r="H2713" s="2" t="s">
        <v>8</v>
      </c>
      <c r="I2713" s="2">
        <v>636770.00000006997</v>
      </c>
      <c r="J2713" s="2">
        <v>1000</v>
      </c>
      <c r="K2713" s="2">
        <v>300</v>
      </c>
      <c r="L2713" s="2">
        <v>0</v>
      </c>
      <c r="M2713" s="2">
        <v>403585.97</v>
      </c>
      <c r="N2713">
        <f t="shared" si="55"/>
        <v>1040691.7700000698</v>
      </c>
      <c r="O2713" s="2" t="s">
        <v>4</v>
      </c>
    </row>
    <row r="2714" spans="1:15" x14ac:dyDescent="0.2">
      <c r="A2714">
        <v>91</v>
      </c>
      <c r="B2714">
        <v>6</v>
      </c>
      <c r="C2714">
        <v>8</v>
      </c>
      <c r="D2714" s="2">
        <v>3</v>
      </c>
      <c r="E2714" s="2">
        <v>2</v>
      </c>
      <c r="F2714" s="2" t="s">
        <v>5</v>
      </c>
      <c r="G2714" s="2">
        <v>335.59999999930301</v>
      </c>
      <c r="H2714" s="2" t="s">
        <v>8</v>
      </c>
      <c r="I2714" s="2">
        <v>411151.00000001799</v>
      </c>
      <c r="J2714" s="2">
        <v>1000</v>
      </c>
      <c r="K2714" s="2">
        <v>300</v>
      </c>
      <c r="L2714" s="2">
        <v>0</v>
      </c>
      <c r="M2714" s="2">
        <v>406566.37</v>
      </c>
      <c r="N2714">
        <f t="shared" si="55"/>
        <v>818052.9700000172</v>
      </c>
      <c r="O2714" s="2" t="s">
        <v>4</v>
      </c>
    </row>
    <row r="2715" spans="1:15" x14ac:dyDescent="0.2">
      <c r="A2715">
        <v>92</v>
      </c>
      <c r="B2715">
        <v>6</v>
      </c>
      <c r="C2715">
        <v>8</v>
      </c>
      <c r="D2715" s="2">
        <v>3</v>
      </c>
      <c r="E2715" s="2">
        <v>2</v>
      </c>
      <c r="F2715" s="2" t="s">
        <v>5</v>
      </c>
      <c r="G2715" s="2">
        <v>306.40000000019501</v>
      </c>
      <c r="H2715" s="2" t="s">
        <v>8</v>
      </c>
      <c r="I2715" s="2">
        <v>326122.99999982503</v>
      </c>
      <c r="J2715" s="2">
        <v>1000</v>
      </c>
      <c r="K2715" s="2">
        <v>300</v>
      </c>
      <c r="L2715" s="2">
        <v>0</v>
      </c>
      <c r="M2715" s="2">
        <v>406565.97</v>
      </c>
      <c r="N2715">
        <f t="shared" si="55"/>
        <v>732995.36999982526</v>
      </c>
      <c r="O2715" s="2" t="s">
        <v>4</v>
      </c>
    </row>
    <row r="2716" spans="1:15" x14ac:dyDescent="0.2">
      <c r="A2716">
        <v>93</v>
      </c>
      <c r="B2716">
        <v>6</v>
      </c>
      <c r="C2716">
        <v>11</v>
      </c>
      <c r="D2716" s="2">
        <v>3</v>
      </c>
      <c r="E2716" s="2">
        <v>2</v>
      </c>
      <c r="F2716" s="2" t="s">
        <v>5</v>
      </c>
      <c r="G2716" s="2">
        <v>515.79999999979998</v>
      </c>
      <c r="H2716" s="2" t="s">
        <v>8</v>
      </c>
      <c r="I2716" s="2">
        <v>2579271.9999999502</v>
      </c>
      <c r="J2716" s="2">
        <v>1000</v>
      </c>
      <c r="K2716" s="2">
        <v>300</v>
      </c>
      <c r="L2716" s="2">
        <v>0</v>
      </c>
      <c r="M2716" s="2">
        <v>432226.77</v>
      </c>
      <c r="N2716">
        <f t="shared" si="55"/>
        <v>3012014.56999995</v>
      </c>
      <c r="O2716" s="2" t="s">
        <v>4</v>
      </c>
    </row>
    <row r="2717" spans="1:15" x14ac:dyDescent="0.2">
      <c r="A2717">
        <v>94</v>
      </c>
      <c r="B2717">
        <v>6</v>
      </c>
      <c r="C2717">
        <v>10</v>
      </c>
      <c r="D2717" s="2">
        <v>2</v>
      </c>
      <c r="E2717" s="2">
        <v>2</v>
      </c>
      <c r="F2717" s="2" t="s">
        <v>5</v>
      </c>
      <c r="G2717" s="2">
        <v>446.600000000075</v>
      </c>
      <c r="H2717" s="2" t="s">
        <v>8</v>
      </c>
      <c r="I2717" s="2">
        <v>2002005.9999999399</v>
      </c>
      <c r="J2717" s="2">
        <v>1000</v>
      </c>
      <c r="K2717" s="2">
        <v>300</v>
      </c>
      <c r="L2717" s="2">
        <v>0</v>
      </c>
      <c r="M2717" s="2">
        <v>401906.77</v>
      </c>
      <c r="N2717">
        <f t="shared" si="55"/>
        <v>2404359.36999994</v>
      </c>
      <c r="O2717" s="2" t="s">
        <v>4</v>
      </c>
    </row>
    <row r="2718" spans="1:15" x14ac:dyDescent="0.2">
      <c r="A2718">
        <v>95</v>
      </c>
      <c r="B2718">
        <v>6</v>
      </c>
      <c r="C2718">
        <v>12</v>
      </c>
      <c r="D2718" s="2">
        <v>2</v>
      </c>
      <c r="E2718" s="2">
        <v>2</v>
      </c>
      <c r="F2718" s="2" t="s">
        <v>5</v>
      </c>
      <c r="G2718" s="2">
        <v>605.60000000045</v>
      </c>
      <c r="H2718" s="2" t="s">
        <v>8</v>
      </c>
      <c r="I2718" s="2">
        <v>5219995.0000001499</v>
      </c>
      <c r="J2718" s="2">
        <v>1000</v>
      </c>
      <c r="K2718" s="2">
        <v>300</v>
      </c>
      <c r="L2718" s="2">
        <v>0</v>
      </c>
      <c r="M2718" s="2">
        <v>416204.77</v>
      </c>
      <c r="N2718">
        <f t="shared" si="55"/>
        <v>5636805.3700001501</v>
      </c>
      <c r="O2718" s="2" t="s">
        <v>4</v>
      </c>
    </row>
    <row r="2719" spans="1:15" x14ac:dyDescent="0.2">
      <c r="A2719">
        <v>96</v>
      </c>
      <c r="B2719">
        <v>6</v>
      </c>
      <c r="C2719">
        <v>8</v>
      </c>
      <c r="D2719" s="2">
        <v>3</v>
      </c>
      <c r="E2719" s="2">
        <v>2</v>
      </c>
      <c r="F2719" s="2" t="s">
        <v>5</v>
      </c>
      <c r="G2719" s="2">
        <v>301.39999999967398</v>
      </c>
      <c r="H2719" s="2" t="s">
        <v>8</v>
      </c>
      <c r="I2719" s="2">
        <v>538624.00000002701</v>
      </c>
      <c r="J2719" s="2">
        <v>1000</v>
      </c>
      <c r="K2719" s="2">
        <v>300</v>
      </c>
      <c r="L2719" s="2">
        <v>0</v>
      </c>
      <c r="M2719" s="2">
        <v>405265.57</v>
      </c>
      <c r="N2719">
        <f t="shared" si="55"/>
        <v>944190.97000002675</v>
      </c>
      <c r="O2719" s="2" t="s">
        <v>4</v>
      </c>
    </row>
    <row r="2720" spans="1:15" x14ac:dyDescent="0.2">
      <c r="A2720">
        <v>97</v>
      </c>
      <c r="B2720">
        <v>6</v>
      </c>
      <c r="C2720">
        <v>9</v>
      </c>
      <c r="D2720" s="2">
        <v>3</v>
      </c>
      <c r="E2720" s="2">
        <v>2</v>
      </c>
      <c r="F2720" s="2" t="s">
        <v>5</v>
      </c>
      <c r="G2720" s="2">
        <v>374.59999999995802</v>
      </c>
      <c r="H2720" s="2" t="s">
        <v>8</v>
      </c>
      <c r="I2720" s="2">
        <v>698046.99999985995</v>
      </c>
      <c r="J2720" s="2">
        <v>1000</v>
      </c>
      <c r="K2720" s="2">
        <v>300</v>
      </c>
      <c r="L2720" s="2">
        <v>0</v>
      </c>
      <c r="M2720" s="2">
        <v>408205.97</v>
      </c>
      <c r="N2720">
        <f t="shared" si="55"/>
        <v>1106627.5699998599</v>
      </c>
      <c r="O2720" s="2" t="s">
        <v>4</v>
      </c>
    </row>
    <row r="2721" spans="1:15" x14ac:dyDescent="0.2">
      <c r="A2721">
        <v>98</v>
      </c>
      <c r="B2721">
        <v>6</v>
      </c>
      <c r="C2721">
        <v>10</v>
      </c>
      <c r="D2721" s="2">
        <v>3</v>
      </c>
      <c r="E2721" s="2">
        <v>2</v>
      </c>
      <c r="F2721" s="2" t="s">
        <v>5</v>
      </c>
      <c r="G2721" s="2">
        <v>496.19999999990199</v>
      </c>
      <c r="H2721" s="2" t="s">
        <v>8</v>
      </c>
      <c r="I2721" s="2">
        <v>1091490.00000002</v>
      </c>
      <c r="J2721" s="2">
        <v>1000</v>
      </c>
      <c r="K2721" s="2">
        <v>300</v>
      </c>
      <c r="L2721" s="2">
        <v>0</v>
      </c>
      <c r="M2721" s="2">
        <v>412106.77</v>
      </c>
      <c r="N2721">
        <f t="shared" si="55"/>
        <v>1504092.97000002</v>
      </c>
      <c r="O2721" s="2" t="s">
        <v>4</v>
      </c>
    </row>
    <row r="2722" spans="1:15" x14ac:dyDescent="0.2">
      <c r="A2722">
        <v>99</v>
      </c>
      <c r="B2722">
        <v>6</v>
      </c>
      <c r="C2722">
        <v>11</v>
      </c>
      <c r="D2722" s="2">
        <v>2</v>
      </c>
      <c r="E2722" s="2">
        <v>2</v>
      </c>
      <c r="F2722" s="2" t="s">
        <v>5</v>
      </c>
      <c r="G2722" s="2">
        <v>500.59999999980698</v>
      </c>
      <c r="H2722" s="2" t="s">
        <v>8</v>
      </c>
      <c r="I2722" s="2">
        <v>2540038.0000001001</v>
      </c>
      <c r="J2722" s="2">
        <v>1000</v>
      </c>
      <c r="K2722" s="2">
        <v>300</v>
      </c>
      <c r="L2722" s="2">
        <v>0</v>
      </c>
      <c r="M2722" s="2">
        <v>438167.17</v>
      </c>
      <c r="N2722">
        <f t="shared" si="55"/>
        <v>2978705.7700000997</v>
      </c>
      <c r="O2722" s="2" t="s">
        <v>4</v>
      </c>
    </row>
    <row r="2723" spans="1:15" x14ac:dyDescent="0.2">
      <c r="A2723">
        <v>70</v>
      </c>
      <c r="B2723">
        <v>6</v>
      </c>
      <c r="C2723">
        <v>6</v>
      </c>
      <c r="D2723" s="2">
        <v>3</v>
      </c>
      <c r="E2723" s="2">
        <v>2</v>
      </c>
      <c r="F2723" s="2" t="s">
        <v>5</v>
      </c>
      <c r="G2723" s="2">
        <v>916.60000000004504</v>
      </c>
      <c r="H2723" s="2" t="s">
        <v>8</v>
      </c>
      <c r="I2723" s="2">
        <v>169758.00000000201</v>
      </c>
      <c r="J2723" s="2">
        <v>1000</v>
      </c>
      <c r="K2723" s="2">
        <v>700</v>
      </c>
      <c r="L2723" s="2">
        <v>0</v>
      </c>
      <c r="M2723" s="2">
        <v>826586.77</v>
      </c>
      <c r="N2723">
        <f t="shared" ref="N2723:N2782" si="56">G2723+I2723+M2723</f>
        <v>997261.37000000209</v>
      </c>
      <c r="O2723" s="2" t="s">
        <v>4</v>
      </c>
    </row>
    <row r="2724" spans="1:15" x14ac:dyDescent="0.2">
      <c r="A2724">
        <v>71</v>
      </c>
      <c r="B2724">
        <v>6</v>
      </c>
      <c r="C2724">
        <v>7</v>
      </c>
      <c r="D2724" s="2">
        <v>2</v>
      </c>
      <c r="E2724" s="2">
        <v>2</v>
      </c>
      <c r="F2724" s="2" t="s">
        <v>5</v>
      </c>
      <c r="G2724" s="2">
        <v>840.79999999993095</v>
      </c>
      <c r="H2724" s="2" t="s">
        <v>8</v>
      </c>
      <c r="I2724" s="2">
        <v>333503.99999994802</v>
      </c>
      <c r="J2724" s="2">
        <v>1000</v>
      </c>
      <c r="K2724" s="2">
        <v>700</v>
      </c>
      <c r="L2724" s="2">
        <v>0</v>
      </c>
      <c r="M2724" s="2">
        <v>790606.37</v>
      </c>
      <c r="N2724">
        <f t="shared" si="56"/>
        <v>1124951.169999948</v>
      </c>
      <c r="O2724" s="2" t="s">
        <v>4</v>
      </c>
    </row>
    <row r="2725" spans="1:15" x14ac:dyDescent="0.2">
      <c r="A2725">
        <v>72</v>
      </c>
      <c r="B2725">
        <v>6</v>
      </c>
      <c r="C2725">
        <v>7</v>
      </c>
      <c r="D2725" s="2">
        <v>2</v>
      </c>
      <c r="E2725" s="2">
        <v>2</v>
      </c>
      <c r="F2725" s="2" t="s">
        <v>5</v>
      </c>
      <c r="G2725" s="2">
        <v>686.80000000043196</v>
      </c>
      <c r="H2725" s="2" t="s">
        <v>8</v>
      </c>
      <c r="I2725" s="2">
        <v>475044.99999990902</v>
      </c>
      <c r="J2725" s="2">
        <v>1000</v>
      </c>
      <c r="K2725" s="2">
        <v>700</v>
      </c>
      <c r="L2725" s="2">
        <v>0</v>
      </c>
      <c r="M2725" s="2">
        <v>804044.77</v>
      </c>
      <c r="N2725">
        <f t="shared" si="56"/>
        <v>1279776.5699999095</v>
      </c>
      <c r="O2725" s="2" t="s">
        <v>4</v>
      </c>
    </row>
    <row r="2726" spans="1:15" x14ac:dyDescent="0.2">
      <c r="A2726">
        <v>73</v>
      </c>
      <c r="B2726">
        <v>6</v>
      </c>
      <c r="C2726">
        <v>7</v>
      </c>
      <c r="D2726" s="2">
        <v>3</v>
      </c>
      <c r="E2726" s="2">
        <v>2</v>
      </c>
      <c r="F2726" s="2" t="s">
        <v>5</v>
      </c>
      <c r="G2726" s="2">
        <v>696.99999999990303</v>
      </c>
      <c r="H2726" s="2" t="s">
        <v>8</v>
      </c>
      <c r="I2726" s="2">
        <v>533288.00000008405</v>
      </c>
      <c r="J2726" s="2">
        <v>1000</v>
      </c>
      <c r="K2726" s="2">
        <v>700</v>
      </c>
      <c r="L2726" s="2">
        <v>0</v>
      </c>
      <c r="M2726" s="2">
        <v>801265.97</v>
      </c>
      <c r="N2726">
        <f t="shared" si="56"/>
        <v>1335250.970000084</v>
      </c>
      <c r="O2726" s="2" t="s">
        <v>5</v>
      </c>
    </row>
    <row r="2727" spans="1:15" x14ac:dyDescent="0.2">
      <c r="A2727">
        <v>74</v>
      </c>
      <c r="B2727">
        <v>6</v>
      </c>
      <c r="C2727">
        <v>9</v>
      </c>
      <c r="D2727" s="2">
        <v>3</v>
      </c>
      <c r="E2727" s="2">
        <v>2</v>
      </c>
      <c r="F2727" s="2" t="s">
        <v>5</v>
      </c>
      <c r="G2727" s="2">
        <v>767.00000000009504</v>
      </c>
      <c r="H2727" s="2" t="s">
        <v>8</v>
      </c>
      <c r="I2727" s="2">
        <v>792881.99999996298</v>
      </c>
      <c r="J2727" s="2">
        <v>1000</v>
      </c>
      <c r="K2727" s="2">
        <v>700</v>
      </c>
      <c r="L2727" s="2">
        <v>0</v>
      </c>
      <c r="M2727" s="2">
        <v>783744.77</v>
      </c>
      <c r="N2727">
        <f t="shared" si="56"/>
        <v>1577393.7699999632</v>
      </c>
      <c r="O2727" s="2" t="s">
        <v>4</v>
      </c>
    </row>
    <row r="2728" spans="1:15" x14ac:dyDescent="0.2">
      <c r="A2728">
        <v>75</v>
      </c>
      <c r="B2728">
        <v>6</v>
      </c>
      <c r="C2728">
        <v>7</v>
      </c>
      <c r="D2728" s="2">
        <v>3</v>
      </c>
      <c r="E2728" s="2">
        <v>2</v>
      </c>
      <c r="F2728" s="2" t="s">
        <v>5</v>
      </c>
      <c r="G2728" s="2">
        <v>442.80000000007601</v>
      </c>
      <c r="H2728" s="2" t="s">
        <v>8</v>
      </c>
      <c r="I2728" s="2">
        <v>267370.99999991199</v>
      </c>
      <c r="J2728" s="2">
        <v>1000</v>
      </c>
      <c r="K2728" s="2">
        <v>700</v>
      </c>
      <c r="L2728" s="2">
        <v>0</v>
      </c>
      <c r="M2728" s="2">
        <v>792085.17</v>
      </c>
      <c r="N2728">
        <f t="shared" si="56"/>
        <v>1059898.9699999122</v>
      </c>
      <c r="O2728" s="2" t="s">
        <v>4</v>
      </c>
    </row>
    <row r="2729" spans="1:15" x14ac:dyDescent="0.2">
      <c r="A2729">
        <v>76</v>
      </c>
      <c r="B2729">
        <v>6</v>
      </c>
      <c r="C2729">
        <v>8</v>
      </c>
      <c r="D2729" s="2">
        <v>3</v>
      </c>
      <c r="E2729" s="2">
        <v>2</v>
      </c>
      <c r="F2729" s="2" t="s">
        <v>5</v>
      </c>
      <c r="G2729" s="2">
        <v>657.20000000020195</v>
      </c>
      <c r="H2729" s="2" t="s">
        <v>8</v>
      </c>
      <c r="I2729" s="2">
        <v>367324.99999993702</v>
      </c>
      <c r="J2729" s="2">
        <v>1000</v>
      </c>
      <c r="K2729" s="2">
        <v>700</v>
      </c>
      <c r="L2729" s="2">
        <v>0</v>
      </c>
      <c r="M2729" s="2">
        <v>779804.77</v>
      </c>
      <c r="N2729">
        <f t="shared" si="56"/>
        <v>1147786.9699999373</v>
      </c>
      <c r="O2729" s="2" t="s">
        <v>4</v>
      </c>
    </row>
    <row r="2730" spans="1:15" x14ac:dyDescent="0.2">
      <c r="A2730">
        <v>77</v>
      </c>
      <c r="B2730">
        <v>6</v>
      </c>
      <c r="C2730">
        <v>8</v>
      </c>
      <c r="D2730" s="2">
        <v>3</v>
      </c>
      <c r="E2730" s="2">
        <v>2</v>
      </c>
      <c r="F2730" s="2" t="s">
        <v>5</v>
      </c>
      <c r="G2730" s="2">
        <v>517.59999999951799</v>
      </c>
      <c r="H2730" s="2" t="s">
        <v>8</v>
      </c>
      <c r="I2730" s="2">
        <v>424015.00000005402</v>
      </c>
      <c r="J2730" s="2">
        <v>1000</v>
      </c>
      <c r="K2730" s="2">
        <v>700</v>
      </c>
      <c r="L2730" s="2">
        <v>0</v>
      </c>
      <c r="M2730" s="2">
        <v>805085.97</v>
      </c>
      <c r="N2730">
        <f t="shared" si="56"/>
        <v>1229618.5700000534</v>
      </c>
      <c r="O2730" s="2" t="s">
        <v>4</v>
      </c>
    </row>
    <row r="2731" spans="1:15" x14ac:dyDescent="0.2">
      <c r="A2731">
        <v>78</v>
      </c>
      <c r="B2731">
        <v>6</v>
      </c>
      <c r="C2731">
        <v>8</v>
      </c>
      <c r="D2731" s="2">
        <v>3</v>
      </c>
      <c r="E2731" s="2">
        <v>2</v>
      </c>
      <c r="F2731" s="2" t="s">
        <v>5</v>
      </c>
      <c r="G2731" s="2">
        <v>411.19999999992302</v>
      </c>
      <c r="H2731" s="2" t="s">
        <v>8</v>
      </c>
      <c r="I2731" s="2">
        <v>421569.00000008999</v>
      </c>
      <c r="J2731" s="2">
        <v>1000</v>
      </c>
      <c r="K2731" s="2">
        <v>700</v>
      </c>
      <c r="L2731" s="2">
        <v>0</v>
      </c>
      <c r="M2731" s="2">
        <v>806225.97</v>
      </c>
      <c r="N2731">
        <f t="shared" si="56"/>
        <v>1228206.1700000898</v>
      </c>
      <c r="O2731" s="2" t="s">
        <v>4</v>
      </c>
    </row>
    <row r="2732" spans="1:15" x14ac:dyDescent="0.2">
      <c r="A2732">
        <v>79</v>
      </c>
      <c r="B2732">
        <v>6</v>
      </c>
      <c r="C2732">
        <v>8</v>
      </c>
      <c r="D2732" s="2">
        <v>3</v>
      </c>
      <c r="E2732" s="2">
        <v>2</v>
      </c>
      <c r="F2732" s="2" t="s">
        <v>5</v>
      </c>
      <c r="G2732" s="2">
        <v>394.20000000021099</v>
      </c>
      <c r="H2732" s="2" t="s">
        <v>8</v>
      </c>
      <c r="I2732" s="2">
        <v>507382.00000000698</v>
      </c>
      <c r="J2732" s="2">
        <v>1000</v>
      </c>
      <c r="K2732" s="2">
        <v>700</v>
      </c>
      <c r="L2732" s="2">
        <v>0</v>
      </c>
      <c r="M2732" s="2">
        <v>791345.97</v>
      </c>
      <c r="N2732">
        <f t="shared" si="56"/>
        <v>1299122.1700000071</v>
      </c>
      <c r="O2732" s="2" t="s">
        <v>4</v>
      </c>
    </row>
    <row r="2733" spans="1:15" x14ac:dyDescent="0.2">
      <c r="A2733">
        <v>80</v>
      </c>
      <c r="B2733">
        <v>6</v>
      </c>
      <c r="C2733">
        <v>7</v>
      </c>
      <c r="D2733" s="2">
        <v>3</v>
      </c>
      <c r="E2733" s="2">
        <v>2</v>
      </c>
      <c r="F2733" s="2" t="s">
        <v>5</v>
      </c>
      <c r="G2733" s="2">
        <v>306.60000000004601</v>
      </c>
      <c r="H2733" s="2" t="s">
        <v>8</v>
      </c>
      <c r="I2733" s="2">
        <v>217282.00000006799</v>
      </c>
      <c r="J2733" s="2">
        <v>1000</v>
      </c>
      <c r="K2733" s="2">
        <v>700</v>
      </c>
      <c r="L2733" s="2">
        <v>0</v>
      </c>
      <c r="M2733" s="2">
        <v>804484.77</v>
      </c>
      <c r="N2733">
        <f t="shared" si="56"/>
        <v>1022073.3700000681</v>
      </c>
      <c r="O2733" s="2" t="s">
        <v>4</v>
      </c>
    </row>
    <row r="2734" spans="1:15" x14ac:dyDescent="0.2">
      <c r="A2734">
        <v>81</v>
      </c>
      <c r="B2734">
        <v>6</v>
      </c>
      <c r="C2734">
        <v>8</v>
      </c>
      <c r="D2734" s="2">
        <v>3</v>
      </c>
      <c r="E2734" s="2">
        <v>2</v>
      </c>
      <c r="F2734" s="2" t="s">
        <v>5</v>
      </c>
      <c r="G2734" s="2">
        <v>372.600000000389</v>
      </c>
      <c r="H2734" s="2" t="s">
        <v>8</v>
      </c>
      <c r="I2734" s="2">
        <v>572054.99999986403</v>
      </c>
      <c r="J2734" s="2">
        <v>1000</v>
      </c>
      <c r="K2734" s="2">
        <v>700</v>
      </c>
      <c r="L2734" s="2">
        <v>0</v>
      </c>
      <c r="M2734" s="2">
        <v>790005.17</v>
      </c>
      <c r="N2734">
        <f t="shared" si="56"/>
        <v>1362432.7699998645</v>
      </c>
      <c r="O2734" s="2" t="s">
        <v>4</v>
      </c>
    </row>
    <row r="2735" spans="1:15" x14ac:dyDescent="0.2">
      <c r="A2735">
        <v>82</v>
      </c>
      <c r="B2735">
        <v>6</v>
      </c>
      <c r="C2735">
        <v>8</v>
      </c>
      <c r="D2735" s="2">
        <v>2</v>
      </c>
      <c r="E2735" s="2">
        <v>2</v>
      </c>
      <c r="F2735" s="2" t="s">
        <v>5</v>
      </c>
      <c r="G2735" s="2">
        <v>377.99999999990098</v>
      </c>
      <c r="H2735" s="2" t="s">
        <v>8</v>
      </c>
      <c r="I2735" s="2">
        <v>449708.99999998399</v>
      </c>
      <c r="J2735" s="2">
        <v>1000</v>
      </c>
      <c r="K2735" s="2">
        <v>700</v>
      </c>
      <c r="L2735" s="2">
        <v>0</v>
      </c>
      <c r="M2735" s="2">
        <v>804185.17</v>
      </c>
      <c r="N2735">
        <f t="shared" si="56"/>
        <v>1254272.1699999839</v>
      </c>
      <c r="O2735" s="2" t="s">
        <v>4</v>
      </c>
    </row>
    <row r="2736" spans="1:15" x14ac:dyDescent="0.2">
      <c r="A2736">
        <v>83</v>
      </c>
      <c r="B2736">
        <v>6</v>
      </c>
      <c r="C2736">
        <v>9</v>
      </c>
      <c r="D2736" s="2">
        <v>2</v>
      </c>
      <c r="E2736" s="2">
        <v>2</v>
      </c>
      <c r="F2736" s="2" t="s">
        <v>5</v>
      </c>
      <c r="G2736" s="2">
        <v>451.20000000018501</v>
      </c>
      <c r="H2736" s="2" t="s">
        <v>8</v>
      </c>
      <c r="I2736" s="2">
        <v>1278454.00000001</v>
      </c>
      <c r="J2736" s="2">
        <v>1000</v>
      </c>
      <c r="K2736" s="2">
        <v>700</v>
      </c>
      <c r="L2736" s="2">
        <v>0</v>
      </c>
      <c r="M2736" s="2">
        <v>809325.17</v>
      </c>
      <c r="N2736">
        <f t="shared" si="56"/>
        <v>2088230.3700000104</v>
      </c>
      <c r="O2736" s="2" t="s">
        <v>4</v>
      </c>
    </row>
    <row r="2737" spans="1:15" x14ac:dyDescent="0.2">
      <c r="A2737">
        <v>84</v>
      </c>
      <c r="B2737">
        <v>6</v>
      </c>
      <c r="C2737">
        <v>10</v>
      </c>
      <c r="D2737" s="2">
        <v>2</v>
      </c>
      <c r="E2737" s="2">
        <v>2</v>
      </c>
      <c r="F2737" s="2" t="s">
        <v>5</v>
      </c>
      <c r="G2737" s="2">
        <v>503.80000000060897</v>
      </c>
      <c r="H2737" s="2" t="s">
        <v>8</v>
      </c>
      <c r="I2737" s="2">
        <v>4835274.0000000298</v>
      </c>
      <c r="J2737" s="2">
        <v>1000</v>
      </c>
      <c r="K2737" s="2">
        <v>700</v>
      </c>
      <c r="L2737" s="2">
        <v>0</v>
      </c>
      <c r="M2737" s="2">
        <v>797745.17</v>
      </c>
      <c r="N2737">
        <f t="shared" si="56"/>
        <v>5633522.9700000305</v>
      </c>
      <c r="O2737" s="2" t="s">
        <v>4</v>
      </c>
    </row>
    <row r="2738" spans="1:15" x14ac:dyDescent="0.2">
      <c r="A2738">
        <v>85</v>
      </c>
      <c r="B2738">
        <v>6</v>
      </c>
      <c r="C2738">
        <v>8</v>
      </c>
      <c r="D2738" s="2">
        <v>2</v>
      </c>
      <c r="E2738" s="2">
        <v>2</v>
      </c>
      <c r="F2738" s="2" t="s">
        <v>5</v>
      </c>
      <c r="G2738" s="2">
        <v>348.000000000326</v>
      </c>
      <c r="H2738" s="2" t="s">
        <v>8</v>
      </c>
      <c r="I2738" s="2">
        <v>562017.99999985297</v>
      </c>
      <c r="J2738" s="2">
        <v>1000</v>
      </c>
      <c r="K2738" s="2">
        <v>700</v>
      </c>
      <c r="L2738" s="2">
        <v>0</v>
      </c>
      <c r="M2738" s="2">
        <v>784186.77</v>
      </c>
      <c r="N2738">
        <f t="shared" si="56"/>
        <v>1346552.7699998533</v>
      </c>
      <c r="O2738" s="2" t="s">
        <v>4</v>
      </c>
    </row>
    <row r="2739" spans="1:15" x14ac:dyDescent="0.2">
      <c r="A2739">
        <v>86</v>
      </c>
      <c r="B2739">
        <v>6</v>
      </c>
      <c r="C2739">
        <v>10</v>
      </c>
      <c r="D2739" s="2">
        <v>3</v>
      </c>
      <c r="E2739" s="2">
        <v>2</v>
      </c>
      <c r="F2739" s="2" t="s">
        <v>5</v>
      </c>
      <c r="G2739" s="2">
        <v>468.00000000004599</v>
      </c>
      <c r="H2739" s="2" t="s">
        <v>8</v>
      </c>
      <c r="I2739" s="2">
        <v>2626483.9999998901</v>
      </c>
      <c r="J2739" s="2">
        <v>1000</v>
      </c>
      <c r="K2739" s="2">
        <v>700</v>
      </c>
      <c r="L2739" s="2">
        <v>0</v>
      </c>
      <c r="M2739" s="2">
        <v>835847.57</v>
      </c>
      <c r="N2739">
        <f t="shared" si="56"/>
        <v>3462799.5699998899</v>
      </c>
      <c r="O2739" s="2" t="s">
        <v>4</v>
      </c>
    </row>
    <row r="2740" spans="1:15" x14ac:dyDescent="0.2">
      <c r="A2740">
        <v>87</v>
      </c>
      <c r="B2740">
        <v>6</v>
      </c>
      <c r="C2740">
        <v>10</v>
      </c>
      <c r="D2740" s="2">
        <v>2</v>
      </c>
      <c r="E2740" s="2">
        <v>2</v>
      </c>
      <c r="F2740" s="2" t="s">
        <v>5</v>
      </c>
      <c r="G2740" s="2">
        <v>451.39999999968001</v>
      </c>
      <c r="H2740" s="2" t="s">
        <v>8</v>
      </c>
      <c r="I2740" s="2">
        <v>2008806.0000000501</v>
      </c>
      <c r="J2740" s="2">
        <v>1000</v>
      </c>
      <c r="K2740" s="2">
        <v>700</v>
      </c>
      <c r="L2740" s="2">
        <v>0</v>
      </c>
      <c r="M2740" s="2">
        <v>842585.17</v>
      </c>
      <c r="N2740">
        <f t="shared" si="56"/>
        <v>2851842.5700000497</v>
      </c>
      <c r="O2740" s="2" t="s">
        <v>4</v>
      </c>
    </row>
    <row r="2741" spans="1:15" x14ac:dyDescent="0.2">
      <c r="A2741">
        <v>88</v>
      </c>
      <c r="B2741">
        <v>6</v>
      </c>
      <c r="C2741">
        <v>10</v>
      </c>
      <c r="D2741" s="2">
        <v>3</v>
      </c>
      <c r="E2741" s="2">
        <v>2</v>
      </c>
      <c r="F2741" s="2" t="s">
        <v>5</v>
      </c>
      <c r="G2741" s="2">
        <v>490.20000000048498</v>
      </c>
      <c r="H2741" s="2" t="s">
        <v>8</v>
      </c>
      <c r="I2741" s="2">
        <v>1234313.00000016</v>
      </c>
      <c r="J2741" s="2">
        <v>1000</v>
      </c>
      <c r="K2741" s="2">
        <v>700</v>
      </c>
      <c r="L2741" s="2">
        <v>0</v>
      </c>
      <c r="M2741" s="2">
        <v>841785.57</v>
      </c>
      <c r="N2741">
        <f t="shared" si="56"/>
        <v>2076588.7700001602</v>
      </c>
      <c r="O2741" s="2" t="s">
        <v>4</v>
      </c>
    </row>
    <row r="2742" spans="1:15" x14ac:dyDescent="0.2">
      <c r="A2742">
        <v>89</v>
      </c>
      <c r="B2742">
        <v>6</v>
      </c>
      <c r="C2742">
        <v>7</v>
      </c>
      <c r="D2742" s="2">
        <v>3</v>
      </c>
      <c r="E2742" s="2">
        <v>2</v>
      </c>
      <c r="F2742" s="2" t="s">
        <v>5</v>
      </c>
      <c r="G2742" s="2">
        <v>266.39999999993302</v>
      </c>
      <c r="H2742" s="2" t="s">
        <v>8</v>
      </c>
      <c r="I2742" s="2">
        <v>414899.999999989</v>
      </c>
      <c r="J2742" s="2">
        <v>1000</v>
      </c>
      <c r="K2742" s="2">
        <v>700</v>
      </c>
      <c r="L2742" s="2">
        <v>0</v>
      </c>
      <c r="M2742" s="2">
        <v>789105.17</v>
      </c>
      <c r="N2742">
        <f t="shared" si="56"/>
        <v>1204271.5699999889</v>
      </c>
      <c r="O2742" s="2" t="s">
        <v>4</v>
      </c>
    </row>
    <row r="2743" spans="1:15" x14ac:dyDescent="0.2">
      <c r="A2743">
        <v>90</v>
      </c>
      <c r="B2743">
        <v>6</v>
      </c>
      <c r="C2743">
        <v>8</v>
      </c>
      <c r="D2743" s="2">
        <v>2</v>
      </c>
      <c r="E2743" s="2">
        <v>2</v>
      </c>
      <c r="F2743" s="2" t="s">
        <v>5</v>
      </c>
      <c r="G2743" s="2">
        <v>335.79999999986399</v>
      </c>
      <c r="H2743" s="2" t="s">
        <v>8</v>
      </c>
      <c r="I2743" s="2">
        <v>636770.00000006997</v>
      </c>
      <c r="J2743" s="2">
        <v>1000</v>
      </c>
      <c r="K2743" s="2">
        <v>700</v>
      </c>
      <c r="L2743" s="2">
        <v>0</v>
      </c>
      <c r="M2743" s="2">
        <v>803585.97</v>
      </c>
      <c r="N2743">
        <f t="shared" si="56"/>
        <v>1440691.7700000699</v>
      </c>
      <c r="O2743" s="2" t="s">
        <v>4</v>
      </c>
    </row>
    <row r="2744" spans="1:15" x14ac:dyDescent="0.2">
      <c r="A2744">
        <v>91</v>
      </c>
      <c r="B2744">
        <v>6</v>
      </c>
      <c r="C2744">
        <v>8</v>
      </c>
      <c r="D2744" s="2">
        <v>3</v>
      </c>
      <c r="E2744" s="2">
        <v>2</v>
      </c>
      <c r="F2744" s="2" t="s">
        <v>5</v>
      </c>
      <c r="G2744" s="2">
        <v>335.59999999930301</v>
      </c>
      <c r="H2744" s="2" t="s">
        <v>8</v>
      </c>
      <c r="I2744" s="2">
        <v>411151.00000001799</v>
      </c>
      <c r="J2744" s="2">
        <v>1000</v>
      </c>
      <c r="K2744" s="2">
        <v>700</v>
      </c>
      <c r="L2744" s="2">
        <v>0</v>
      </c>
      <c r="M2744" s="2">
        <v>806566.37</v>
      </c>
      <c r="N2744">
        <f t="shared" si="56"/>
        <v>1218052.9700000172</v>
      </c>
      <c r="O2744" s="2" t="s">
        <v>4</v>
      </c>
    </row>
    <row r="2745" spans="1:15" x14ac:dyDescent="0.2">
      <c r="A2745">
        <v>92</v>
      </c>
      <c r="B2745">
        <v>6</v>
      </c>
      <c r="C2745">
        <v>8</v>
      </c>
      <c r="D2745" s="2">
        <v>3</v>
      </c>
      <c r="E2745" s="2">
        <v>2</v>
      </c>
      <c r="F2745" s="2" t="s">
        <v>5</v>
      </c>
      <c r="G2745" s="2">
        <v>306.40000000019501</v>
      </c>
      <c r="H2745" s="2" t="s">
        <v>8</v>
      </c>
      <c r="I2745" s="2">
        <v>326122.99999982503</v>
      </c>
      <c r="J2745" s="2">
        <v>1000</v>
      </c>
      <c r="K2745" s="2">
        <v>700</v>
      </c>
      <c r="L2745" s="2">
        <v>0</v>
      </c>
      <c r="M2745" s="2">
        <v>806565.97</v>
      </c>
      <c r="N2745">
        <f t="shared" si="56"/>
        <v>1132995.3699998253</v>
      </c>
      <c r="O2745" s="2" t="s">
        <v>4</v>
      </c>
    </row>
    <row r="2746" spans="1:15" x14ac:dyDescent="0.2">
      <c r="A2746">
        <v>93</v>
      </c>
      <c r="B2746">
        <v>6</v>
      </c>
      <c r="C2746">
        <v>11</v>
      </c>
      <c r="D2746" s="2">
        <v>3</v>
      </c>
      <c r="E2746" s="2">
        <v>2</v>
      </c>
      <c r="F2746" s="2" t="s">
        <v>5</v>
      </c>
      <c r="G2746" s="2">
        <v>515.79999999979998</v>
      </c>
      <c r="H2746" s="2" t="s">
        <v>8</v>
      </c>
      <c r="I2746" s="2">
        <v>2579271.9999999502</v>
      </c>
      <c r="J2746" s="2">
        <v>1000</v>
      </c>
      <c r="K2746" s="2">
        <v>700</v>
      </c>
      <c r="L2746" s="2">
        <v>0</v>
      </c>
      <c r="M2746" s="2">
        <v>832226.77</v>
      </c>
      <c r="N2746">
        <f t="shared" si="56"/>
        <v>3412014.56999995</v>
      </c>
      <c r="O2746" s="2" t="s">
        <v>4</v>
      </c>
    </row>
    <row r="2747" spans="1:15" x14ac:dyDescent="0.2">
      <c r="A2747">
        <v>94</v>
      </c>
      <c r="B2747">
        <v>6</v>
      </c>
      <c r="C2747">
        <v>10</v>
      </c>
      <c r="D2747" s="2">
        <v>2</v>
      </c>
      <c r="E2747" s="2">
        <v>2</v>
      </c>
      <c r="F2747" s="2" t="s">
        <v>5</v>
      </c>
      <c r="G2747" s="2">
        <v>446.600000000075</v>
      </c>
      <c r="H2747" s="2" t="s">
        <v>8</v>
      </c>
      <c r="I2747" s="2">
        <v>2002005.9999999399</v>
      </c>
      <c r="J2747" s="2">
        <v>1000</v>
      </c>
      <c r="K2747" s="2">
        <v>700</v>
      </c>
      <c r="L2747" s="2">
        <v>0</v>
      </c>
      <c r="M2747" s="2">
        <v>801906.77</v>
      </c>
      <c r="N2747">
        <f t="shared" si="56"/>
        <v>2804359.36999994</v>
      </c>
      <c r="O2747" s="2" t="s">
        <v>4</v>
      </c>
    </row>
    <row r="2748" spans="1:15" x14ac:dyDescent="0.2">
      <c r="A2748">
        <v>95</v>
      </c>
      <c r="B2748">
        <v>6</v>
      </c>
      <c r="C2748">
        <v>12</v>
      </c>
      <c r="D2748" s="2">
        <v>2</v>
      </c>
      <c r="E2748" s="2">
        <v>2</v>
      </c>
      <c r="F2748" s="2" t="s">
        <v>5</v>
      </c>
      <c r="G2748" s="2">
        <v>605.60000000045</v>
      </c>
      <c r="H2748" s="2" t="s">
        <v>8</v>
      </c>
      <c r="I2748" s="2">
        <v>5219995.0000001499</v>
      </c>
      <c r="J2748" s="2">
        <v>1000</v>
      </c>
      <c r="K2748" s="2">
        <v>700</v>
      </c>
      <c r="L2748" s="2">
        <v>0</v>
      </c>
      <c r="M2748" s="2">
        <v>816204.77</v>
      </c>
      <c r="N2748">
        <f t="shared" si="56"/>
        <v>6036805.3700001501</v>
      </c>
      <c r="O2748" s="2" t="s">
        <v>4</v>
      </c>
    </row>
    <row r="2749" spans="1:15" x14ac:dyDescent="0.2">
      <c r="A2749">
        <v>96</v>
      </c>
      <c r="B2749">
        <v>6</v>
      </c>
      <c r="C2749">
        <v>8</v>
      </c>
      <c r="D2749" s="2">
        <v>3</v>
      </c>
      <c r="E2749" s="2">
        <v>2</v>
      </c>
      <c r="F2749" s="2" t="s">
        <v>5</v>
      </c>
      <c r="G2749" s="2">
        <v>301.39999999967398</v>
      </c>
      <c r="H2749" s="2" t="s">
        <v>8</v>
      </c>
      <c r="I2749" s="2">
        <v>538624.00000002701</v>
      </c>
      <c r="J2749" s="2">
        <v>1000</v>
      </c>
      <c r="K2749" s="2">
        <v>700</v>
      </c>
      <c r="L2749" s="2">
        <v>0</v>
      </c>
      <c r="M2749" s="2">
        <v>805265.57</v>
      </c>
      <c r="N2749">
        <f t="shared" si="56"/>
        <v>1344190.9700000267</v>
      </c>
      <c r="O2749" s="2" t="s">
        <v>4</v>
      </c>
    </row>
    <row r="2750" spans="1:15" x14ac:dyDescent="0.2">
      <c r="A2750">
        <v>97</v>
      </c>
      <c r="B2750">
        <v>6</v>
      </c>
      <c r="C2750">
        <v>9</v>
      </c>
      <c r="D2750" s="2">
        <v>3</v>
      </c>
      <c r="E2750" s="2">
        <v>2</v>
      </c>
      <c r="F2750" s="2" t="s">
        <v>5</v>
      </c>
      <c r="G2750" s="2">
        <v>374.59999999995802</v>
      </c>
      <c r="H2750" s="2" t="s">
        <v>8</v>
      </c>
      <c r="I2750" s="2">
        <v>698046.99999985995</v>
      </c>
      <c r="J2750" s="2">
        <v>1000</v>
      </c>
      <c r="K2750" s="2">
        <v>700</v>
      </c>
      <c r="L2750" s="2">
        <v>0</v>
      </c>
      <c r="M2750" s="2">
        <v>808205.97</v>
      </c>
      <c r="N2750">
        <f t="shared" si="56"/>
        <v>1506627.5699998599</v>
      </c>
      <c r="O2750" s="2" t="s">
        <v>4</v>
      </c>
    </row>
    <row r="2751" spans="1:15" x14ac:dyDescent="0.2">
      <c r="A2751">
        <v>98</v>
      </c>
      <c r="B2751">
        <v>6</v>
      </c>
      <c r="C2751">
        <v>10</v>
      </c>
      <c r="D2751" s="2">
        <v>3</v>
      </c>
      <c r="E2751" s="2">
        <v>2</v>
      </c>
      <c r="F2751" s="2" t="s">
        <v>5</v>
      </c>
      <c r="G2751" s="2">
        <v>496.19999999990199</v>
      </c>
      <c r="H2751" s="2" t="s">
        <v>8</v>
      </c>
      <c r="I2751" s="2">
        <v>1091490.00000002</v>
      </c>
      <c r="J2751" s="2">
        <v>1000</v>
      </c>
      <c r="K2751" s="2">
        <v>700</v>
      </c>
      <c r="L2751" s="2">
        <v>0</v>
      </c>
      <c r="M2751" s="2">
        <v>812106.77</v>
      </c>
      <c r="N2751">
        <f t="shared" si="56"/>
        <v>1904092.97000002</v>
      </c>
      <c r="O2751" s="2" t="s">
        <v>4</v>
      </c>
    </row>
    <row r="2752" spans="1:15" x14ac:dyDescent="0.2">
      <c r="A2752">
        <v>99</v>
      </c>
      <c r="B2752">
        <v>6</v>
      </c>
      <c r="C2752">
        <v>11</v>
      </c>
      <c r="D2752" s="2">
        <v>2</v>
      </c>
      <c r="E2752" s="2">
        <v>2</v>
      </c>
      <c r="F2752" s="2" t="s">
        <v>5</v>
      </c>
      <c r="G2752" s="2">
        <v>500.59999999980698</v>
      </c>
      <c r="H2752" s="2" t="s">
        <v>8</v>
      </c>
      <c r="I2752" s="2">
        <v>2540038.0000001001</v>
      </c>
      <c r="J2752" s="2">
        <v>1000</v>
      </c>
      <c r="K2752" s="2">
        <v>700</v>
      </c>
      <c r="L2752" s="2">
        <v>0</v>
      </c>
      <c r="M2752" s="2">
        <v>838167.17</v>
      </c>
      <c r="N2752">
        <f t="shared" si="56"/>
        <v>3378705.7700000997</v>
      </c>
      <c r="O2752" s="2" t="s">
        <v>4</v>
      </c>
    </row>
    <row r="2753" spans="1:15" x14ac:dyDescent="0.2">
      <c r="A2753">
        <v>70</v>
      </c>
      <c r="B2753">
        <v>6</v>
      </c>
      <c r="C2753">
        <v>6</v>
      </c>
      <c r="D2753" s="2">
        <v>3</v>
      </c>
      <c r="E2753" s="2">
        <v>2</v>
      </c>
      <c r="F2753" s="2" t="s">
        <v>5</v>
      </c>
      <c r="G2753" s="2">
        <v>916.60000000004504</v>
      </c>
      <c r="H2753" s="2" t="s">
        <v>8</v>
      </c>
      <c r="I2753" s="2">
        <v>169758.00000000201</v>
      </c>
      <c r="J2753" s="2">
        <v>2000</v>
      </c>
      <c r="K2753" s="2">
        <v>200</v>
      </c>
      <c r="L2753" s="2">
        <v>0</v>
      </c>
      <c r="M2753" s="2">
        <v>637246.77</v>
      </c>
      <c r="N2753">
        <f t="shared" si="56"/>
        <v>807921.37000000209</v>
      </c>
      <c r="O2753" s="2" t="s">
        <v>5</v>
      </c>
    </row>
    <row r="2754" spans="1:15" x14ac:dyDescent="0.2">
      <c r="A2754">
        <v>71</v>
      </c>
      <c r="B2754">
        <v>6</v>
      </c>
      <c r="C2754">
        <v>7</v>
      </c>
      <c r="D2754" s="2">
        <v>2</v>
      </c>
      <c r="E2754" s="2">
        <v>2</v>
      </c>
      <c r="F2754" s="2" t="s">
        <v>5</v>
      </c>
      <c r="G2754" s="2">
        <v>840.79999999993095</v>
      </c>
      <c r="H2754" s="2" t="s">
        <v>8</v>
      </c>
      <c r="I2754" s="2">
        <v>333503.99999994802</v>
      </c>
      <c r="J2754" s="2">
        <v>2000</v>
      </c>
      <c r="K2754" s="2">
        <v>200</v>
      </c>
      <c r="L2754" s="2">
        <v>0</v>
      </c>
      <c r="M2754" s="2">
        <v>565286.37</v>
      </c>
      <c r="N2754">
        <f t="shared" si="56"/>
        <v>899631.169999948</v>
      </c>
      <c r="O2754" s="2" t="s">
        <v>4</v>
      </c>
    </row>
    <row r="2755" spans="1:15" x14ac:dyDescent="0.2">
      <c r="A2755">
        <v>72</v>
      </c>
      <c r="B2755">
        <v>6</v>
      </c>
      <c r="C2755">
        <v>7</v>
      </c>
      <c r="D2755" s="2">
        <v>2</v>
      </c>
      <c r="E2755" s="2">
        <v>2</v>
      </c>
      <c r="F2755" s="2" t="s">
        <v>5</v>
      </c>
      <c r="G2755" s="2">
        <v>686.80000000043196</v>
      </c>
      <c r="H2755" s="2" t="s">
        <v>8</v>
      </c>
      <c r="I2755" s="2">
        <v>475044.99999990902</v>
      </c>
      <c r="J2755" s="2">
        <v>2000</v>
      </c>
      <c r="K2755" s="2">
        <v>200</v>
      </c>
      <c r="L2755" s="2">
        <v>0</v>
      </c>
      <c r="M2755" s="2">
        <v>592164.77</v>
      </c>
      <c r="N2755">
        <f t="shared" si="56"/>
        <v>1067896.5699999095</v>
      </c>
      <c r="O2755" s="2" t="s">
        <v>4</v>
      </c>
    </row>
    <row r="2756" spans="1:15" x14ac:dyDescent="0.2">
      <c r="A2756">
        <v>73</v>
      </c>
      <c r="B2756">
        <v>6</v>
      </c>
      <c r="C2756">
        <v>7</v>
      </c>
      <c r="D2756" s="2">
        <v>3</v>
      </c>
      <c r="E2756" s="2">
        <v>2</v>
      </c>
      <c r="F2756" s="2" t="s">
        <v>5</v>
      </c>
      <c r="G2756" s="2">
        <v>696.99999999990303</v>
      </c>
      <c r="H2756" s="2" t="s">
        <v>8</v>
      </c>
      <c r="I2756" s="2">
        <v>533288.00000008405</v>
      </c>
      <c r="J2756" s="2">
        <v>2000</v>
      </c>
      <c r="K2756" s="2">
        <v>200</v>
      </c>
      <c r="L2756" s="2">
        <v>0</v>
      </c>
      <c r="M2756" s="2">
        <v>586605.97</v>
      </c>
      <c r="N2756">
        <f t="shared" si="56"/>
        <v>1120590.970000084</v>
      </c>
      <c r="O2756" s="2" t="s">
        <v>4</v>
      </c>
    </row>
    <row r="2757" spans="1:15" x14ac:dyDescent="0.2">
      <c r="A2757">
        <v>74</v>
      </c>
      <c r="B2757">
        <v>6</v>
      </c>
      <c r="C2757">
        <v>9</v>
      </c>
      <c r="D2757" s="2">
        <v>3</v>
      </c>
      <c r="E2757" s="2">
        <v>2</v>
      </c>
      <c r="F2757" s="2" t="s">
        <v>5</v>
      </c>
      <c r="G2757" s="2">
        <v>767.00000000009504</v>
      </c>
      <c r="H2757" s="2" t="s">
        <v>8</v>
      </c>
      <c r="I2757" s="2">
        <v>792881.99999996298</v>
      </c>
      <c r="J2757" s="2">
        <v>2000</v>
      </c>
      <c r="K2757" s="2">
        <v>200</v>
      </c>
      <c r="L2757" s="2">
        <v>0</v>
      </c>
      <c r="M2757" s="2">
        <v>551564.77</v>
      </c>
      <c r="N2757">
        <f t="shared" si="56"/>
        <v>1345213.7699999632</v>
      </c>
      <c r="O2757" s="2" t="s">
        <v>4</v>
      </c>
    </row>
    <row r="2758" spans="1:15" x14ac:dyDescent="0.2">
      <c r="A2758">
        <v>75</v>
      </c>
      <c r="B2758">
        <v>6</v>
      </c>
      <c r="C2758">
        <v>7</v>
      </c>
      <c r="D2758" s="2">
        <v>3</v>
      </c>
      <c r="E2758" s="2">
        <v>2</v>
      </c>
      <c r="F2758" s="2" t="s">
        <v>5</v>
      </c>
      <c r="G2758" s="2">
        <v>442.80000000007601</v>
      </c>
      <c r="H2758" s="2" t="s">
        <v>8</v>
      </c>
      <c r="I2758" s="2">
        <v>267370.99999991199</v>
      </c>
      <c r="J2758" s="2">
        <v>2000</v>
      </c>
      <c r="K2758" s="2">
        <v>200</v>
      </c>
      <c r="L2758" s="2">
        <v>0</v>
      </c>
      <c r="M2758" s="2">
        <v>568245.17000000004</v>
      </c>
      <c r="N2758">
        <f t="shared" si="56"/>
        <v>836058.96999991219</v>
      </c>
      <c r="O2758" s="2" t="s">
        <v>4</v>
      </c>
    </row>
    <row r="2759" spans="1:15" x14ac:dyDescent="0.2">
      <c r="A2759">
        <v>76</v>
      </c>
      <c r="B2759">
        <v>6</v>
      </c>
      <c r="C2759">
        <v>8</v>
      </c>
      <c r="D2759" s="2">
        <v>3</v>
      </c>
      <c r="E2759" s="2">
        <v>2</v>
      </c>
      <c r="F2759" s="2" t="s">
        <v>5</v>
      </c>
      <c r="G2759" s="2">
        <v>657.20000000020195</v>
      </c>
      <c r="H2759" s="2" t="s">
        <v>8</v>
      </c>
      <c r="I2759" s="2">
        <v>367324.99999993702</v>
      </c>
      <c r="J2759" s="2">
        <v>2000</v>
      </c>
      <c r="K2759" s="2">
        <v>200</v>
      </c>
      <c r="L2759" s="2">
        <v>0</v>
      </c>
      <c r="M2759" s="2">
        <v>543684.77</v>
      </c>
      <c r="N2759">
        <f t="shared" si="56"/>
        <v>911666.96999993722</v>
      </c>
      <c r="O2759" s="2" t="s">
        <v>4</v>
      </c>
    </row>
    <row r="2760" spans="1:15" x14ac:dyDescent="0.2">
      <c r="A2760">
        <v>77</v>
      </c>
      <c r="B2760">
        <v>6</v>
      </c>
      <c r="C2760">
        <v>8</v>
      </c>
      <c r="D2760" s="2">
        <v>3</v>
      </c>
      <c r="E2760" s="2">
        <v>2</v>
      </c>
      <c r="F2760" s="2" t="s">
        <v>5</v>
      </c>
      <c r="G2760" s="2">
        <v>517.59999999951799</v>
      </c>
      <c r="H2760" s="2" t="s">
        <v>8</v>
      </c>
      <c r="I2760" s="2">
        <v>424015.00000005402</v>
      </c>
      <c r="J2760" s="2">
        <v>2000</v>
      </c>
      <c r="K2760" s="2">
        <v>200</v>
      </c>
      <c r="L2760" s="2">
        <v>0</v>
      </c>
      <c r="M2760" s="2">
        <v>594245.97</v>
      </c>
      <c r="N2760">
        <f t="shared" si="56"/>
        <v>1018778.5700000535</v>
      </c>
      <c r="O2760" s="2" t="s">
        <v>4</v>
      </c>
    </row>
    <row r="2761" spans="1:15" x14ac:dyDescent="0.2">
      <c r="A2761">
        <v>78</v>
      </c>
      <c r="B2761">
        <v>6</v>
      </c>
      <c r="C2761">
        <v>8</v>
      </c>
      <c r="D2761" s="2">
        <v>3</v>
      </c>
      <c r="E2761" s="2">
        <v>2</v>
      </c>
      <c r="F2761" s="2" t="s">
        <v>5</v>
      </c>
      <c r="G2761" s="2">
        <v>411.19999999992302</v>
      </c>
      <c r="H2761" s="2" t="s">
        <v>8</v>
      </c>
      <c r="I2761" s="2">
        <v>421569.00000008999</v>
      </c>
      <c r="J2761" s="2">
        <v>2000</v>
      </c>
      <c r="K2761" s="2">
        <v>200</v>
      </c>
      <c r="L2761" s="2">
        <v>0</v>
      </c>
      <c r="M2761" s="2">
        <v>596525.97</v>
      </c>
      <c r="N2761">
        <f t="shared" si="56"/>
        <v>1018506.1700000898</v>
      </c>
      <c r="O2761" s="2" t="s">
        <v>4</v>
      </c>
    </row>
    <row r="2762" spans="1:15" x14ac:dyDescent="0.2">
      <c r="A2762">
        <v>79</v>
      </c>
      <c r="B2762">
        <v>6</v>
      </c>
      <c r="C2762">
        <v>8</v>
      </c>
      <c r="D2762" s="2">
        <v>3</v>
      </c>
      <c r="E2762" s="2">
        <v>2</v>
      </c>
      <c r="F2762" s="2" t="s">
        <v>5</v>
      </c>
      <c r="G2762" s="2">
        <v>394.20000000021099</v>
      </c>
      <c r="H2762" s="2" t="s">
        <v>8</v>
      </c>
      <c r="I2762" s="2">
        <v>507382.00000000698</v>
      </c>
      <c r="J2762" s="2">
        <v>2000</v>
      </c>
      <c r="K2762" s="2">
        <v>200</v>
      </c>
      <c r="L2762" s="2">
        <v>0</v>
      </c>
      <c r="M2762" s="2">
        <v>566765.97</v>
      </c>
      <c r="N2762">
        <f t="shared" si="56"/>
        <v>1074542.1700000071</v>
      </c>
      <c r="O2762" s="2" t="s">
        <v>4</v>
      </c>
    </row>
    <row r="2763" spans="1:15" x14ac:dyDescent="0.2">
      <c r="A2763">
        <v>80</v>
      </c>
      <c r="B2763">
        <v>6</v>
      </c>
      <c r="C2763">
        <v>7</v>
      </c>
      <c r="D2763" s="2">
        <v>3</v>
      </c>
      <c r="E2763" s="2">
        <v>2</v>
      </c>
      <c r="F2763" s="2" t="s">
        <v>5</v>
      </c>
      <c r="G2763" s="2">
        <v>306.60000000004601</v>
      </c>
      <c r="H2763" s="2" t="s">
        <v>8</v>
      </c>
      <c r="I2763" s="2">
        <v>217282.00000006799</v>
      </c>
      <c r="J2763" s="2">
        <v>2000</v>
      </c>
      <c r="K2763" s="2">
        <v>200</v>
      </c>
      <c r="L2763" s="2">
        <v>0</v>
      </c>
      <c r="M2763" s="2">
        <v>593044.77</v>
      </c>
      <c r="N2763">
        <f t="shared" si="56"/>
        <v>810633.3700000681</v>
      </c>
      <c r="O2763" s="2" t="s">
        <v>4</v>
      </c>
    </row>
    <row r="2764" spans="1:15" x14ac:dyDescent="0.2">
      <c r="A2764">
        <v>81</v>
      </c>
      <c r="B2764">
        <v>6</v>
      </c>
      <c r="C2764">
        <v>8</v>
      </c>
      <c r="D2764" s="2">
        <v>3</v>
      </c>
      <c r="E2764" s="2">
        <v>2</v>
      </c>
      <c r="F2764" s="2" t="s">
        <v>5</v>
      </c>
      <c r="G2764" s="2">
        <v>372.600000000389</v>
      </c>
      <c r="H2764" s="2" t="s">
        <v>8</v>
      </c>
      <c r="I2764" s="2">
        <v>572054.99999986403</v>
      </c>
      <c r="J2764" s="2">
        <v>2000</v>
      </c>
      <c r="K2764" s="2">
        <v>200</v>
      </c>
      <c r="L2764" s="2">
        <v>0</v>
      </c>
      <c r="M2764" s="2">
        <v>564085.17000000004</v>
      </c>
      <c r="N2764">
        <f t="shared" si="56"/>
        <v>1136512.7699998645</v>
      </c>
      <c r="O2764" s="2" t="s">
        <v>5</v>
      </c>
    </row>
    <row r="2765" spans="1:15" x14ac:dyDescent="0.2">
      <c r="A2765">
        <v>82</v>
      </c>
      <c r="B2765">
        <v>6</v>
      </c>
      <c r="C2765">
        <v>8</v>
      </c>
      <c r="D2765" s="2">
        <v>2</v>
      </c>
      <c r="E2765" s="2">
        <v>2</v>
      </c>
      <c r="F2765" s="2" t="s">
        <v>5</v>
      </c>
      <c r="G2765" s="2">
        <v>377.99999999990098</v>
      </c>
      <c r="H2765" s="2" t="s">
        <v>8</v>
      </c>
      <c r="I2765" s="2">
        <v>449708.99999998399</v>
      </c>
      <c r="J2765" s="2">
        <v>2000</v>
      </c>
      <c r="K2765" s="2">
        <v>200</v>
      </c>
      <c r="L2765" s="2">
        <v>0</v>
      </c>
      <c r="M2765" s="2">
        <v>592445.17000000004</v>
      </c>
      <c r="N2765">
        <f t="shared" si="56"/>
        <v>1042532.1699999839</v>
      </c>
      <c r="O2765" s="2" t="s">
        <v>4</v>
      </c>
    </row>
    <row r="2766" spans="1:15" x14ac:dyDescent="0.2">
      <c r="A2766">
        <v>83</v>
      </c>
      <c r="B2766">
        <v>6</v>
      </c>
      <c r="C2766">
        <v>9</v>
      </c>
      <c r="D2766" s="2">
        <v>2</v>
      </c>
      <c r="E2766" s="2">
        <v>2</v>
      </c>
      <c r="F2766" s="2" t="s">
        <v>5</v>
      </c>
      <c r="G2766" s="2">
        <v>451.20000000018501</v>
      </c>
      <c r="H2766" s="2" t="s">
        <v>8</v>
      </c>
      <c r="I2766" s="2">
        <v>1278454.00000001</v>
      </c>
      <c r="J2766" s="2">
        <v>2000</v>
      </c>
      <c r="K2766" s="2">
        <v>200</v>
      </c>
      <c r="L2766" s="2">
        <v>0</v>
      </c>
      <c r="M2766" s="2">
        <v>602725.17000000004</v>
      </c>
      <c r="N2766">
        <f t="shared" si="56"/>
        <v>1881630.3700000104</v>
      </c>
      <c r="O2766" s="2" t="s">
        <v>4</v>
      </c>
    </row>
    <row r="2767" spans="1:15" x14ac:dyDescent="0.2">
      <c r="A2767">
        <v>84</v>
      </c>
      <c r="B2767">
        <v>6</v>
      </c>
      <c r="C2767">
        <v>10</v>
      </c>
      <c r="D2767" s="2">
        <v>2</v>
      </c>
      <c r="E2767" s="2">
        <v>2</v>
      </c>
      <c r="F2767" s="2" t="s">
        <v>5</v>
      </c>
      <c r="G2767" s="2">
        <v>503.80000000060897</v>
      </c>
      <c r="H2767" s="2" t="s">
        <v>8</v>
      </c>
      <c r="I2767" s="2">
        <v>4835274.0000000298</v>
      </c>
      <c r="J2767" s="2">
        <v>2000</v>
      </c>
      <c r="K2767" s="2">
        <v>200</v>
      </c>
      <c r="L2767" s="2">
        <v>0</v>
      </c>
      <c r="M2767" s="2">
        <v>579565.17000000004</v>
      </c>
      <c r="N2767">
        <f t="shared" si="56"/>
        <v>5415342.9700000305</v>
      </c>
      <c r="O2767" s="2" t="s">
        <v>4</v>
      </c>
    </row>
    <row r="2768" spans="1:15" x14ac:dyDescent="0.2">
      <c r="A2768">
        <v>85</v>
      </c>
      <c r="B2768">
        <v>6</v>
      </c>
      <c r="C2768">
        <v>8</v>
      </c>
      <c r="D2768" s="2">
        <v>2</v>
      </c>
      <c r="E2768" s="2">
        <v>2</v>
      </c>
      <c r="F2768" s="2" t="s">
        <v>5</v>
      </c>
      <c r="G2768" s="2">
        <v>348.000000000326</v>
      </c>
      <c r="H2768" s="2" t="s">
        <v>8</v>
      </c>
      <c r="I2768" s="2">
        <v>562017.99999985297</v>
      </c>
      <c r="J2768" s="2">
        <v>2000</v>
      </c>
      <c r="K2768" s="2">
        <v>200</v>
      </c>
      <c r="L2768" s="2">
        <v>0</v>
      </c>
      <c r="M2768" s="2">
        <v>552446.77</v>
      </c>
      <c r="N2768">
        <f t="shared" si="56"/>
        <v>1114812.7699998533</v>
      </c>
      <c r="O2768" s="2" t="s">
        <v>4</v>
      </c>
    </row>
    <row r="2769" spans="1:15" x14ac:dyDescent="0.2">
      <c r="A2769">
        <v>86</v>
      </c>
      <c r="B2769">
        <v>6</v>
      </c>
      <c r="C2769">
        <v>10</v>
      </c>
      <c r="D2769" s="2">
        <v>3</v>
      </c>
      <c r="E2769" s="2">
        <v>2</v>
      </c>
      <c r="F2769" s="2" t="s">
        <v>5</v>
      </c>
      <c r="G2769" s="2">
        <v>468.00000000004599</v>
      </c>
      <c r="H2769" s="2" t="s">
        <v>8</v>
      </c>
      <c r="I2769" s="2">
        <v>2626483.9999998901</v>
      </c>
      <c r="J2769" s="2">
        <v>2000</v>
      </c>
      <c r="K2769" s="2">
        <v>200</v>
      </c>
      <c r="L2769" s="2">
        <v>0</v>
      </c>
      <c r="M2769" s="2">
        <v>655767.56999999995</v>
      </c>
      <c r="N2769">
        <f t="shared" si="56"/>
        <v>3282719.5699998899</v>
      </c>
      <c r="O2769" s="2" t="s">
        <v>4</v>
      </c>
    </row>
    <row r="2770" spans="1:15" x14ac:dyDescent="0.2">
      <c r="A2770">
        <v>87</v>
      </c>
      <c r="B2770">
        <v>6</v>
      </c>
      <c r="C2770">
        <v>10</v>
      </c>
      <c r="D2770" s="2">
        <v>2</v>
      </c>
      <c r="E2770" s="2">
        <v>2</v>
      </c>
      <c r="F2770" s="2" t="s">
        <v>5</v>
      </c>
      <c r="G2770" s="2">
        <v>451.39999999968001</v>
      </c>
      <c r="H2770" s="2" t="s">
        <v>8</v>
      </c>
      <c r="I2770" s="2">
        <v>2008806.0000000501</v>
      </c>
      <c r="J2770" s="2">
        <v>2000</v>
      </c>
      <c r="K2770" s="2">
        <v>200</v>
      </c>
      <c r="L2770" s="2">
        <v>0</v>
      </c>
      <c r="M2770" s="2">
        <v>669245.17000000004</v>
      </c>
      <c r="N2770">
        <f t="shared" si="56"/>
        <v>2678502.5700000497</v>
      </c>
      <c r="O2770" s="2" t="s">
        <v>4</v>
      </c>
    </row>
    <row r="2771" spans="1:15" x14ac:dyDescent="0.2">
      <c r="A2771">
        <v>88</v>
      </c>
      <c r="B2771">
        <v>6</v>
      </c>
      <c r="C2771">
        <v>10</v>
      </c>
      <c r="D2771" s="2">
        <v>3</v>
      </c>
      <c r="E2771" s="2">
        <v>2</v>
      </c>
      <c r="F2771" s="2" t="s">
        <v>5</v>
      </c>
      <c r="G2771" s="2">
        <v>490.20000000048498</v>
      </c>
      <c r="H2771" s="2" t="s">
        <v>8</v>
      </c>
      <c r="I2771" s="2">
        <v>1234313.00000016</v>
      </c>
      <c r="J2771" s="2">
        <v>2000</v>
      </c>
      <c r="K2771" s="2">
        <v>200</v>
      </c>
      <c r="L2771" s="2">
        <v>0</v>
      </c>
      <c r="M2771" s="2">
        <v>667645.56999999995</v>
      </c>
      <c r="N2771">
        <f t="shared" si="56"/>
        <v>1902448.7700001602</v>
      </c>
      <c r="O2771" s="2" t="s">
        <v>4</v>
      </c>
    </row>
    <row r="2772" spans="1:15" x14ac:dyDescent="0.2">
      <c r="A2772">
        <v>89</v>
      </c>
      <c r="B2772">
        <v>6</v>
      </c>
      <c r="C2772">
        <v>7</v>
      </c>
      <c r="D2772" s="2">
        <v>3</v>
      </c>
      <c r="E2772" s="2">
        <v>2</v>
      </c>
      <c r="F2772" s="2" t="s">
        <v>5</v>
      </c>
      <c r="G2772" s="2">
        <v>266.39999999993302</v>
      </c>
      <c r="H2772" s="2" t="s">
        <v>8</v>
      </c>
      <c r="I2772" s="2">
        <v>414899.999999989</v>
      </c>
      <c r="J2772" s="2">
        <v>2000</v>
      </c>
      <c r="K2772" s="2">
        <v>200</v>
      </c>
      <c r="L2772" s="2">
        <v>0</v>
      </c>
      <c r="M2772" s="2">
        <v>562285.17000000004</v>
      </c>
      <c r="N2772">
        <f t="shared" si="56"/>
        <v>977451.56999998889</v>
      </c>
      <c r="O2772" s="2" t="s">
        <v>4</v>
      </c>
    </row>
    <row r="2773" spans="1:15" x14ac:dyDescent="0.2">
      <c r="A2773">
        <v>90</v>
      </c>
      <c r="B2773">
        <v>6</v>
      </c>
      <c r="C2773">
        <v>8</v>
      </c>
      <c r="D2773" s="2">
        <v>2</v>
      </c>
      <c r="E2773" s="2">
        <v>2</v>
      </c>
      <c r="F2773" s="2" t="s">
        <v>5</v>
      </c>
      <c r="G2773" s="2">
        <v>335.79999999986399</v>
      </c>
      <c r="H2773" s="2" t="s">
        <v>8</v>
      </c>
      <c r="I2773" s="2">
        <v>636770.00000006997</v>
      </c>
      <c r="J2773" s="2">
        <v>2000</v>
      </c>
      <c r="K2773" s="2">
        <v>200</v>
      </c>
      <c r="L2773" s="2">
        <v>0</v>
      </c>
      <c r="M2773" s="2">
        <v>591245.97</v>
      </c>
      <c r="N2773">
        <f t="shared" si="56"/>
        <v>1228351.7700000699</v>
      </c>
      <c r="O2773" s="2" t="s">
        <v>4</v>
      </c>
    </row>
    <row r="2774" spans="1:15" x14ac:dyDescent="0.2">
      <c r="A2774">
        <v>91</v>
      </c>
      <c r="B2774">
        <v>6</v>
      </c>
      <c r="C2774">
        <v>8</v>
      </c>
      <c r="D2774" s="2">
        <v>3</v>
      </c>
      <c r="E2774" s="2">
        <v>2</v>
      </c>
      <c r="F2774" s="2" t="s">
        <v>5</v>
      </c>
      <c r="G2774" s="2">
        <v>335.59999999930301</v>
      </c>
      <c r="H2774" s="2" t="s">
        <v>8</v>
      </c>
      <c r="I2774" s="2">
        <v>411151.00000001799</v>
      </c>
      <c r="J2774" s="2">
        <v>2000</v>
      </c>
      <c r="K2774" s="2">
        <v>200</v>
      </c>
      <c r="L2774" s="2">
        <v>0</v>
      </c>
      <c r="M2774" s="2">
        <v>597206.37</v>
      </c>
      <c r="N2774">
        <f t="shared" si="56"/>
        <v>1008692.9700000172</v>
      </c>
      <c r="O2774" s="2" t="s">
        <v>4</v>
      </c>
    </row>
    <row r="2775" spans="1:15" x14ac:dyDescent="0.2">
      <c r="A2775">
        <v>92</v>
      </c>
      <c r="B2775">
        <v>6</v>
      </c>
      <c r="C2775">
        <v>8</v>
      </c>
      <c r="D2775" s="2">
        <v>3</v>
      </c>
      <c r="E2775" s="2">
        <v>2</v>
      </c>
      <c r="F2775" s="2" t="s">
        <v>5</v>
      </c>
      <c r="G2775" s="2">
        <v>306.40000000019501</v>
      </c>
      <c r="H2775" s="2" t="s">
        <v>8</v>
      </c>
      <c r="I2775" s="2">
        <v>326122.99999982503</v>
      </c>
      <c r="J2775" s="2">
        <v>2000</v>
      </c>
      <c r="K2775" s="2">
        <v>200</v>
      </c>
      <c r="L2775" s="2">
        <v>0</v>
      </c>
      <c r="M2775" s="2">
        <v>597205.97</v>
      </c>
      <c r="N2775">
        <f t="shared" si="56"/>
        <v>923635.36999982526</v>
      </c>
      <c r="O2775" s="2" t="s">
        <v>4</v>
      </c>
    </row>
    <row r="2776" spans="1:15" x14ac:dyDescent="0.2">
      <c r="A2776">
        <v>93</v>
      </c>
      <c r="B2776">
        <v>6</v>
      </c>
      <c r="C2776">
        <v>11</v>
      </c>
      <c r="D2776" s="2">
        <v>3</v>
      </c>
      <c r="E2776" s="2">
        <v>2</v>
      </c>
      <c r="F2776" s="2" t="s">
        <v>5</v>
      </c>
      <c r="G2776" s="2">
        <v>515.79999999979998</v>
      </c>
      <c r="H2776" s="2" t="s">
        <v>8</v>
      </c>
      <c r="I2776" s="2">
        <v>2579271.9999999502</v>
      </c>
      <c r="J2776" s="2">
        <v>2000</v>
      </c>
      <c r="K2776" s="2">
        <v>200</v>
      </c>
      <c r="L2776" s="2">
        <v>0</v>
      </c>
      <c r="M2776" s="2">
        <v>648526.77</v>
      </c>
      <c r="N2776">
        <f t="shared" si="56"/>
        <v>3228314.56999995</v>
      </c>
      <c r="O2776" s="2" t="s">
        <v>4</v>
      </c>
    </row>
    <row r="2777" spans="1:15" x14ac:dyDescent="0.2">
      <c r="A2777">
        <v>94</v>
      </c>
      <c r="B2777">
        <v>6</v>
      </c>
      <c r="C2777">
        <v>10</v>
      </c>
      <c r="D2777" s="2">
        <v>2</v>
      </c>
      <c r="E2777" s="2">
        <v>2</v>
      </c>
      <c r="F2777" s="2" t="s">
        <v>5</v>
      </c>
      <c r="G2777" s="2">
        <v>446.600000000075</v>
      </c>
      <c r="H2777" s="2" t="s">
        <v>8</v>
      </c>
      <c r="I2777" s="2">
        <v>2002005.9999999399</v>
      </c>
      <c r="J2777" s="2">
        <v>2000</v>
      </c>
      <c r="K2777" s="2">
        <v>200</v>
      </c>
      <c r="L2777" s="2">
        <v>0</v>
      </c>
      <c r="M2777" s="2">
        <v>587886.77</v>
      </c>
      <c r="N2777">
        <f t="shared" si="56"/>
        <v>2590339.36999994</v>
      </c>
      <c r="O2777" s="2" t="s">
        <v>4</v>
      </c>
    </row>
    <row r="2778" spans="1:15" x14ac:dyDescent="0.2">
      <c r="A2778">
        <v>95</v>
      </c>
      <c r="B2778">
        <v>6</v>
      </c>
      <c r="C2778">
        <v>12</v>
      </c>
      <c r="D2778" s="2">
        <v>2</v>
      </c>
      <c r="E2778" s="2">
        <v>2</v>
      </c>
      <c r="F2778" s="2" t="s">
        <v>5</v>
      </c>
      <c r="G2778" s="2">
        <v>605.60000000045</v>
      </c>
      <c r="H2778" s="2" t="s">
        <v>8</v>
      </c>
      <c r="I2778" s="2">
        <v>5219995.0000001499</v>
      </c>
      <c r="J2778" s="2">
        <v>2000</v>
      </c>
      <c r="K2778" s="2">
        <v>200</v>
      </c>
      <c r="L2778" s="2">
        <v>0</v>
      </c>
      <c r="M2778" s="2">
        <v>616484.77</v>
      </c>
      <c r="N2778">
        <f t="shared" si="56"/>
        <v>5837085.3700001501</v>
      </c>
      <c r="O2778" s="2" t="s">
        <v>4</v>
      </c>
    </row>
    <row r="2779" spans="1:15" x14ac:dyDescent="0.2">
      <c r="A2779">
        <v>96</v>
      </c>
      <c r="B2779">
        <v>6</v>
      </c>
      <c r="C2779">
        <v>8</v>
      </c>
      <c r="D2779" s="2">
        <v>3</v>
      </c>
      <c r="E2779" s="2">
        <v>2</v>
      </c>
      <c r="F2779" s="2" t="s">
        <v>5</v>
      </c>
      <c r="G2779" s="2">
        <v>301.39999999967398</v>
      </c>
      <c r="H2779" s="2" t="s">
        <v>8</v>
      </c>
      <c r="I2779" s="2">
        <v>538624.00000002701</v>
      </c>
      <c r="J2779" s="2">
        <v>2000</v>
      </c>
      <c r="K2779" s="2">
        <v>200</v>
      </c>
      <c r="L2779" s="2">
        <v>0</v>
      </c>
      <c r="M2779" s="2">
        <v>594605.56999999995</v>
      </c>
      <c r="N2779">
        <f t="shared" si="56"/>
        <v>1133530.9700000267</v>
      </c>
      <c r="O2779" s="2" t="s">
        <v>4</v>
      </c>
    </row>
    <row r="2780" spans="1:15" x14ac:dyDescent="0.2">
      <c r="A2780">
        <v>97</v>
      </c>
      <c r="B2780">
        <v>6</v>
      </c>
      <c r="C2780">
        <v>9</v>
      </c>
      <c r="D2780" s="2">
        <v>3</v>
      </c>
      <c r="E2780" s="2">
        <v>2</v>
      </c>
      <c r="F2780" s="2" t="s">
        <v>5</v>
      </c>
      <c r="G2780" s="2">
        <v>374.59999999995802</v>
      </c>
      <c r="H2780" s="2" t="s">
        <v>8</v>
      </c>
      <c r="I2780" s="2">
        <v>698046.99999985995</v>
      </c>
      <c r="J2780" s="2">
        <v>2000</v>
      </c>
      <c r="K2780" s="2">
        <v>200</v>
      </c>
      <c r="L2780" s="2">
        <v>0</v>
      </c>
      <c r="M2780" s="2">
        <v>600485.97</v>
      </c>
      <c r="N2780">
        <f t="shared" si="56"/>
        <v>1298907.5699998599</v>
      </c>
      <c r="O2780" s="2" t="s">
        <v>4</v>
      </c>
    </row>
    <row r="2781" spans="1:15" x14ac:dyDescent="0.2">
      <c r="A2781">
        <v>98</v>
      </c>
      <c r="B2781">
        <v>6</v>
      </c>
      <c r="C2781">
        <v>10</v>
      </c>
      <c r="D2781" s="2">
        <v>3</v>
      </c>
      <c r="E2781" s="2">
        <v>2</v>
      </c>
      <c r="F2781" s="2" t="s">
        <v>5</v>
      </c>
      <c r="G2781" s="2">
        <v>496.19999999990199</v>
      </c>
      <c r="H2781" s="2" t="s">
        <v>8</v>
      </c>
      <c r="I2781" s="2">
        <v>1091490.00000002</v>
      </c>
      <c r="J2781" s="2">
        <v>2000</v>
      </c>
      <c r="K2781" s="2">
        <v>200</v>
      </c>
      <c r="L2781" s="2">
        <v>0</v>
      </c>
      <c r="M2781" s="2">
        <v>608286.77</v>
      </c>
      <c r="N2781">
        <f t="shared" si="56"/>
        <v>1700272.97000002</v>
      </c>
      <c r="O2781" s="2" t="s">
        <v>4</v>
      </c>
    </row>
    <row r="2782" spans="1:15" x14ac:dyDescent="0.2">
      <c r="A2782">
        <v>99</v>
      </c>
      <c r="B2782">
        <v>6</v>
      </c>
      <c r="C2782">
        <v>11</v>
      </c>
      <c r="D2782" s="2">
        <v>2</v>
      </c>
      <c r="E2782" s="2">
        <v>2</v>
      </c>
      <c r="F2782" s="2" t="s">
        <v>5</v>
      </c>
      <c r="G2782" s="2">
        <v>500.59999999980698</v>
      </c>
      <c r="H2782" s="2" t="s">
        <v>8</v>
      </c>
      <c r="I2782" s="2">
        <v>2540038.0000001001</v>
      </c>
      <c r="J2782" s="2">
        <v>2000</v>
      </c>
      <c r="K2782" s="2">
        <v>200</v>
      </c>
      <c r="L2782" s="2">
        <v>0</v>
      </c>
      <c r="M2782" s="2">
        <v>660407.17000000004</v>
      </c>
      <c r="N2782">
        <f t="shared" si="56"/>
        <v>3200945.7700000997</v>
      </c>
      <c r="O2782" s="2" t="s">
        <v>4</v>
      </c>
    </row>
    <row r="2783" spans="1:15" x14ac:dyDescent="0.2">
      <c r="A2783">
        <v>70</v>
      </c>
      <c r="B2783">
        <v>6</v>
      </c>
      <c r="C2783">
        <v>6</v>
      </c>
      <c r="D2783" s="2">
        <v>3</v>
      </c>
      <c r="E2783" s="2">
        <v>2</v>
      </c>
      <c r="F2783" s="2" t="s">
        <v>5</v>
      </c>
      <c r="G2783" s="2">
        <v>916.60000000004504</v>
      </c>
      <c r="H2783" s="2" t="s">
        <v>8</v>
      </c>
      <c r="I2783" s="2">
        <v>169758.00000000201</v>
      </c>
      <c r="J2783" s="2">
        <v>2000</v>
      </c>
      <c r="K2783" s="2">
        <v>300</v>
      </c>
      <c r="L2783" s="2">
        <v>0</v>
      </c>
      <c r="M2783" s="2">
        <v>837248.37</v>
      </c>
      <c r="N2783">
        <f t="shared" si="53"/>
        <v>1007922.9700000021</v>
      </c>
      <c r="O2783" s="9" t="s">
        <v>4</v>
      </c>
    </row>
    <row r="2784" spans="1:15" x14ac:dyDescent="0.2">
      <c r="A2784">
        <v>71</v>
      </c>
      <c r="B2784">
        <v>6</v>
      </c>
      <c r="C2784">
        <v>7</v>
      </c>
      <c r="D2784" s="2">
        <v>2</v>
      </c>
      <c r="E2784" s="2">
        <v>2</v>
      </c>
      <c r="F2784" s="2" t="s">
        <v>5</v>
      </c>
      <c r="G2784" s="2">
        <v>840.79999999993095</v>
      </c>
      <c r="H2784" s="2" t="s">
        <v>8</v>
      </c>
      <c r="I2784" s="2">
        <v>333503.99999994802</v>
      </c>
      <c r="J2784" s="2">
        <v>2000</v>
      </c>
      <c r="K2784" s="2">
        <v>300</v>
      </c>
      <c r="L2784" s="2">
        <v>0</v>
      </c>
      <c r="M2784" s="2">
        <v>765287.97</v>
      </c>
      <c r="N2784">
        <f t="shared" si="53"/>
        <v>1099632.7699999479</v>
      </c>
      <c r="O2784" s="9" t="s">
        <v>4</v>
      </c>
    </row>
    <row r="2785" spans="1:15" x14ac:dyDescent="0.2">
      <c r="A2785">
        <v>72</v>
      </c>
      <c r="B2785">
        <v>6</v>
      </c>
      <c r="C2785">
        <v>7</v>
      </c>
      <c r="D2785" s="2">
        <v>2</v>
      </c>
      <c r="E2785" s="2">
        <v>2</v>
      </c>
      <c r="F2785" s="2" t="s">
        <v>5</v>
      </c>
      <c r="G2785" s="2">
        <v>686.80000000043196</v>
      </c>
      <c r="H2785" s="2" t="s">
        <v>8</v>
      </c>
      <c r="I2785" s="2">
        <v>475044.99999990902</v>
      </c>
      <c r="J2785" s="2">
        <v>2000</v>
      </c>
      <c r="K2785" s="2">
        <v>300</v>
      </c>
      <c r="L2785" s="2">
        <v>0</v>
      </c>
      <c r="M2785" s="2">
        <v>792166.37</v>
      </c>
      <c r="N2785">
        <f t="shared" si="53"/>
        <v>1267898.1699999096</v>
      </c>
      <c r="O2785" s="9" t="s">
        <v>4</v>
      </c>
    </row>
    <row r="2786" spans="1:15" x14ac:dyDescent="0.2">
      <c r="A2786">
        <v>73</v>
      </c>
      <c r="B2786">
        <v>6</v>
      </c>
      <c r="C2786">
        <v>7</v>
      </c>
      <c r="D2786" s="2">
        <v>3</v>
      </c>
      <c r="E2786" s="2">
        <v>2</v>
      </c>
      <c r="F2786" s="2" t="s">
        <v>5</v>
      </c>
      <c r="G2786" s="2">
        <v>696.99999999990303</v>
      </c>
      <c r="H2786" s="2" t="s">
        <v>8</v>
      </c>
      <c r="I2786" s="2">
        <v>533288.00000008405</v>
      </c>
      <c r="J2786" s="2">
        <v>2000</v>
      </c>
      <c r="K2786" s="2">
        <v>300</v>
      </c>
      <c r="L2786" s="2">
        <v>0</v>
      </c>
      <c r="M2786" s="2">
        <v>786607.57</v>
      </c>
      <c r="N2786">
        <f t="shared" si="53"/>
        <v>1320592.5700000839</v>
      </c>
      <c r="O2786" s="9" t="s">
        <v>4</v>
      </c>
    </row>
    <row r="2787" spans="1:15" x14ac:dyDescent="0.2">
      <c r="A2787">
        <v>74</v>
      </c>
      <c r="B2787">
        <v>6</v>
      </c>
      <c r="C2787">
        <v>9</v>
      </c>
      <c r="D2787" s="2">
        <v>3</v>
      </c>
      <c r="E2787" s="2">
        <v>2</v>
      </c>
      <c r="F2787" s="2" t="s">
        <v>5</v>
      </c>
      <c r="G2787" s="2">
        <v>767.00000000009504</v>
      </c>
      <c r="H2787" s="2" t="s">
        <v>8</v>
      </c>
      <c r="I2787" s="2">
        <v>792881.99999996298</v>
      </c>
      <c r="J2787" s="2">
        <v>2000</v>
      </c>
      <c r="K2787" s="2">
        <v>300</v>
      </c>
      <c r="L2787" s="2">
        <v>0</v>
      </c>
      <c r="M2787" s="2">
        <v>751565.57</v>
      </c>
      <c r="N2787">
        <f t="shared" si="53"/>
        <v>1545214.569999963</v>
      </c>
      <c r="O2787" s="9" t="s">
        <v>4</v>
      </c>
    </row>
    <row r="2788" spans="1:15" x14ac:dyDescent="0.2">
      <c r="A2788">
        <v>75</v>
      </c>
      <c r="B2788">
        <v>6</v>
      </c>
      <c r="C2788">
        <v>7</v>
      </c>
      <c r="D2788" s="2">
        <v>3</v>
      </c>
      <c r="E2788" s="2">
        <v>2</v>
      </c>
      <c r="F2788" s="2" t="s">
        <v>5</v>
      </c>
      <c r="G2788" s="2">
        <v>442.80000000007601</v>
      </c>
      <c r="H2788" s="2" t="s">
        <v>8</v>
      </c>
      <c r="I2788" s="2">
        <v>267370.99999991199</v>
      </c>
      <c r="J2788" s="2">
        <v>2000</v>
      </c>
      <c r="K2788" s="2">
        <v>300</v>
      </c>
      <c r="L2788" s="2">
        <v>0</v>
      </c>
      <c r="M2788" s="2">
        <v>768247.17</v>
      </c>
      <c r="N2788">
        <f t="shared" si="53"/>
        <v>1036060.9699999122</v>
      </c>
      <c r="O2788" s="9" t="s">
        <v>5</v>
      </c>
    </row>
    <row r="2789" spans="1:15" x14ac:dyDescent="0.2">
      <c r="A2789">
        <v>76</v>
      </c>
      <c r="B2789">
        <v>6</v>
      </c>
      <c r="C2789">
        <v>8</v>
      </c>
      <c r="D2789" s="2">
        <v>3</v>
      </c>
      <c r="E2789" s="2">
        <v>2</v>
      </c>
      <c r="F2789" s="2" t="s">
        <v>5</v>
      </c>
      <c r="G2789" s="2">
        <v>657.20000000020195</v>
      </c>
      <c r="H2789" s="2" t="s">
        <v>8</v>
      </c>
      <c r="I2789" s="2">
        <v>367324.99999993702</v>
      </c>
      <c r="J2789" s="2">
        <v>2000</v>
      </c>
      <c r="K2789" s="2">
        <v>300</v>
      </c>
      <c r="L2789" s="2">
        <v>0</v>
      </c>
      <c r="M2789" s="2">
        <v>743686.77</v>
      </c>
      <c r="N2789">
        <f t="shared" si="53"/>
        <v>1111668.9699999373</v>
      </c>
      <c r="O2789" s="9" t="s">
        <v>4</v>
      </c>
    </row>
    <row r="2790" spans="1:15" x14ac:dyDescent="0.2">
      <c r="A2790">
        <v>77</v>
      </c>
      <c r="B2790">
        <v>6</v>
      </c>
      <c r="C2790">
        <v>8</v>
      </c>
      <c r="D2790" s="2">
        <v>3</v>
      </c>
      <c r="E2790" s="2">
        <v>2</v>
      </c>
      <c r="F2790" s="2" t="s">
        <v>5</v>
      </c>
      <c r="G2790" s="2">
        <v>517.59999999951799</v>
      </c>
      <c r="H2790" s="2" t="s">
        <v>8</v>
      </c>
      <c r="I2790" s="2">
        <v>424015.00000005402</v>
      </c>
      <c r="J2790" s="2">
        <v>2000</v>
      </c>
      <c r="K2790" s="2">
        <v>300</v>
      </c>
      <c r="L2790" s="2">
        <v>0</v>
      </c>
      <c r="M2790" s="2">
        <v>794247.57</v>
      </c>
      <c r="N2790">
        <f t="shared" si="53"/>
        <v>1218780.1700000535</v>
      </c>
      <c r="O2790" s="9" t="s">
        <v>4</v>
      </c>
    </row>
    <row r="2791" spans="1:15" x14ac:dyDescent="0.2">
      <c r="A2791">
        <v>78</v>
      </c>
      <c r="B2791">
        <v>6</v>
      </c>
      <c r="C2791">
        <v>8</v>
      </c>
      <c r="D2791" s="2">
        <v>3</v>
      </c>
      <c r="E2791" s="2">
        <v>2</v>
      </c>
      <c r="F2791" s="2" t="s">
        <v>5</v>
      </c>
      <c r="G2791" s="2">
        <v>411.19999999992302</v>
      </c>
      <c r="H2791" s="2" t="s">
        <v>8</v>
      </c>
      <c r="I2791" s="2">
        <v>421569.00000008999</v>
      </c>
      <c r="J2791" s="2">
        <v>2000</v>
      </c>
      <c r="K2791" s="2">
        <v>300</v>
      </c>
      <c r="L2791" s="2">
        <v>0</v>
      </c>
      <c r="M2791" s="2">
        <v>796527.57</v>
      </c>
      <c r="N2791">
        <f t="shared" si="53"/>
        <v>1218507.7700000899</v>
      </c>
      <c r="O2791" s="9" t="s">
        <v>4</v>
      </c>
    </row>
    <row r="2792" spans="1:15" x14ac:dyDescent="0.2">
      <c r="A2792">
        <v>79</v>
      </c>
      <c r="B2792">
        <v>6</v>
      </c>
      <c r="C2792">
        <v>8</v>
      </c>
      <c r="D2792" s="2">
        <v>3</v>
      </c>
      <c r="E2792" s="2">
        <v>2</v>
      </c>
      <c r="F2792" s="2" t="s">
        <v>5</v>
      </c>
      <c r="G2792" s="2">
        <v>394.20000000021099</v>
      </c>
      <c r="H2792" s="2" t="s">
        <v>8</v>
      </c>
      <c r="I2792" s="2">
        <v>507382.00000000698</v>
      </c>
      <c r="J2792" s="2">
        <v>2000</v>
      </c>
      <c r="K2792" s="2">
        <v>300</v>
      </c>
      <c r="L2792" s="2">
        <v>0</v>
      </c>
      <c r="M2792" s="2">
        <v>766767.17</v>
      </c>
      <c r="N2792">
        <f t="shared" si="53"/>
        <v>1274543.3700000071</v>
      </c>
      <c r="O2792" s="9" t="s">
        <v>4</v>
      </c>
    </row>
    <row r="2793" spans="1:15" x14ac:dyDescent="0.2">
      <c r="A2793">
        <v>80</v>
      </c>
      <c r="B2793">
        <v>6</v>
      </c>
      <c r="C2793">
        <v>7</v>
      </c>
      <c r="D2793" s="2">
        <v>3</v>
      </c>
      <c r="E2793" s="2">
        <v>2</v>
      </c>
      <c r="F2793" s="2" t="s">
        <v>5</v>
      </c>
      <c r="G2793" s="2">
        <v>306.60000000004601</v>
      </c>
      <c r="H2793" s="2" t="s">
        <v>8</v>
      </c>
      <c r="I2793" s="2">
        <v>217282.00000006799</v>
      </c>
      <c r="J2793" s="2">
        <v>2000</v>
      </c>
      <c r="K2793" s="2">
        <v>300</v>
      </c>
      <c r="L2793" s="2">
        <v>0</v>
      </c>
      <c r="M2793" s="2">
        <v>793047.17</v>
      </c>
      <c r="N2793">
        <f t="shared" si="53"/>
        <v>1010635.770000068</v>
      </c>
      <c r="O2793" s="9" t="s">
        <v>4</v>
      </c>
    </row>
    <row r="2794" spans="1:15" x14ac:dyDescent="0.2">
      <c r="A2794">
        <v>81</v>
      </c>
      <c r="B2794">
        <v>6</v>
      </c>
      <c r="C2794">
        <v>8</v>
      </c>
      <c r="D2794" s="2">
        <v>3</v>
      </c>
      <c r="E2794" s="2">
        <v>2</v>
      </c>
      <c r="F2794" s="2" t="s">
        <v>5</v>
      </c>
      <c r="G2794" s="2">
        <v>372.600000000389</v>
      </c>
      <c r="H2794" s="2" t="s">
        <v>8</v>
      </c>
      <c r="I2794" s="2">
        <v>572054.99999986403</v>
      </c>
      <c r="J2794" s="2">
        <v>2000</v>
      </c>
      <c r="K2794" s="2">
        <v>300</v>
      </c>
      <c r="L2794" s="2">
        <v>0</v>
      </c>
      <c r="M2794" s="2">
        <v>764087.17</v>
      </c>
      <c r="N2794">
        <f t="shared" si="53"/>
        <v>1336514.7699998645</v>
      </c>
      <c r="O2794" s="9" t="s">
        <v>4</v>
      </c>
    </row>
    <row r="2795" spans="1:15" x14ac:dyDescent="0.2">
      <c r="A2795">
        <v>82</v>
      </c>
      <c r="B2795">
        <v>6</v>
      </c>
      <c r="C2795">
        <v>8</v>
      </c>
      <c r="D2795" s="2">
        <v>2</v>
      </c>
      <c r="E2795" s="2">
        <v>2</v>
      </c>
      <c r="F2795" s="2" t="s">
        <v>5</v>
      </c>
      <c r="G2795" s="2">
        <v>377.99999999990098</v>
      </c>
      <c r="H2795" s="2" t="s">
        <v>8</v>
      </c>
      <c r="I2795" s="2">
        <v>449708.99999998399</v>
      </c>
      <c r="J2795" s="2">
        <v>2000</v>
      </c>
      <c r="K2795" s="2">
        <v>300</v>
      </c>
      <c r="L2795" s="2">
        <v>0</v>
      </c>
      <c r="M2795" s="2">
        <v>792447.57</v>
      </c>
      <c r="N2795">
        <f t="shared" si="53"/>
        <v>1242534.5699999838</v>
      </c>
      <c r="O2795" s="9" t="s">
        <v>4</v>
      </c>
    </row>
    <row r="2796" spans="1:15" x14ac:dyDescent="0.2">
      <c r="A2796">
        <v>83</v>
      </c>
      <c r="B2796">
        <v>6</v>
      </c>
      <c r="C2796">
        <v>9</v>
      </c>
      <c r="D2796" s="2">
        <v>2</v>
      </c>
      <c r="E2796" s="2">
        <v>2</v>
      </c>
      <c r="F2796" s="2" t="s">
        <v>5</v>
      </c>
      <c r="G2796" s="2">
        <v>451.20000000018501</v>
      </c>
      <c r="H2796" s="2" t="s">
        <v>8</v>
      </c>
      <c r="I2796" s="2">
        <v>1278454.00000001</v>
      </c>
      <c r="J2796" s="2">
        <v>2000</v>
      </c>
      <c r="K2796" s="2">
        <v>300</v>
      </c>
      <c r="L2796" s="2">
        <v>0</v>
      </c>
      <c r="M2796" s="2">
        <v>802725.57</v>
      </c>
      <c r="N2796">
        <f t="shared" si="53"/>
        <v>2081630.7700000103</v>
      </c>
      <c r="O2796" s="9" t="s">
        <v>4</v>
      </c>
    </row>
    <row r="2797" spans="1:15" x14ac:dyDescent="0.2">
      <c r="A2797">
        <v>84</v>
      </c>
      <c r="B2797">
        <v>6</v>
      </c>
      <c r="C2797">
        <v>10</v>
      </c>
      <c r="D2797" s="2">
        <v>2</v>
      </c>
      <c r="E2797" s="2">
        <v>2</v>
      </c>
      <c r="F2797" s="2" t="s">
        <v>5</v>
      </c>
      <c r="G2797" s="2">
        <v>503.80000000060897</v>
      </c>
      <c r="H2797" s="2" t="s">
        <v>8</v>
      </c>
      <c r="I2797" s="2">
        <v>4835274.0000000298</v>
      </c>
      <c r="J2797" s="2">
        <v>2000</v>
      </c>
      <c r="K2797" s="2">
        <v>300</v>
      </c>
      <c r="L2797" s="2">
        <v>0</v>
      </c>
      <c r="M2797" s="2">
        <v>779566.77</v>
      </c>
      <c r="N2797">
        <f t="shared" si="53"/>
        <v>5615344.5700000301</v>
      </c>
      <c r="O2797" s="9" t="s">
        <v>4</v>
      </c>
    </row>
    <row r="2798" spans="1:15" x14ac:dyDescent="0.2">
      <c r="A2798">
        <v>85</v>
      </c>
      <c r="B2798">
        <v>6</v>
      </c>
      <c r="C2798">
        <v>8</v>
      </c>
      <c r="D2798" s="2">
        <v>2</v>
      </c>
      <c r="E2798" s="2">
        <v>2</v>
      </c>
      <c r="F2798" s="2" t="s">
        <v>5</v>
      </c>
      <c r="G2798" s="2">
        <v>348.000000000326</v>
      </c>
      <c r="H2798" s="2" t="s">
        <v>8</v>
      </c>
      <c r="I2798" s="2">
        <v>562017.99999985297</v>
      </c>
      <c r="J2798" s="2">
        <v>2000</v>
      </c>
      <c r="K2798" s="2">
        <v>300</v>
      </c>
      <c r="L2798" s="2">
        <v>0</v>
      </c>
      <c r="M2798" s="2">
        <v>752447.57</v>
      </c>
      <c r="N2798">
        <f t="shared" si="53"/>
        <v>1314813.5699998531</v>
      </c>
      <c r="O2798" s="9" t="s">
        <v>4</v>
      </c>
    </row>
    <row r="2799" spans="1:15" x14ac:dyDescent="0.2">
      <c r="A2799">
        <v>86</v>
      </c>
      <c r="B2799">
        <v>6</v>
      </c>
      <c r="C2799">
        <v>10</v>
      </c>
      <c r="D2799" s="2">
        <v>3</v>
      </c>
      <c r="E2799" s="2">
        <v>2</v>
      </c>
      <c r="F2799" s="2" t="s">
        <v>5</v>
      </c>
      <c r="G2799" s="2">
        <v>468.00000000004599</v>
      </c>
      <c r="H2799" s="2" t="s">
        <v>8</v>
      </c>
      <c r="I2799" s="2">
        <v>2626483.9999998901</v>
      </c>
      <c r="J2799" s="2">
        <v>2000</v>
      </c>
      <c r="K2799" s="2">
        <v>300</v>
      </c>
      <c r="L2799" s="2">
        <v>0</v>
      </c>
      <c r="M2799" s="2">
        <v>855769.17</v>
      </c>
      <c r="N2799">
        <f t="shared" si="53"/>
        <v>3482721.16999989</v>
      </c>
      <c r="O2799" s="9" t="s">
        <v>4</v>
      </c>
    </row>
    <row r="2800" spans="1:15" x14ac:dyDescent="0.2">
      <c r="A2800">
        <v>87</v>
      </c>
      <c r="B2800">
        <v>6</v>
      </c>
      <c r="C2800">
        <v>10</v>
      </c>
      <c r="D2800" s="2">
        <v>2</v>
      </c>
      <c r="E2800" s="2">
        <v>2</v>
      </c>
      <c r="F2800" s="2" t="s">
        <v>5</v>
      </c>
      <c r="G2800" s="2">
        <v>451.39999999968001</v>
      </c>
      <c r="H2800" s="2" t="s">
        <v>8</v>
      </c>
      <c r="I2800" s="2">
        <v>2008806.0000000501</v>
      </c>
      <c r="J2800" s="2">
        <v>2000</v>
      </c>
      <c r="K2800" s="2">
        <v>300</v>
      </c>
      <c r="L2800" s="2">
        <v>0</v>
      </c>
      <c r="M2800" s="2">
        <v>869246.37</v>
      </c>
      <c r="N2800">
        <f t="shared" si="53"/>
        <v>2878503.7700000498</v>
      </c>
      <c r="O2800" s="9" t="s">
        <v>4</v>
      </c>
    </row>
    <row r="2801" spans="1:15" x14ac:dyDescent="0.2">
      <c r="A2801">
        <v>88</v>
      </c>
      <c r="B2801">
        <v>6</v>
      </c>
      <c r="C2801">
        <v>10</v>
      </c>
      <c r="D2801" s="2">
        <v>3</v>
      </c>
      <c r="E2801" s="2">
        <v>2</v>
      </c>
      <c r="F2801" s="2" t="s">
        <v>5</v>
      </c>
      <c r="G2801" s="2">
        <v>490.20000000048498</v>
      </c>
      <c r="H2801" s="2" t="s">
        <v>8</v>
      </c>
      <c r="I2801" s="2">
        <v>1234313.00000016</v>
      </c>
      <c r="J2801" s="2">
        <v>2000</v>
      </c>
      <c r="K2801" s="2">
        <v>300</v>
      </c>
      <c r="L2801" s="2">
        <v>0</v>
      </c>
      <c r="M2801" s="2">
        <v>867646.77</v>
      </c>
      <c r="N2801">
        <f t="shared" si="53"/>
        <v>2102449.9700001604</v>
      </c>
      <c r="O2801" s="9" t="s">
        <v>4</v>
      </c>
    </row>
    <row r="2802" spans="1:15" x14ac:dyDescent="0.2">
      <c r="A2802">
        <v>89</v>
      </c>
      <c r="B2802">
        <v>6</v>
      </c>
      <c r="C2802">
        <v>7</v>
      </c>
      <c r="D2802" s="2">
        <v>3</v>
      </c>
      <c r="E2802" s="2">
        <v>2</v>
      </c>
      <c r="F2802" s="2" t="s">
        <v>5</v>
      </c>
      <c r="G2802" s="2">
        <v>266.39999999993302</v>
      </c>
      <c r="H2802" s="2" t="s">
        <v>8</v>
      </c>
      <c r="I2802" s="2">
        <v>414899.999999989</v>
      </c>
      <c r="J2802" s="2">
        <v>2000</v>
      </c>
      <c r="K2802" s="2">
        <v>300</v>
      </c>
      <c r="L2802" s="2">
        <v>0</v>
      </c>
      <c r="M2802" s="2">
        <v>762286.37</v>
      </c>
      <c r="N2802">
        <f t="shared" si="53"/>
        <v>1177452.7699999888</v>
      </c>
      <c r="O2802" s="9" t="s">
        <v>4</v>
      </c>
    </row>
    <row r="2803" spans="1:15" x14ac:dyDescent="0.2">
      <c r="A2803">
        <v>90</v>
      </c>
      <c r="B2803">
        <v>6</v>
      </c>
      <c r="C2803">
        <v>8</v>
      </c>
      <c r="D2803" s="2">
        <v>2</v>
      </c>
      <c r="E2803" s="2">
        <v>2</v>
      </c>
      <c r="F2803" s="2" t="s">
        <v>5</v>
      </c>
      <c r="G2803" s="2">
        <v>335.79999999986399</v>
      </c>
      <c r="H2803" s="2" t="s">
        <v>8</v>
      </c>
      <c r="I2803" s="2">
        <v>636770.00000006997</v>
      </c>
      <c r="J2803" s="2">
        <v>2000</v>
      </c>
      <c r="K2803" s="2">
        <v>300</v>
      </c>
      <c r="L2803" s="2">
        <v>0</v>
      </c>
      <c r="M2803" s="2">
        <v>791247.57</v>
      </c>
      <c r="N2803">
        <f t="shared" si="53"/>
        <v>1428353.3700000697</v>
      </c>
      <c r="O2803" s="9" t="s">
        <v>4</v>
      </c>
    </row>
    <row r="2804" spans="1:15" x14ac:dyDescent="0.2">
      <c r="A2804">
        <v>91</v>
      </c>
      <c r="B2804">
        <v>6</v>
      </c>
      <c r="C2804">
        <v>8</v>
      </c>
      <c r="D2804" s="2">
        <v>3</v>
      </c>
      <c r="E2804" s="2">
        <v>2</v>
      </c>
      <c r="F2804" s="2" t="s">
        <v>5</v>
      </c>
      <c r="G2804" s="2">
        <v>335.59999999930301</v>
      </c>
      <c r="H2804" s="2" t="s">
        <v>8</v>
      </c>
      <c r="I2804" s="2">
        <v>411151.00000001799</v>
      </c>
      <c r="J2804" s="2">
        <v>2000</v>
      </c>
      <c r="K2804" s="2">
        <v>300</v>
      </c>
      <c r="L2804" s="2">
        <v>0</v>
      </c>
      <c r="M2804" s="2">
        <v>797207.57</v>
      </c>
      <c r="N2804">
        <f t="shared" si="53"/>
        <v>1208694.1700000172</v>
      </c>
      <c r="O2804" s="9" t="s">
        <v>4</v>
      </c>
    </row>
    <row r="2805" spans="1:15" x14ac:dyDescent="0.2">
      <c r="A2805">
        <v>92</v>
      </c>
      <c r="B2805">
        <v>6</v>
      </c>
      <c r="C2805">
        <v>8</v>
      </c>
      <c r="D2805" s="2">
        <v>3</v>
      </c>
      <c r="E2805" s="2">
        <v>2</v>
      </c>
      <c r="F2805" s="2" t="s">
        <v>5</v>
      </c>
      <c r="G2805" s="2">
        <v>306.40000000019501</v>
      </c>
      <c r="H2805" s="2" t="s">
        <v>8</v>
      </c>
      <c r="I2805" s="2">
        <v>326122.99999982503</v>
      </c>
      <c r="J2805" s="2">
        <v>2000</v>
      </c>
      <c r="K2805" s="2">
        <v>300</v>
      </c>
      <c r="L2805" s="2">
        <v>0</v>
      </c>
      <c r="M2805" s="2">
        <v>797207.17</v>
      </c>
      <c r="N2805">
        <f t="shared" si="53"/>
        <v>1123636.5699998252</v>
      </c>
      <c r="O2805" s="9" t="s">
        <v>4</v>
      </c>
    </row>
    <row r="2806" spans="1:15" x14ac:dyDescent="0.2">
      <c r="A2806">
        <v>93</v>
      </c>
      <c r="B2806">
        <v>6</v>
      </c>
      <c r="C2806">
        <v>11</v>
      </c>
      <c r="D2806" s="2">
        <v>3</v>
      </c>
      <c r="E2806" s="2">
        <v>2</v>
      </c>
      <c r="F2806" s="2" t="s">
        <v>5</v>
      </c>
      <c r="G2806" s="2">
        <v>515.79999999979998</v>
      </c>
      <c r="H2806" s="2" t="s">
        <v>8</v>
      </c>
      <c r="I2806" s="2">
        <v>2579271.9999999502</v>
      </c>
      <c r="J2806" s="2">
        <v>2000</v>
      </c>
      <c r="K2806" s="2">
        <v>300</v>
      </c>
      <c r="L2806" s="2">
        <v>0</v>
      </c>
      <c r="M2806" s="2">
        <v>848527.57</v>
      </c>
      <c r="N2806">
        <f t="shared" si="53"/>
        <v>3428315.3699999498</v>
      </c>
      <c r="O2806" s="9" t="s">
        <v>4</v>
      </c>
    </row>
    <row r="2807" spans="1:15" x14ac:dyDescent="0.2">
      <c r="A2807">
        <v>94</v>
      </c>
      <c r="B2807">
        <v>6</v>
      </c>
      <c r="C2807">
        <v>10</v>
      </c>
      <c r="D2807" s="2">
        <v>2</v>
      </c>
      <c r="E2807" s="2">
        <v>2</v>
      </c>
      <c r="F2807" s="2" t="s">
        <v>5</v>
      </c>
      <c r="G2807" s="2">
        <v>446.600000000075</v>
      </c>
      <c r="H2807" s="2" t="s">
        <v>8</v>
      </c>
      <c r="I2807" s="2">
        <v>2002005.9999999399</v>
      </c>
      <c r="J2807" s="2">
        <v>2000</v>
      </c>
      <c r="K2807" s="2">
        <v>300</v>
      </c>
      <c r="L2807" s="2">
        <v>0</v>
      </c>
      <c r="M2807" s="2">
        <v>787889.57</v>
      </c>
      <c r="N2807">
        <f t="shared" si="53"/>
        <v>2790342.1699999399</v>
      </c>
      <c r="O2807" s="9" t="s">
        <v>4</v>
      </c>
    </row>
    <row r="2808" spans="1:15" x14ac:dyDescent="0.2">
      <c r="A2808">
        <v>95</v>
      </c>
      <c r="B2808">
        <v>6</v>
      </c>
      <c r="C2808">
        <v>12</v>
      </c>
      <c r="D2808" s="2">
        <v>2</v>
      </c>
      <c r="E2808" s="2">
        <v>2</v>
      </c>
      <c r="F2808" s="2" t="s">
        <v>5</v>
      </c>
      <c r="G2808" s="2">
        <v>605.60000000045</v>
      </c>
      <c r="H2808" s="2" t="s">
        <v>8</v>
      </c>
      <c r="I2808" s="2">
        <v>5219995.0000001499</v>
      </c>
      <c r="J2808" s="2">
        <v>2000</v>
      </c>
      <c r="K2808" s="2">
        <v>300</v>
      </c>
      <c r="L2808" s="2">
        <v>0</v>
      </c>
      <c r="M2808" s="2">
        <v>816485.97</v>
      </c>
      <c r="N2808">
        <f t="shared" si="53"/>
        <v>6037086.5700001502</v>
      </c>
      <c r="O2808" s="9" t="s">
        <v>4</v>
      </c>
    </row>
    <row r="2809" spans="1:15" x14ac:dyDescent="0.2">
      <c r="A2809">
        <v>96</v>
      </c>
      <c r="B2809">
        <v>6</v>
      </c>
      <c r="C2809">
        <v>8</v>
      </c>
      <c r="D2809" s="2">
        <v>3</v>
      </c>
      <c r="E2809" s="2">
        <v>2</v>
      </c>
      <c r="F2809" s="2" t="s">
        <v>5</v>
      </c>
      <c r="G2809" s="2">
        <v>301.39999999967398</v>
      </c>
      <c r="H2809" s="2" t="s">
        <v>8</v>
      </c>
      <c r="I2809" s="2">
        <v>538624.00000002701</v>
      </c>
      <c r="J2809" s="2">
        <v>2000</v>
      </c>
      <c r="K2809" s="2">
        <v>300</v>
      </c>
      <c r="L2809" s="2">
        <v>0</v>
      </c>
      <c r="M2809" s="2">
        <v>794607.17</v>
      </c>
      <c r="N2809">
        <f t="shared" si="53"/>
        <v>1333532.5700000268</v>
      </c>
      <c r="O2809" s="9" t="s">
        <v>4</v>
      </c>
    </row>
    <row r="2810" spans="1:15" x14ac:dyDescent="0.2">
      <c r="A2810">
        <v>97</v>
      </c>
      <c r="B2810">
        <v>6</v>
      </c>
      <c r="C2810">
        <v>9</v>
      </c>
      <c r="D2810" s="2">
        <v>3</v>
      </c>
      <c r="E2810" s="2">
        <v>2</v>
      </c>
      <c r="F2810" s="2" t="s">
        <v>5</v>
      </c>
      <c r="G2810" s="2">
        <v>374.59999999995802</v>
      </c>
      <c r="H2810" s="2" t="s">
        <v>8</v>
      </c>
      <c r="I2810" s="2">
        <v>698046.99999985995</v>
      </c>
      <c r="J2810" s="2">
        <v>2000</v>
      </c>
      <c r="K2810" s="2">
        <v>300</v>
      </c>
      <c r="L2810" s="2">
        <v>0</v>
      </c>
      <c r="M2810" s="2">
        <v>800486.77</v>
      </c>
      <c r="N2810">
        <f t="shared" si="53"/>
        <v>1498908.3699998599</v>
      </c>
      <c r="O2810" s="9" t="s">
        <v>4</v>
      </c>
    </row>
    <row r="2811" spans="1:15" x14ac:dyDescent="0.2">
      <c r="A2811">
        <v>98</v>
      </c>
      <c r="B2811">
        <v>6</v>
      </c>
      <c r="C2811">
        <v>10</v>
      </c>
      <c r="D2811" s="2">
        <v>3</v>
      </c>
      <c r="E2811" s="2">
        <v>2</v>
      </c>
      <c r="F2811" s="2" t="s">
        <v>5</v>
      </c>
      <c r="G2811" s="2">
        <v>496.19999999990199</v>
      </c>
      <c r="H2811" s="2" t="s">
        <v>8</v>
      </c>
      <c r="I2811" s="2">
        <v>1091490.00000002</v>
      </c>
      <c r="J2811" s="2">
        <v>2000</v>
      </c>
      <c r="K2811" s="2">
        <v>300</v>
      </c>
      <c r="L2811" s="2">
        <v>0</v>
      </c>
      <c r="M2811" s="2">
        <v>808287.97</v>
      </c>
      <c r="N2811">
        <f t="shared" si="53"/>
        <v>1900274.1700000199</v>
      </c>
      <c r="O2811" s="9" t="s">
        <v>4</v>
      </c>
    </row>
    <row r="2812" spans="1:15" x14ac:dyDescent="0.2">
      <c r="A2812">
        <v>99</v>
      </c>
      <c r="B2812">
        <v>6</v>
      </c>
      <c r="C2812">
        <v>11</v>
      </c>
      <c r="D2812" s="2">
        <v>2</v>
      </c>
      <c r="E2812" s="2">
        <v>2</v>
      </c>
      <c r="F2812" s="2" t="s">
        <v>5</v>
      </c>
      <c r="G2812" s="2">
        <v>500.59999999980698</v>
      </c>
      <c r="H2812" s="2" t="s">
        <v>8</v>
      </c>
      <c r="I2812" s="2">
        <v>2540038.0000001001</v>
      </c>
      <c r="J2812" s="2">
        <v>2000</v>
      </c>
      <c r="K2812" s="2">
        <v>300</v>
      </c>
      <c r="L2812" s="2">
        <v>0</v>
      </c>
      <c r="M2812" s="2">
        <v>860408.77</v>
      </c>
      <c r="N2812">
        <f t="shared" si="53"/>
        <v>3400947.3700000998</v>
      </c>
      <c r="O2812" s="9" t="s">
        <v>4</v>
      </c>
    </row>
    <row r="2813" spans="1:15" x14ac:dyDescent="0.2">
      <c r="A2813">
        <v>70</v>
      </c>
      <c r="B2813">
        <v>6</v>
      </c>
      <c r="C2813">
        <v>6</v>
      </c>
      <c r="D2813" s="2">
        <v>3</v>
      </c>
      <c r="E2813" s="2">
        <v>2</v>
      </c>
      <c r="F2813" s="2" t="s">
        <v>5</v>
      </c>
      <c r="G2813" s="2">
        <v>916.60000000004504</v>
      </c>
      <c r="H2813" s="2" t="s">
        <v>16</v>
      </c>
      <c r="I2813" s="2">
        <v>68301.999999988504</v>
      </c>
      <c r="J2813" s="2">
        <v>1000</v>
      </c>
      <c r="K2813" s="2">
        <v>20</v>
      </c>
      <c r="L2813" s="2">
        <v>0</v>
      </c>
      <c r="M2813" s="2">
        <v>102828.01</v>
      </c>
      <c r="N2813">
        <f t="shared" si="53"/>
        <v>172046.60999998855</v>
      </c>
      <c r="O2813" s="2" t="s">
        <v>5</v>
      </c>
    </row>
    <row r="2814" spans="1:15" x14ac:dyDescent="0.2">
      <c r="A2814">
        <v>71</v>
      </c>
      <c r="B2814">
        <v>6</v>
      </c>
      <c r="C2814">
        <v>7</v>
      </c>
      <c r="D2814" s="2">
        <v>2</v>
      </c>
      <c r="E2814" s="2">
        <v>2</v>
      </c>
      <c r="F2814" s="2" t="s">
        <v>5</v>
      </c>
      <c r="G2814" s="2">
        <v>840.79999999993095</v>
      </c>
      <c r="H2814" s="2" t="s">
        <v>16</v>
      </c>
      <c r="I2814" s="2">
        <v>212421.000000006</v>
      </c>
      <c r="J2814" s="2">
        <v>1000</v>
      </c>
      <c r="K2814" s="2">
        <v>20</v>
      </c>
      <c r="L2814" s="2">
        <v>0</v>
      </c>
      <c r="M2814" s="2">
        <v>116510.01</v>
      </c>
      <c r="N2814">
        <f t="shared" si="53"/>
        <v>329771.81000000593</v>
      </c>
      <c r="O2814" s="2" t="s">
        <v>4</v>
      </c>
    </row>
    <row r="2815" spans="1:15" x14ac:dyDescent="0.2">
      <c r="A2815">
        <v>72</v>
      </c>
      <c r="B2815">
        <v>6</v>
      </c>
      <c r="C2815">
        <v>7</v>
      </c>
      <c r="D2815" s="2">
        <v>2</v>
      </c>
      <c r="E2815" s="2">
        <v>2</v>
      </c>
      <c r="F2815" s="2" t="s">
        <v>5</v>
      </c>
      <c r="G2815" s="2">
        <v>686.80000000043196</v>
      </c>
      <c r="H2815" s="2" t="s">
        <v>16</v>
      </c>
      <c r="I2815" s="2">
        <v>262078.00000000201</v>
      </c>
      <c r="J2815" s="2">
        <v>1000</v>
      </c>
      <c r="K2815" s="2">
        <v>20</v>
      </c>
      <c r="L2815" s="2">
        <v>0</v>
      </c>
      <c r="M2815" s="2">
        <v>135908.01</v>
      </c>
      <c r="N2815">
        <f t="shared" si="53"/>
        <v>398672.81000000244</v>
      </c>
      <c r="O2815" s="2" t="s">
        <v>4</v>
      </c>
    </row>
    <row r="2816" spans="1:15" x14ac:dyDescent="0.2">
      <c r="A2816">
        <v>73</v>
      </c>
      <c r="B2816">
        <v>6</v>
      </c>
      <c r="C2816">
        <v>7</v>
      </c>
      <c r="D2816" s="2">
        <v>3</v>
      </c>
      <c r="E2816" s="2">
        <v>2</v>
      </c>
      <c r="F2816" s="2" t="s">
        <v>5</v>
      </c>
      <c r="G2816" s="2">
        <v>696.99999999990303</v>
      </c>
      <c r="H2816" s="2" t="s">
        <v>16</v>
      </c>
      <c r="I2816" s="2">
        <v>220828.999999981</v>
      </c>
      <c r="J2816" s="2">
        <v>1000</v>
      </c>
      <c r="K2816" s="2">
        <v>20</v>
      </c>
      <c r="L2816" s="2">
        <v>0</v>
      </c>
      <c r="M2816" s="2">
        <v>103548.41</v>
      </c>
      <c r="N2816">
        <f t="shared" si="53"/>
        <v>325074.40999998094</v>
      </c>
      <c r="O2816" s="2" t="s">
        <v>4</v>
      </c>
    </row>
    <row r="2817" spans="1:15" x14ac:dyDescent="0.2">
      <c r="A2817">
        <v>74</v>
      </c>
      <c r="B2817">
        <v>6</v>
      </c>
      <c r="C2817">
        <v>9</v>
      </c>
      <c r="D2817" s="2">
        <v>3</v>
      </c>
      <c r="E2817" s="2">
        <v>2</v>
      </c>
      <c r="F2817" s="2" t="s">
        <v>5</v>
      </c>
      <c r="G2817" s="2">
        <v>767.00000000009504</v>
      </c>
      <c r="H2817" s="2" t="s">
        <v>16</v>
      </c>
      <c r="I2817" s="2">
        <v>641922.99999999104</v>
      </c>
      <c r="J2817" s="2">
        <v>1000</v>
      </c>
      <c r="K2817" s="2">
        <v>20</v>
      </c>
      <c r="L2817" s="2">
        <v>0</v>
      </c>
      <c r="M2817" s="2">
        <v>129308.81</v>
      </c>
      <c r="N2817">
        <f t="shared" si="53"/>
        <v>771998.80999999121</v>
      </c>
      <c r="O2817" s="2" t="s">
        <v>4</v>
      </c>
    </row>
    <row r="2818" spans="1:15" x14ac:dyDescent="0.2">
      <c r="A2818">
        <v>75</v>
      </c>
      <c r="B2818">
        <v>6</v>
      </c>
      <c r="C2818">
        <v>7</v>
      </c>
      <c r="D2818" s="2">
        <v>3</v>
      </c>
      <c r="E2818" s="2">
        <v>2</v>
      </c>
      <c r="F2818" s="2" t="s">
        <v>5</v>
      </c>
      <c r="G2818" s="2">
        <v>442.80000000007601</v>
      </c>
      <c r="H2818" s="2" t="s">
        <v>16</v>
      </c>
      <c r="I2818" s="2">
        <v>188826.000000006</v>
      </c>
      <c r="J2818" s="2">
        <v>1000</v>
      </c>
      <c r="K2818" s="2">
        <v>20</v>
      </c>
      <c r="L2818" s="2">
        <v>0</v>
      </c>
      <c r="M2818" s="2">
        <v>130229.21</v>
      </c>
      <c r="N2818">
        <f t="shared" si="53"/>
        <v>319498.01000000606</v>
      </c>
      <c r="O2818" s="2" t="s">
        <v>4</v>
      </c>
    </row>
    <row r="2819" spans="1:15" x14ac:dyDescent="0.2">
      <c r="A2819">
        <v>76</v>
      </c>
      <c r="B2819">
        <v>6</v>
      </c>
      <c r="C2819">
        <v>8</v>
      </c>
      <c r="D2819" s="2">
        <v>3</v>
      </c>
      <c r="E2819" s="2">
        <v>2</v>
      </c>
      <c r="F2819" s="2" t="s">
        <v>5</v>
      </c>
      <c r="G2819" s="2">
        <v>657.20000000020195</v>
      </c>
      <c r="H2819" s="2" t="s">
        <v>16</v>
      </c>
      <c r="I2819" s="2">
        <v>207245</v>
      </c>
      <c r="J2819" s="2">
        <v>1000</v>
      </c>
      <c r="K2819" s="2">
        <v>20</v>
      </c>
      <c r="L2819" s="2">
        <v>0</v>
      </c>
      <c r="M2819" s="2">
        <v>105828.81</v>
      </c>
      <c r="N2819">
        <f t="shared" si="53"/>
        <v>313731.01000000024</v>
      </c>
      <c r="O2819" s="2" t="s">
        <v>4</v>
      </c>
    </row>
    <row r="2820" spans="1:15" x14ac:dyDescent="0.2">
      <c r="A2820">
        <v>77</v>
      </c>
      <c r="B2820">
        <v>6</v>
      </c>
      <c r="C2820">
        <v>8</v>
      </c>
      <c r="D2820" s="2">
        <v>3</v>
      </c>
      <c r="E2820" s="2">
        <v>2</v>
      </c>
      <c r="F2820" s="2" t="s">
        <v>5</v>
      </c>
      <c r="G2820" s="2">
        <v>517.59999999951799</v>
      </c>
      <c r="H2820" s="2" t="s">
        <v>16</v>
      </c>
      <c r="I2820" s="2">
        <v>554278.99999997998</v>
      </c>
      <c r="J2820" s="2">
        <v>1000</v>
      </c>
      <c r="K2820" s="2">
        <v>20</v>
      </c>
      <c r="L2820" s="2">
        <v>0</v>
      </c>
      <c r="M2820" s="2">
        <v>102948.01</v>
      </c>
      <c r="N2820">
        <f t="shared" si="53"/>
        <v>657744.6099999795</v>
      </c>
      <c r="O2820" s="2" t="s">
        <v>4</v>
      </c>
    </row>
    <row r="2821" spans="1:15" x14ac:dyDescent="0.2">
      <c r="A2821">
        <v>78</v>
      </c>
      <c r="B2821">
        <v>6</v>
      </c>
      <c r="C2821">
        <v>8</v>
      </c>
      <c r="D2821" s="2">
        <v>3</v>
      </c>
      <c r="E2821" s="2">
        <v>2</v>
      </c>
      <c r="F2821" s="2" t="s">
        <v>5</v>
      </c>
      <c r="G2821" s="2">
        <v>411.19999999992302</v>
      </c>
      <c r="H2821" s="2" t="s">
        <v>16</v>
      </c>
      <c r="I2821" s="2">
        <v>251448.000000011</v>
      </c>
      <c r="J2821" s="2">
        <v>1000</v>
      </c>
      <c r="K2821" s="2">
        <v>20</v>
      </c>
      <c r="L2821" s="2">
        <v>0</v>
      </c>
      <c r="M2821" s="2">
        <v>130188.81</v>
      </c>
      <c r="N2821">
        <f t="shared" si="53"/>
        <v>382048.01000001095</v>
      </c>
      <c r="O2821" s="2" t="s">
        <v>4</v>
      </c>
    </row>
    <row r="2822" spans="1:15" x14ac:dyDescent="0.2">
      <c r="A2822">
        <v>79</v>
      </c>
      <c r="B2822">
        <v>6</v>
      </c>
      <c r="C2822">
        <v>8</v>
      </c>
      <c r="D2822" s="2">
        <v>3</v>
      </c>
      <c r="E2822" s="2">
        <v>2</v>
      </c>
      <c r="F2822" s="2" t="s">
        <v>5</v>
      </c>
      <c r="G2822" s="2">
        <v>394.20000000021099</v>
      </c>
      <c r="H2822" s="2" t="s">
        <v>16</v>
      </c>
      <c r="I2822" s="2">
        <v>178140.00000001301</v>
      </c>
      <c r="J2822" s="2">
        <v>1000</v>
      </c>
      <c r="K2822" s="2">
        <v>20</v>
      </c>
      <c r="L2822" s="2">
        <v>0</v>
      </c>
      <c r="M2822" s="2">
        <v>123148.01</v>
      </c>
      <c r="N2822">
        <f t="shared" si="53"/>
        <v>301682.21000001323</v>
      </c>
      <c r="O2822" s="2" t="s">
        <v>4</v>
      </c>
    </row>
    <row r="2823" spans="1:15" x14ac:dyDescent="0.2">
      <c r="A2823">
        <v>80</v>
      </c>
      <c r="B2823">
        <v>6</v>
      </c>
      <c r="C2823">
        <v>7</v>
      </c>
      <c r="D2823" s="2">
        <v>3</v>
      </c>
      <c r="E2823" s="2">
        <v>2</v>
      </c>
      <c r="F2823" s="2" t="s">
        <v>5</v>
      </c>
      <c r="G2823" s="2">
        <v>306.60000000004601</v>
      </c>
      <c r="H2823" s="2" t="s">
        <v>16</v>
      </c>
      <c r="I2823" s="2">
        <v>148730</v>
      </c>
      <c r="J2823" s="2">
        <v>1000</v>
      </c>
      <c r="K2823" s="2">
        <v>20</v>
      </c>
      <c r="L2823" s="2">
        <v>0</v>
      </c>
      <c r="M2823" s="2">
        <v>132388.01</v>
      </c>
      <c r="N2823">
        <f t="shared" si="53"/>
        <v>281424.61000000004</v>
      </c>
      <c r="O2823" s="2" t="s">
        <v>4</v>
      </c>
    </row>
    <row r="2824" spans="1:15" x14ac:dyDescent="0.2">
      <c r="A2824">
        <v>81</v>
      </c>
      <c r="B2824">
        <v>6</v>
      </c>
      <c r="C2824">
        <v>8</v>
      </c>
      <c r="D2824" s="2">
        <v>3</v>
      </c>
      <c r="E2824" s="2">
        <v>2</v>
      </c>
      <c r="F2824" s="2" t="s">
        <v>5</v>
      </c>
      <c r="G2824" s="2">
        <v>372.600000000389</v>
      </c>
      <c r="H2824" s="2" t="s">
        <v>16</v>
      </c>
      <c r="I2824" s="2">
        <v>307187.99999999598</v>
      </c>
      <c r="J2824" s="2">
        <v>1000</v>
      </c>
      <c r="K2824" s="2">
        <v>20</v>
      </c>
      <c r="L2824" s="2">
        <v>0</v>
      </c>
      <c r="M2824" s="2">
        <v>103548.41</v>
      </c>
      <c r="N2824">
        <f t="shared" si="53"/>
        <v>411109.0099999964</v>
      </c>
      <c r="O2824" s="2" t="s">
        <v>4</v>
      </c>
    </row>
    <row r="2825" spans="1:15" x14ac:dyDescent="0.2">
      <c r="A2825">
        <v>82</v>
      </c>
      <c r="B2825">
        <v>6</v>
      </c>
      <c r="C2825">
        <v>8</v>
      </c>
      <c r="D2825" s="2">
        <v>2</v>
      </c>
      <c r="E2825" s="2">
        <v>2</v>
      </c>
      <c r="F2825" s="2" t="s">
        <v>5</v>
      </c>
      <c r="G2825" s="2">
        <v>377.99999999990098</v>
      </c>
      <c r="H2825" s="2" t="s">
        <v>16</v>
      </c>
      <c r="I2825" s="2">
        <v>516832.99999999098</v>
      </c>
      <c r="J2825" s="2">
        <v>1000</v>
      </c>
      <c r="K2825" s="2">
        <v>20</v>
      </c>
      <c r="L2825" s="2">
        <v>0</v>
      </c>
      <c r="M2825" s="2">
        <v>132747.60999999999</v>
      </c>
      <c r="N2825">
        <f t="shared" si="53"/>
        <v>649958.60999999079</v>
      </c>
      <c r="O2825" s="2" t="s">
        <v>4</v>
      </c>
    </row>
    <row r="2826" spans="1:15" x14ac:dyDescent="0.2">
      <c r="A2826">
        <v>83</v>
      </c>
      <c r="B2826">
        <v>6</v>
      </c>
      <c r="C2826">
        <v>9</v>
      </c>
      <c r="D2826" s="2">
        <v>2</v>
      </c>
      <c r="E2826" s="2">
        <v>2</v>
      </c>
      <c r="F2826" s="2" t="s">
        <v>5</v>
      </c>
      <c r="G2826" s="2">
        <v>451.20000000018501</v>
      </c>
      <c r="H2826" s="2" t="s">
        <v>16</v>
      </c>
      <c r="I2826" s="2">
        <v>413190.00000001403</v>
      </c>
      <c r="J2826" s="2">
        <v>1000</v>
      </c>
      <c r="K2826" s="2">
        <v>20</v>
      </c>
      <c r="L2826" s="2">
        <v>0</v>
      </c>
      <c r="M2826" s="2">
        <v>104428.01</v>
      </c>
      <c r="N2826">
        <f t="shared" si="53"/>
        <v>518069.21000001422</v>
      </c>
      <c r="O2826" s="2" t="s">
        <v>4</v>
      </c>
    </row>
    <row r="2827" spans="1:15" x14ac:dyDescent="0.2">
      <c r="A2827">
        <v>84</v>
      </c>
      <c r="B2827">
        <v>6</v>
      </c>
      <c r="C2827">
        <v>10</v>
      </c>
      <c r="D2827" s="2">
        <v>2</v>
      </c>
      <c r="E2827" s="2">
        <v>2</v>
      </c>
      <c r="F2827" s="2" t="s">
        <v>5</v>
      </c>
      <c r="G2827" s="2">
        <v>503.80000000060897</v>
      </c>
      <c r="H2827" s="2" t="s">
        <v>16</v>
      </c>
      <c r="I2827" s="2">
        <v>474711.999999983</v>
      </c>
      <c r="J2827" s="2">
        <v>1000</v>
      </c>
      <c r="K2827" s="2">
        <v>20</v>
      </c>
      <c r="L2827" s="2">
        <v>0</v>
      </c>
      <c r="M2827" s="2">
        <v>137828.01</v>
      </c>
      <c r="N2827">
        <f t="shared" si="53"/>
        <v>613043.80999998364</v>
      </c>
      <c r="O2827" s="2" t="s">
        <v>4</v>
      </c>
    </row>
    <row r="2828" spans="1:15" x14ac:dyDescent="0.2">
      <c r="A2828">
        <v>85</v>
      </c>
      <c r="B2828">
        <v>6</v>
      </c>
      <c r="C2828">
        <v>8</v>
      </c>
      <c r="D2828" s="2">
        <v>2</v>
      </c>
      <c r="E2828" s="2">
        <v>2</v>
      </c>
      <c r="F2828" s="2" t="s">
        <v>5</v>
      </c>
      <c r="G2828" s="2">
        <v>348.000000000326</v>
      </c>
      <c r="H2828" s="2" t="s">
        <v>16</v>
      </c>
      <c r="I2828" s="2">
        <v>608902.00000000105</v>
      </c>
      <c r="J2828" s="2">
        <v>1000</v>
      </c>
      <c r="K2828" s="2">
        <v>20</v>
      </c>
      <c r="L2828" s="2">
        <v>0</v>
      </c>
      <c r="M2828" s="2">
        <v>133988.41</v>
      </c>
      <c r="N2828">
        <f t="shared" si="53"/>
        <v>743238.41000000143</v>
      </c>
      <c r="O2828" s="2" t="s">
        <v>4</v>
      </c>
    </row>
    <row r="2829" spans="1:15" x14ac:dyDescent="0.2">
      <c r="A2829">
        <v>86</v>
      </c>
      <c r="B2829">
        <v>6</v>
      </c>
      <c r="C2829">
        <v>10</v>
      </c>
      <c r="D2829" s="2">
        <v>3</v>
      </c>
      <c r="E2829" s="2">
        <v>2</v>
      </c>
      <c r="F2829" s="2" t="s">
        <v>5</v>
      </c>
      <c r="G2829" s="2">
        <v>468.00000000004599</v>
      </c>
      <c r="H2829" s="2" t="s">
        <v>16</v>
      </c>
      <c r="I2829" s="2">
        <v>645299.00000002305</v>
      </c>
      <c r="J2829" s="2">
        <v>1000</v>
      </c>
      <c r="K2829" s="2">
        <v>20</v>
      </c>
      <c r="L2829" s="2">
        <v>0</v>
      </c>
      <c r="M2829" s="2">
        <v>110707.21</v>
      </c>
      <c r="N2829">
        <f t="shared" si="53"/>
        <v>756474.21000002301</v>
      </c>
      <c r="O2829" s="2" t="s">
        <v>4</v>
      </c>
    </row>
    <row r="2830" spans="1:15" x14ac:dyDescent="0.2">
      <c r="A2830">
        <v>87</v>
      </c>
      <c r="B2830">
        <v>6</v>
      </c>
      <c r="C2830">
        <v>10</v>
      </c>
      <c r="D2830" s="2">
        <v>2</v>
      </c>
      <c r="E2830" s="2">
        <v>2</v>
      </c>
      <c r="F2830" s="2" t="s">
        <v>5</v>
      </c>
      <c r="G2830" s="2">
        <v>451.39999999968001</v>
      </c>
      <c r="H2830" s="2" t="s">
        <v>16</v>
      </c>
      <c r="I2830" s="2">
        <v>401485.00000000797</v>
      </c>
      <c r="J2830" s="2">
        <v>1000</v>
      </c>
      <c r="K2830" s="2">
        <v>20</v>
      </c>
      <c r="L2830" s="2">
        <v>0</v>
      </c>
      <c r="M2830" s="2">
        <v>138067.21</v>
      </c>
      <c r="N2830">
        <f t="shared" si="53"/>
        <v>540003.61000000767</v>
      </c>
      <c r="O2830" s="2" t="s">
        <v>4</v>
      </c>
    </row>
    <row r="2831" spans="1:15" x14ac:dyDescent="0.2">
      <c r="A2831">
        <v>88</v>
      </c>
      <c r="B2831">
        <v>6</v>
      </c>
      <c r="C2831">
        <v>10</v>
      </c>
      <c r="D2831" s="2">
        <v>3</v>
      </c>
      <c r="E2831" s="2">
        <v>2</v>
      </c>
      <c r="F2831" s="2" t="s">
        <v>5</v>
      </c>
      <c r="G2831" s="2">
        <v>490.20000000048498</v>
      </c>
      <c r="H2831" s="2" t="s">
        <v>16</v>
      </c>
      <c r="I2831" s="2">
        <v>672093.99999998696</v>
      </c>
      <c r="J2831" s="2">
        <v>1000</v>
      </c>
      <c r="K2831" s="2">
        <v>20</v>
      </c>
      <c r="L2831" s="2">
        <v>0</v>
      </c>
      <c r="M2831" s="2">
        <v>105428.41</v>
      </c>
      <c r="N2831">
        <f t="shared" si="53"/>
        <v>778012.60999998753</v>
      </c>
      <c r="O2831" s="2" t="s">
        <v>4</v>
      </c>
    </row>
    <row r="2832" spans="1:15" x14ac:dyDescent="0.2">
      <c r="A2832">
        <v>89</v>
      </c>
      <c r="B2832">
        <v>6</v>
      </c>
      <c r="C2832">
        <v>7</v>
      </c>
      <c r="D2832" s="2">
        <v>3</v>
      </c>
      <c r="E2832" s="2">
        <v>2</v>
      </c>
      <c r="F2832" s="2" t="s">
        <v>5</v>
      </c>
      <c r="G2832" s="2">
        <v>266.39999999993302</v>
      </c>
      <c r="H2832" s="2" t="s">
        <v>16</v>
      </c>
      <c r="I2832" s="2">
        <v>186243.000000019</v>
      </c>
      <c r="J2832" s="2">
        <v>1000</v>
      </c>
      <c r="K2832" s="2">
        <v>20</v>
      </c>
      <c r="L2832" s="2">
        <v>0</v>
      </c>
      <c r="M2832" s="2">
        <v>100788.41</v>
      </c>
      <c r="N2832">
        <f t="shared" si="53"/>
        <v>287297.81000001892</v>
      </c>
      <c r="O2832" s="2" t="s">
        <v>4</v>
      </c>
    </row>
    <row r="2833" spans="1:15" x14ac:dyDescent="0.2">
      <c r="A2833">
        <v>90</v>
      </c>
      <c r="B2833">
        <v>6</v>
      </c>
      <c r="C2833">
        <v>8</v>
      </c>
      <c r="D2833" s="2">
        <v>2</v>
      </c>
      <c r="E2833" s="2">
        <v>2</v>
      </c>
      <c r="F2833" s="2" t="s">
        <v>5</v>
      </c>
      <c r="G2833" s="2">
        <v>335.79999999986399</v>
      </c>
      <c r="H2833" s="2" t="s">
        <v>16</v>
      </c>
      <c r="I2833" s="2">
        <v>399008.00000000902</v>
      </c>
      <c r="J2833" s="2">
        <v>1000</v>
      </c>
      <c r="K2833" s="2">
        <v>20</v>
      </c>
      <c r="L2833" s="2">
        <v>0</v>
      </c>
      <c r="M2833" s="2">
        <v>130308.81</v>
      </c>
      <c r="N2833">
        <f t="shared" si="53"/>
        <v>529652.61000000895</v>
      </c>
      <c r="O2833" s="2" t="s">
        <v>4</v>
      </c>
    </row>
    <row r="2834" spans="1:15" x14ac:dyDescent="0.2">
      <c r="A2834">
        <v>91</v>
      </c>
      <c r="B2834">
        <v>6</v>
      </c>
      <c r="C2834">
        <v>8</v>
      </c>
      <c r="D2834" s="2">
        <v>3</v>
      </c>
      <c r="E2834" s="2">
        <v>2</v>
      </c>
      <c r="F2834" s="2" t="s">
        <v>5</v>
      </c>
      <c r="G2834" s="2">
        <v>335.59999999930301</v>
      </c>
      <c r="H2834" s="2" t="s">
        <v>16</v>
      </c>
      <c r="I2834" s="2">
        <v>151079.00000001001</v>
      </c>
      <c r="J2834" s="2">
        <v>1000</v>
      </c>
      <c r="K2834" s="2">
        <v>20</v>
      </c>
      <c r="L2834" s="2">
        <v>0</v>
      </c>
      <c r="M2834" s="2">
        <v>101467.21</v>
      </c>
      <c r="N2834">
        <f t="shared" si="53"/>
        <v>252881.81000000931</v>
      </c>
      <c r="O2834" s="2" t="s">
        <v>4</v>
      </c>
    </row>
    <row r="2835" spans="1:15" x14ac:dyDescent="0.2">
      <c r="A2835">
        <v>92</v>
      </c>
      <c r="B2835">
        <v>6</v>
      </c>
      <c r="C2835">
        <v>8</v>
      </c>
      <c r="D2835" s="2">
        <v>3</v>
      </c>
      <c r="E2835" s="2">
        <v>2</v>
      </c>
      <c r="F2835" s="2" t="s">
        <v>5</v>
      </c>
      <c r="G2835" s="2">
        <v>306.40000000019501</v>
      </c>
      <c r="H2835" s="2" t="s">
        <v>16</v>
      </c>
      <c r="I2835" s="2">
        <v>288912.000000011</v>
      </c>
      <c r="J2835" s="2">
        <v>1000</v>
      </c>
      <c r="K2835" s="2">
        <v>20</v>
      </c>
      <c r="L2835" s="2">
        <v>0</v>
      </c>
      <c r="M2835" s="2">
        <v>135467.60999999999</v>
      </c>
      <c r="N2835">
        <f t="shared" si="53"/>
        <v>424686.01000001119</v>
      </c>
      <c r="O2835" s="2" t="s">
        <v>4</v>
      </c>
    </row>
    <row r="2836" spans="1:15" x14ac:dyDescent="0.2">
      <c r="A2836">
        <v>93</v>
      </c>
      <c r="B2836">
        <v>6</v>
      </c>
      <c r="C2836">
        <v>11</v>
      </c>
      <c r="D2836" s="2">
        <v>3</v>
      </c>
      <c r="E2836" s="2">
        <v>2</v>
      </c>
      <c r="F2836" s="2" t="s">
        <v>5</v>
      </c>
      <c r="G2836" s="2">
        <v>515.79999999979998</v>
      </c>
      <c r="H2836" s="2" t="s">
        <v>16</v>
      </c>
      <c r="I2836" s="2">
        <v>1416861.00000001</v>
      </c>
      <c r="J2836" s="2">
        <v>1000</v>
      </c>
      <c r="K2836" s="2">
        <v>20</v>
      </c>
      <c r="L2836" s="2">
        <v>0</v>
      </c>
      <c r="M2836" s="2">
        <v>118308.81</v>
      </c>
      <c r="N2836">
        <f t="shared" si="53"/>
        <v>1535685.6100000099</v>
      </c>
      <c r="O2836" s="2" t="s">
        <v>4</v>
      </c>
    </row>
    <row r="2837" spans="1:15" x14ac:dyDescent="0.2">
      <c r="A2837">
        <v>94</v>
      </c>
      <c r="B2837">
        <v>6</v>
      </c>
      <c r="C2837">
        <v>10</v>
      </c>
      <c r="D2837" s="2">
        <v>2</v>
      </c>
      <c r="E2837" s="2">
        <v>2</v>
      </c>
      <c r="F2837" s="2" t="s">
        <v>5</v>
      </c>
      <c r="G2837" s="2">
        <v>446.600000000075</v>
      </c>
      <c r="H2837" s="2" t="s">
        <v>16</v>
      </c>
      <c r="I2837" s="2">
        <v>711301.00000002002</v>
      </c>
      <c r="J2837" s="2">
        <v>1000</v>
      </c>
      <c r="K2837" s="2">
        <v>20</v>
      </c>
      <c r="L2837" s="2">
        <v>0</v>
      </c>
      <c r="M2837" s="2">
        <v>104827.61</v>
      </c>
      <c r="N2837">
        <f t="shared" si="53"/>
        <v>816575.2100000201</v>
      </c>
      <c r="O2837" s="2" t="s">
        <v>4</v>
      </c>
    </row>
    <row r="2838" spans="1:15" x14ac:dyDescent="0.2">
      <c r="A2838">
        <v>95</v>
      </c>
      <c r="B2838">
        <v>6</v>
      </c>
      <c r="C2838">
        <v>12</v>
      </c>
      <c r="D2838" s="2">
        <v>2</v>
      </c>
      <c r="E2838" s="2">
        <v>2</v>
      </c>
      <c r="F2838" s="2" t="s">
        <v>5</v>
      </c>
      <c r="G2838" s="2">
        <v>605.60000000045</v>
      </c>
      <c r="H2838" s="2" t="s">
        <v>16</v>
      </c>
      <c r="I2838" s="2">
        <v>1174435.99999999</v>
      </c>
      <c r="J2838" s="2">
        <v>1000</v>
      </c>
      <c r="K2838" s="2">
        <v>20</v>
      </c>
      <c r="L2838" s="2">
        <v>0</v>
      </c>
      <c r="M2838" s="2">
        <v>138989.21</v>
      </c>
      <c r="N2838">
        <f t="shared" si="53"/>
        <v>1314030.8099999905</v>
      </c>
      <c r="O2838" s="2" t="s">
        <v>4</v>
      </c>
    </row>
    <row r="2839" spans="1:15" x14ac:dyDescent="0.2">
      <c r="A2839">
        <v>96</v>
      </c>
      <c r="B2839">
        <v>6</v>
      </c>
      <c r="C2839">
        <v>8</v>
      </c>
      <c r="D2839" s="2">
        <v>3</v>
      </c>
      <c r="E2839" s="2">
        <v>2</v>
      </c>
      <c r="F2839" s="2" t="s">
        <v>5</v>
      </c>
      <c r="G2839" s="2">
        <v>301.39999999967398</v>
      </c>
      <c r="H2839" s="2" t="s">
        <v>16</v>
      </c>
      <c r="I2839" s="2">
        <v>267707.00000000099</v>
      </c>
      <c r="J2839" s="2">
        <v>1000</v>
      </c>
      <c r="K2839" s="2">
        <v>20</v>
      </c>
      <c r="L2839" s="2">
        <v>0</v>
      </c>
      <c r="M2839" s="2">
        <v>132548.01</v>
      </c>
      <c r="N2839">
        <f t="shared" si="53"/>
        <v>400556.41000000067</v>
      </c>
      <c r="O2839" s="2" t="s">
        <v>4</v>
      </c>
    </row>
    <row r="2840" spans="1:15" x14ac:dyDescent="0.2">
      <c r="A2840">
        <v>97</v>
      </c>
      <c r="B2840">
        <v>6</v>
      </c>
      <c r="C2840">
        <v>9</v>
      </c>
      <c r="D2840" s="2">
        <v>3</v>
      </c>
      <c r="E2840" s="2">
        <v>2</v>
      </c>
      <c r="F2840" s="2" t="s">
        <v>5</v>
      </c>
      <c r="G2840" s="2">
        <v>374.59999999995802</v>
      </c>
      <c r="H2840" s="2" t="s">
        <v>16</v>
      </c>
      <c r="I2840" s="2">
        <v>460260.00000000501</v>
      </c>
      <c r="J2840" s="2">
        <v>1000</v>
      </c>
      <c r="K2840" s="2">
        <v>20</v>
      </c>
      <c r="L2840" s="2">
        <v>0</v>
      </c>
      <c r="M2840" s="2">
        <v>100987.21</v>
      </c>
      <c r="N2840">
        <f t="shared" si="53"/>
        <v>561621.81000000495</v>
      </c>
      <c r="O2840" s="2" t="s">
        <v>4</v>
      </c>
    </row>
    <row r="2841" spans="1:15" x14ac:dyDescent="0.2">
      <c r="A2841">
        <v>98</v>
      </c>
      <c r="B2841">
        <v>6</v>
      </c>
      <c r="C2841">
        <v>10</v>
      </c>
      <c r="D2841" s="2">
        <v>3</v>
      </c>
      <c r="E2841" s="2">
        <v>2</v>
      </c>
      <c r="F2841" s="2" t="s">
        <v>5</v>
      </c>
      <c r="G2841" s="2">
        <v>496.19999999990199</v>
      </c>
      <c r="H2841" s="2" t="s">
        <v>16</v>
      </c>
      <c r="I2841" s="2">
        <v>385244</v>
      </c>
      <c r="J2841" s="2">
        <v>1000</v>
      </c>
      <c r="K2841" s="2">
        <v>20</v>
      </c>
      <c r="L2841" s="2">
        <v>0</v>
      </c>
      <c r="M2841" s="2">
        <v>129787.21</v>
      </c>
      <c r="N2841">
        <f t="shared" si="53"/>
        <v>515527.40999999992</v>
      </c>
      <c r="O2841" s="2" t="s">
        <v>4</v>
      </c>
    </row>
    <row r="2842" spans="1:15" x14ac:dyDescent="0.2">
      <c r="A2842">
        <v>99</v>
      </c>
      <c r="B2842">
        <v>6</v>
      </c>
      <c r="C2842">
        <v>11</v>
      </c>
      <c r="D2842" s="2">
        <v>2</v>
      </c>
      <c r="E2842" s="2">
        <v>2</v>
      </c>
      <c r="F2842" s="2" t="s">
        <v>5</v>
      </c>
      <c r="G2842" s="2">
        <v>500.59999999980698</v>
      </c>
      <c r="H2842" s="2" t="s">
        <v>16</v>
      </c>
      <c r="I2842" s="2">
        <v>2095169</v>
      </c>
      <c r="J2842" s="2">
        <v>1000</v>
      </c>
      <c r="K2842" s="2">
        <v>20</v>
      </c>
      <c r="L2842" s="2">
        <v>0</v>
      </c>
      <c r="M2842" s="2">
        <v>104828.81</v>
      </c>
      <c r="N2842">
        <f t="shared" si="53"/>
        <v>2200498.4099999997</v>
      </c>
      <c r="O2842" s="2" t="s">
        <v>4</v>
      </c>
    </row>
    <row r="2843" spans="1:15" x14ac:dyDescent="0.2">
      <c r="A2843">
        <v>70</v>
      </c>
      <c r="B2843">
        <v>6</v>
      </c>
      <c r="C2843">
        <v>6</v>
      </c>
      <c r="D2843" s="2">
        <v>3</v>
      </c>
      <c r="E2843" s="2">
        <v>2</v>
      </c>
      <c r="F2843" s="2" t="s">
        <v>5</v>
      </c>
      <c r="G2843" s="2">
        <v>916.60000000004504</v>
      </c>
      <c r="H2843" s="2" t="s">
        <v>16</v>
      </c>
      <c r="I2843" s="2">
        <v>68301.999999988504</v>
      </c>
      <c r="J2843" s="2">
        <v>1000</v>
      </c>
      <c r="K2843" s="2">
        <v>100</v>
      </c>
      <c r="L2843" s="2">
        <v>0</v>
      </c>
      <c r="M2843" s="2">
        <v>182827.61</v>
      </c>
      <c r="N2843">
        <f t="shared" ref="N2843:N2872" si="57">G2843+I2843+M2843</f>
        <v>252046.20999998855</v>
      </c>
      <c r="O2843" s="2" t="s">
        <v>4</v>
      </c>
    </row>
    <row r="2844" spans="1:15" x14ac:dyDescent="0.2">
      <c r="A2844">
        <v>71</v>
      </c>
      <c r="B2844">
        <v>6</v>
      </c>
      <c r="C2844">
        <v>7</v>
      </c>
      <c r="D2844" s="2">
        <v>2</v>
      </c>
      <c r="E2844" s="2">
        <v>2</v>
      </c>
      <c r="F2844" s="2" t="s">
        <v>5</v>
      </c>
      <c r="G2844" s="2">
        <v>840.79999999993095</v>
      </c>
      <c r="H2844" s="2" t="s">
        <v>16</v>
      </c>
      <c r="I2844" s="2">
        <v>212421.000000006</v>
      </c>
      <c r="J2844" s="2">
        <v>1000</v>
      </c>
      <c r="K2844" s="2">
        <v>100</v>
      </c>
      <c r="L2844" s="2">
        <v>0</v>
      </c>
      <c r="M2844" s="2">
        <v>196509.61</v>
      </c>
      <c r="N2844">
        <f t="shared" si="57"/>
        <v>409771.41000000591</v>
      </c>
      <c r="O2844" s="2" t="s">
        <v>4</v>
      </c>
    </row>
    <row r="2845" spans="1:15" x14ac:dyDescent="0.2">
      <c r="A2845">
        <v>72</v>
      </c>
      <c r="B2845">
        <v>6</v>
      </c>
      <c r="C2845">
        <v>7</v>
      </c>
      <c r="D2845" s="2">
        <v>2</v>
      </c>
      <c r="E2845" s="2">
        <v>2</v>
      </c>
      <c r="F2845" s="2" t="s">
        <v>5</v>
      </c>
      <c r="G2845" s="2">
        <v>686.80000000043196</v>
      </c>
      <c r="H2845" s="2" t="s">
        <v>16</v>
      </c>
      <c r="I2845" s="2">
        <v>262078.00000000201</v>
      </c>
      <c r="J2845" s="2">
        <v>1000</v>
      </c>
      <c r="K2845" s="2">
        <v>100</v>
      </c>
      <c r="L2845" s="2">
        <v>0</v>
      </c>
      <c r="M2845" s="2">
        <v>215907.61</v>
      </c>
      <c r="N2845">
        <f t="shared" si="57"/>
        <v>478672.41000000242</v>
      </c>
      <c r="O2845" s="2" t="s">
        <v>4</v>
      </c>
    </row>
    <row r="2846" spans="1:15" x14ac:dyDescent="0.2">
      <c r="A2846">
        <v>73</v>
      </c>
      <c r="B2846">
        <v>6</v>
      </c>
      <c r="C2846">
        <v>7</v>
      </c>
      <c r="D2846" s="2">
        <v>3</v>
      </c>
      <c r="E2846" s="2">
        <v>2</v>
      </c>
      <c r="F2846" s="2" t="s">
        <v>5</v>
      </c>
      <c r="G2846" s="2">
        <v>696.99999999990303</v>
      </c>
      <c r="H2846" s="2" t="s">
        <v>16</v>
      </c>
      <c r="I2846" s="2">
        <v>220828.999999981</v>
      </c>
      <c r="J2846" s="2">
        <v>1000</v>
      </c>
      <c r="K2846" s="2">
        <v>100</v>
      </c>
      <c r="L2846" s="2">
        <v>0</v>
      </c>
      <c r="M2846" s="2">
        <v>183548.01</v>
      </c>
      <c r="N2846">
        <f t="shared" si="57"/>
        <v>405074.00999998092</v>
      </c>
      <c r="O2846" s="2" t="s">
        <v>4</v>
      </c>
    </row>
    <row r="2847" spans="1:15" x14ac:dyDescent="0.2">
      <c r="A2847">
        <v>74</v>
      </c>
      <c r="B2847">
        <v>6</v>
      </c>
      <c r="C2847">
        <v>9</v>
      </c>
      <c r="D2847" s="2">
        <v>3</v>
      </c>
      <c r="E2847" s="2">
        <v>2</v>
      </c>
      <c r="F2847" s="2" t="s">
        <v>5</v>
      </c>
      <c r="G2847" s="2">
        <v>767.00000000009504</v>
      </c>
      <c r="H2847" s="2" t="s">
        <v>16</v>
      </c>
      <c r="I2847" s="2">
        <v>641922.99999999104</v>
      </c>
      <c r="J2847" s="2">
        <v>1000</v>
      </c>
      <c r="K2847" s="2">
        <v>100</v>
      </c>
      <c r="L2847" s="2">
        <v>0</v>
      </c>
      <c r="M2847" s="2">
        <v>209308.41</v>
      </c>
      <c r="N2847">
        <f t="shared" si="57"/>
        <v>851998.40999999119</v>
      </c>
      <c r="O2847" s="2" t="s">
        <v>4</v>
      </c>
    </row>
    <row r="2848" spans="1:15" x14ac:dyDescent="0.2">
      <c r="A2848">
        <v>75</v>
      </c>
      <c r="B2848">
        <v>6</v>
      </c>
      <c r="C2848">
        <v>7</v>
      </c>
      <c r="D2848" s="2">
        <v>3</v>
      </c>
      <c r="E2848" s="2">
        <v>2</v>
      </c>
      <c r="F2848" s="2" t="s">
        <v>5</v>
      </c>
      <c r="G2848" s="2">
        <v>442.80000000007601</v>
      </c>
      <c r="H2848" s="2" t="s">
        <v>16</v>
      </c>
      <c r="I2848" s="2">
        <v>188826.000000006</v>
      </c>
      <c r="J2848" s="2">
        <v>1000</v>
      </c>
      <c r="K2848" s="2">
        <v>100</v>
      </c>
      <c r="L2848" s="2">
        <v>0</v>
      </c>
      <c r="M2848" s="2">
        <v>210228.81</v>
      </c>
      <c r="N2848">
        <f t="shared" si="57"/>
        <v>399497.61000000604</v>
      </c>
      <c r="O2848" s="2" t="s">
        <v>4</v>
      </c>
    </row>
    <row r="2849" spans="1:15" x14ac:dyDescent="0.2">
      <c r="A2849">
        <v>76</v>
      </c>
      <c r="B2849">
        <v>6</v>
      </c>
      <c r="C2849">
        <v>8</v>
      </c>
      <c r="D2849" s="2">
        <v>3</v>
      </c>
      <c r="E2849" s="2">
        <v>2</v>
      </c>
      <c r="F2849" s="2" t="s">
        <v>5</v>
      </c>
      <c r="G2849" s="2">
        <v>657.20000000020195</v>
      </c>
      <c r="H2849" s="2" t="s">
        <v>16</v>
      </c>
      <c r="I2849" s="2">
        <v>207245</v>
      </c>
      <c r="J2849" s="2">
        <v>1000</v>
      </c>
      <c r="K2849" s="2">
        <v>100</v>
      </c>
      <c r="L2849" s="2">
        <v>0</v>
      </c>
      <c r="M2849" s="2">
        <v>185828.41</v>
      </c>
      <c r="N2849">
        <f t="shared" si="57"/>
        <v>393730.61000000022</v>
      </c>
      <c r="O2849" s="2" t="s">
        <v>4</v>
      </c>
    </row>
    <row r="2850" spans="1:15" x14ac:dyDescent="0.2">
      <c r="A2850">
        <v>77</v>
      </c>
      <c r="B2850">
        <v>6</v>
      </c>
      <c r="C2850">
        <v>8</v>
      </c>
      <c r="D2850" s="2">
        <v>3</v>
      </c>
      <c r="E2850" s="2">
        <v>2</v>
      </c>
      <c r="F2850" s="2" t="s">
        <v>5</v>
      </c>
      <c r="G2850" s="2">
        <v>517.59999999951799</v>
      </c>
      <c r="H2850" s="2" t="s">
        <v>16</v>
      </c>
      <c r="I2850" s="2">
        <v>554278.99999997998</v>
      </c>
      <c r="J2850" s="2">
        <v>1000</v>
      </c>
      <c r="K2850" s="2">
        <v>100</v>
      </c>
      <c r="L2850" s="2">
        <v>0</v>
      </c>
      <c r="M2850" s="2">
        <v>182947.61</v>
      </c>
      <c r="N2850">
        <f t="shared" si="57"/>
        <v>737744.20999997947</v>
      </c>
      <c r="O2850" s="2" t="s">
        <v>4</v>
      </c>
    </row>
    <row r="2851" spans="1:15" x14ac:dyDescent="0.2">
      <c r="A2851">
        <v>78</v>
      </c>
      <c r="B2851">
        <v>6</v>
      </c>
      <c r="C2851">
        <v>8</v>
      </c>
      <c r="D2851" s="2">
        <v>3</v>
      </c>
      <c r="E2851" s="2">
        <v>2</v>
      </c>
      <c r="F2851" s="2" t="s">
        <v>5</v>
      </c>
      <c r="G2851" s="2">
        <v>411.19999999992302</v>
      </c>
      <c r="H2851" s="2" t="s">
        <v>16</v>
      </c>
      <c r="I2851" s="2">
        <v>251448.000000011</v>
      </c>
      <c r="J2851" s="2">
        <v>1000</v>
      </c>
      <c r="K2851" s="2">
        <v>100</v>
      </c>
      <c r="L2851" s="2">
        <v>0</v>
      </c>
      <c r="M2851" s="2">
        <v>210188.41</v>
      </c>
      <c r="N2851">
        <f t="shared" si="57"/>
        <v>462047.61000001093</v>
      </c>
      <c r="O2851" s="2" t="s">
        <v>4</v>
      </c>
    </row>
    <row r="2852" spans="1:15" x14ac:dyDescent="0.2">
      <c r="A2852">
        <v>79</v>
      </c>
      <c r="B2852">
        <v>6</v>
      </c>
      <c r="C2852">
        <v>8</v>
      </c>
      <c r="D2852" s="2">
        <v>3</v>
      </c>
      <c r="E2852" s="2">
        <v>2</v>
      </c>
      <c r="F2852" s="2" t="s">
        <v>5</v>
      </c>
      <c r="G2852" s="2">
        <v>394.20000000021099</v>
      </c>
      <c r="H2852" s="2" t="s">
        <v>16</v>
      </c>
      <c r="I2852" s="2">
        <v>178140.00000001301</v>
      </c>
      <c r="J2852" s="2">
        <v>1000</v>
      </c>
      <c r="K2852" s="2">
        <v>100</v>
      </c>
      <c r="L2852" s="2">
        <v>0</v>
      </c>
      <c r="M2852" s="2">
        <v>203147.61</v>
      </c>
      <c r="N2852">
        <f t="shared" si="57"/>
        <v>381681.81000001321</v>
      </c>
      <c r="O2852" s="2" t="s">
        <v>4</v>
      </c>
    </row>
    <row r="2853" spans="1:15" x14ac:dyDescent="0.2">
      <c r="A2853">
        <v>80</v>
      </c>
      <c r="B2853">
        <v>6</v>
      </c>
      <c r="C2853">
        <v>7</v>
      </c>
      <c r="D2853" s="2">
        <v>3</v>
      </c>
      <c r="E2853" s="2">
        <v>2</v>
      </c>
      <c r="F2853" s="2" t="s">
        <v>5</v>
      </c>
      <c r="G2853" s="2">
        <v>306.60000000004601</v>
      </c>
      <c r="H2853" s="2" t="s">
        <v>16</v>
      </c>
      <c r="I2853" s="2">
        <v>148730</v>
      </c>
      <c r="J2853" s="2">
        <v>1000</v>
      </c>
      <c r="K2853" s="2">
        <v>100</v>
      </c>
      <c r="L2853" s="2">
        <v>0</v>
      </c>
      <c r="M2853" s="2">
        <v>212387.61</v>
      </c>
      <c r="N2853">
        <f t="shared" si="57"/>
        <v>361424.21</v>
      </c>
      <c r="O2853" s="2" t="s">
        <v>4</v>
      </c>
    </row>
    <row r="2854" spans="1:15" x14ac:dyDescent="0.2">
      <c r="A2854">
        <v>81</v>
      </c>
      <c r="B2854">
        <v>6</v>
      </c>
      <c r="C2854">
        <v>8</v>
      </c>
      <c r="D2854" s="2">
        <v>3</v>
      </c>
      <c r="E2854" s="2">
        <v>2</v>
      </c>
      <c r="F2854" s="2" t="s">
        <v>5</v>
      </c>
      <c r="G2854" s="2">
        <v>372.600000000389</v>
      </c>
      <c r="H2854" s="2" t="s">
        <v>16</v>
      </c>
      <c r="I2854" s="2">
        <v>307187.99999999598</v>
      </c>
      <c r="J2854" s="2">
        <v>1000</v>
      </c>
      <c r="K2854" s="2">
        <v>100</v>
      </c>
      <c r="L2854" s="2">
        <v>0</v>
      </c>
      <c r="M2854" s="2">
        <v>183548.01</v>
      </c>
      <c r="N2854">
        <f t="shared" si="57"/>
        <v>491108.60999999638</v>
      </c>
      <c r="O2854" s="2" t="s">
        <v>4</v>
      </c>
    </row>
    <row r="2855" spans="1:15" x14ac:dyDescent="0.2">
      <c r="A2855">
        <v>82</v>
      </c>
      <c r="B2855">
        <v>6</v>
      </c>
      <c r="C2855">
        <v>8</v>
      </c>
      <c r="D2855" s="2">
        <v>2</v>
      </c>
      <c r="E2855" s="2">
        <v>2</v>
      </c>
      <c r="F2855" s="2" t="s">
        <v>5</v>
      </c>
      <c r="G2855" s="2">
        <v>377.99999999990098</v>
      </c>
      <c r="H2855" s="2" t="s">
        <v>16</v>
      </c>
      <c r="I2855" s="2">
        <v>516832.99999999098</v>
      </c>
      <c r="J2855" s="2">
        <v>1000</v>
      </c>
      <c r="K2855" s="2">
        <v>100</v>
      </c>
      <c r="L2855" s="2">
        <v>0</v>
      </c>
      <c r="M2855" s="2">
        <v>212747.21</v>
      </c>
      <c r="N2855">
        <f t="shared" si="57"/>
        <v>729958.20999999088</v>
      </c>
      <c r="O2855" s="2" t="s">
        <v>4</v>
      </c>
    </row>
    <row r="2856" spans="1:15" x14ac:dyDescent="0.2">
      <c r="A2856">
        <v>83</v>
      </c>
      <c r="B2856">
        <v>6</v>
      </c>
      <c r="C2856">
        <v>9</v>
      </c>
      <c r="D2856" s="2">
        <v>2</v>
      </c>
      <c r="E2856" s="2">
        <v>2</v>
      </c>
      <c r="F2856" s="2" t="s">
        <v>5</v>
      </c>
      <c r="G2856" s="2">
        <v>451.20000000018501</v>
      </c>
      <c r="H2856" s="2" t="s">
        <v>16</v>
      </c>
      <c r="I2856" s="2">
        <v>413190.00000001403</v>
      </c>
      <c r="J2856" s="2">
        <v>1000</v>
      </c>
      <c r="K2856" s="2">
        <v>100</v>
      </c>
      <c r="L2856" s="2">
        <v>0</v>
      </c>
      <c r="M2856" s="2">
        <v>184427.61</v>
      </c>
      <c r="N2856">
        <f t="shared" si="57"/>
        <v>598068.81000001426</v>
      </c>
      <c r="O2856" s="2" t="s">
        <v>4</v>
      </c>
    </row>
    <row r="2857" spans="1:15" x14ac:dyDescent="0.2">
      <c r="A2857">
        <v>84</v>
      </c>
      <c r="B2857">
        <v>6</v>
      </c>
      <c r="C2857">
        <v>10</v>
      </c>
      <c r="D2857" s="2">
        <v>2</v>
      </c>
      <c r="E2857" s="2">
        <v>2</v>
      </c>
      <c r="F2857" s="2" t="s">
        <v>5</v>
      </c>
      <c r="G2857" s="2">
        <v>503.80000000060897</v>
      </c>
      <c r="H2857" s="2" t="s">
        <v>16</v>
      </c>
      <c r="I2857" s="2">
        <v>474711.999999983</v>
      </c>
      <c r="J2857" s="2">
        <v>1000</v>
      </c>
      <c r="K2857" s="2">
        <v>100</v>
      </c>
      <c r="L2857" s="2">
        <v>0</v>
      </c>
      <c r="M2857" s="2">
        <v>217827.61</v>
      </c>
      <c r="N2857">
        <f t="shared" si="57"/>
        <v>693043.40999998362</v>
      </c>
      <c r="O2857" s="2" t="s">
        <v>4</v>
      </c>
    </row>
    <row r="2858" spans="1:15" x14ac:dyDescent="0.2">
      <c r="A2858">
        <v>85</v>
      </c>
      <c r="B2858">
        <v>6</v>
      </c>
      <c r="C2858">
        <v>8</v>
      </c>
      <c r="D2858" s="2">
        <v>2</v>
      </c>
      <c r="E2858" s="2">
        <v>2</v>
      </c>
      <c r="F2858" s="2" t="s">
        <v>5</v>
      </c>
      <c r="G2858" s="2">
        <v>348.000000000326</v>
      </c>
      <c r="H2858" s="2" t="s">
        <v>16</v>
      </c>
      <c r="I2858" s="2">
        <v>608902.00000000105</v>
      </c>
      <c r="J2858" s="2">
        <v>1000</v>
      </c>
      <c r="K2858" s="2">
        <v>100</v>
      </c>
      <c r="L2858" s="2">
        <v>0</v>
      </c>
      <c r="M2858" s="2">
        <v>213988.01</v>
      </c>
      <c r="N2858">
        <f t="shared" si="57"/>
        <v>823238.01000000141</v>
      </c>
      <c r="O2858" s="2" t="s">
        <v>4</v>
      </c>
    </row>
    <row r="2859" spans="1:15" x14ac:dyDescent="0.2">
      <c r="A2859">
        <v>86</v>
      </c>
      <c r="B2859">
        <v>6</v>
      </c>
      <c r="C2859">
        <v>10</v>
      </c>
      <c r="D2859" s="2">
        <v>3</v>
      </c>
      <c r="E2859" s="2">
        <v>2</v>
      </c>
      <c r="F2859" s="2" t="s">
        <v>5</v>
      </c>
      <c r="G2859" s="2">
        <v>468.00000000004599</v>
      </c>
      <c r="H2859" s="2" t="s">
        <v>16</v>
      </c>
      <c r="I2859" s="2">
        <v>645299.00000002305</v>
      </c>
      <c r="J2859" s="2">
        <v>1000</v>
      </c>
      <c r="K2859" s="2">
        <v>100</v>
      </c>
      <c r="L2859" s="2">
        <v>0</v>
      </c>
      <c r="M2859" s="2">
        <v>190706.81</v>
      </c>
      <c r="N2859">
        <f t="shared" si="57"/>
        <v>836473.81000002311</v>
      </c>
      <c r="O2859" s="2" t="s">
        <v>4</v>
      </c>
    </row>
    <row r="2860" spans="1:15" x14ac:dyDescent="0.2">
      <c r="A2860">
        <v>87</v>
      </c>
      <c r="B2860">
        <v>6</v>
      </c>
      <c r="C2860">
        <v>10</v>
      </c>
      <c r="D2860" s="2">
        <v>2</v>
      </c>
      <c r="E2860" s="2">
        <v>2</v>
      </c>
      <c r="F2860" s="2" t="s">
        <v>5</v>
      </c>
      <c r="G2860" s="2">
        <v>451.39999999968001</v>
      </c>
      <c r="H2860" s="2" t="s">
        <v>16</v>
      </c>
      <c r="I2860" s="2">
        <v>401485.00000000797</v>
      </c>
      <c r="J2860" s="2">
        <v>1000</v>
      </c>
      <c r="K2860" s="2">
        <v>100</v>
      </c>
      <c r="L2860" s="2">
        <v>0</v>
      </c>
      <c r="M2860" s="2">
        <v>218066.81</v>
      </c>
      <c r="N2860">
        <f t="shared" si="57"/>
        <v>620003.21000000765</v>
      </c>
      <c r="O2860" s="2" t="s">
        <v>4</v>
      </c>
    </row>
    <row r="2861" spans="1:15" x14ac:dyDescent="0.2">
      <c r="A2861">
        <v>88</v>
      </c>
      <c r="B2861">
        <v>6</v>
      </c>
      <c r="C2861">
        <v>10</v>
      </c>
      <c r="D2861" s="2">
        <v>3</v>
      </c>
      <c r="E2861" s="2">
        <v>2</v>
      </c>
      <c r="F2861" s="2" t="s">
        <v>5</v>
      </c>
      <c r="G2861" s="2">
        <v>490.20000000048498</v>
      </c>
      <c r="H2861" s="2" t="s">
        <v>16</v>
      </c>
      <c r="I2861" s="2">
        <v>672093.99999998696</v>
      </c>
      <c r="J2861" s="2">
        <v>1000</v>
      </c>
      <c r="K2861" s="2">
        <v>100</v>
      </c>
      <c r="L2861" s="2">
        <v>0</v>
      </c>
      <c r="M2861" s="2">
        <v>185428.01</v>
      </c>
      <c r="N2861">
        <f t="shared" si="57"/>
        <v>858012.20999998751</v>
      </c>
      <c r="O2861" s="2" t="s">
        <v>4</v>
      </c>
    </row>
    <row r="2862" spans="1:15" x14ac:dyDescent="0.2">
      <c r="A2862">
        <v>89</v>
      </c>
      <c r="B2862">
        <v>6</v>
      </c>
      <c r="C2862">
        <v>7</v>
      </c>
      <c r="D2862" s="2">
        <v>3</v>
      </c>
      <c r="E2862" s="2">
        <v>2</v>
      </c>
      <c r="F2862" s="2" t="s">
        <v>5</v>
      </c>
      <c r="G2862" s="2">
        <v>266.39999999993302</v>
      </c>
      <c r="H2862" s="2" t="s">
        <v>16</v>
      </c>
      <c r="I2862" s="2">
        <v>186243.000000019</v>
      </c>
      <c r="J2862" s="2">
        <v>1000</v>
      </c>
      <c r="K2862" s="2">
        <v>100</v>
      </c>
      <c r="L2862" s="2">
        <v>0</v>
      </c>
      <c r="M2862" s="2">
        <v>180788.41</v>
      </c>
      <c r="N2862">
        <f t="shared" si="57"/>
        <v>367297.81000001892</v>
      </c>
      <c r="O2862" s="2" t="s">
        <v>4</v>
      </c>
    </row>
    <row r="2863" spans="1:15" x14ac:dyDescent="0.2">
      <c r="A2863">
        <v>90</v>
      </c>
      <c r="B2863">
        <v>6</v>
      </c>
      <c r="C2863">
        <v>8</v>
      </c>
      <c r="D2863" s="2">
        <v>2</v>
      </c>
      <c r="E2863" s="2">
        <v>2</v>
      </c>
      <c r="F2863" s="2" t="s">
        <v>5</v>
      </c>
      <c r="G2863" s="2">
        <v>335.79999999986399</v>
      </c>
      <c r="H2863" s="2" t="s">
        <v>16</v>
      </c>
      <c r="I2863" s="2">
        <v>399008.00000000902</v>
      </c>
      <c r="J2863" s="2">
        <v>1000</v>
      </c>
      <c r="K2863" s="2">
        <v>100</v>
      </c>
      <c r="L2863" s="2">
        <v>0</v>
      </c>
      <c r="M2863" s="2">
        <v>210308.41</v>
      </c>
      <c r="N2863">
        <f t="shared" si="57"/>
        <v>609652.21000000893</v>
      </c>
      <c r="O2863" s="2" t="s">
        <v>4</v>
      </c>
    </row>
    <row r="2864" spans="1:15" x14ac:dyDescent="0.2">
      <c r="A2864">
        <v>91</v>
      </c>
      <c r="B2864">
        <v>6</v>
      </c>
      <c r="C2864">
        <v>8</v>
      </c>
      <c r="D2864" s="2">
        <v>3</v>
      </c>
      <c r="E2864" s="2">
        <v>2</v>
      </c>
      <c r="F2864" s="2" t="s">
        <v>5</v>
      </c>
      <c r="G2864" s="2">
        <v>335.59999999930301</v>
      </c>
      <c r="H2864" s="2" t="s">
        <v>16</v>
      </c>
      <c r="I2864" s="2">
        <v>151079.00000001001</v>
      </c>
      <c r="J2864" s="2">
        <v>1000</v>
      </c>
      <c r="K2864" s="2">
        <v>100</v>
      </c>
      <c r="L2864" s="2">
        <v>0</v>
      </c>
      <c r="M2864" s="2">
        <v>181466.81</v>
      </c>
      <c r="N2864">
        <f t="shared" si="57"/>
        <v>332881.41000000935</v>
      </c>
      <c r="O2864" s="2" t="s">
        <v>4</v>
      </c>
    </row>
    <row r="2865" spans="1:15" x14ac:dyDescent="0.2">
      <c r="A2865">
        <v>92</v>
      </c>
      <c r="B2865">
        <v>6</v>
      </c>
      <c r="C2865">
        <v>8</v>
      </c>
      <c r="D2865" s="2">
        <v>3</v>
      </c>
      <c r="E2865" s="2">
        <v>2</v>
      </c>
      <c r="F2865" s="2" t="s">
        <v>5</v>
      </c>
      <c r="G2865" s="2">
        <v>306.40000000019501</v>
      </c>
      <c r="H2865" s="2" t="s">
        <v>16</v>
      </c>
      <c r="I2865" s="2">
        <v>288912.000000011</v>
      </c>
      <c r="J2865" s="2">
        <v>1000</v>
      </c>
      <c r="K2865" s="2">
        <v>100</v>
      </c>
      <c r="L2865" s="2">
        <v>0</v>
      </c>
      <c r="M2865" s="2">
        <v>215467.21</v>
      </c>
      <c r="N2865">
        <f t="shared" si="57"/>
        <v>504685.61000001116</v>
      </c>
      <c r="O2865" s="2" t="s">
        <v>4</v>
      </c>
    </row>
    <row r="2866" spans="1:15" x14ac:dyDescent="0.2">
      <c r="A2866">
        <v>93</v>
      </c>
      <c r="B2866">
        <v>6</v>
      </c>
      <c r="C2866">
        <v>11</v>
      </c>
      <c r="D2866" s="2">
        <v>3</v>
      </c>
      <c r="E2866" s="2">
        <v>2</v>
      </c>
      <c r="F2866" s="2" t="s">
        <v>5</v>
      </c>
      <c r="G2866" s="2">
        <v>515.79999999979998</v>
      </c>
      <c r="H2866" s="2" t="s">
        <v>16</v>
      </c>
      <c r="I2866" s="2">
        <v>1416861.00000001</v>
      </c>
      <c r="J2866" s="2">
        <v>1000</v>
      </c>
      <c r="K2866" s="2">
        <v>100</v>
      </c>
      <c r="L2866" s="2">
        <v>0</v>
      </c>
      <c r="M2866" s="2">
        <v>198308.01</v>
      </c>
      <c r="N2866">
        <f t="shared" si="57"/>
        <v>1615684.8100000098</v>
      </c>
      <c r="O2866" s="2" t="s">
        <v>4</v>
      </c>
    </row>
    <row r="2867" spans="1:15" x14ac:dyDescent="0.2">
      <c r="A2867">
        <v>94</v>
      </c>
      <c r="B2867">
        <v>6</v>
      </c>
      <c r="C2867">
        <v>10</v>
      </c>
      <c r="D2867" s="2">
        <v>2</v>
      </c>
      <c r="E2867" s="2">
        <v>2</v>
      </c>
      <c r="F2867" s="2" t="s">
        <v>5</v>
      </c>
      <c r="G2867" s="2">
        <v>446.600000000075</v>
      </c>
      <c r="H2867" s="2" t="s">
        <v>16</v>
      </c>
      <c r="I2867" s="2">
        <v>711301.00000002002</v>
      </c>
      <c r="J2867" s="2">
        <v>1000</v>
      </c>
      <c r="K2867" s="2">
        <v>100</v>
      </c>
      <c r="L2867" s="2">
        <v>0</v>
      </c>
      <c r="M2867" s="2">
        <v>184827.21</v>
      </c>
      <c r="N2867">
        <f t="shared" si="57"/>
        <v>896574.81000002008</v>
      </c>
      <c r="O2867" s="2" t="s">
        <v>4</v>
      </c>
    </row>
    <row r="2868" spans="1:15" x14ac:dyDescent="0.2">
      <c r="A2868">
        <v>95</v>
      </c>
      <c r="B2868">
        <v>6</v>
      </c>
      <c r="C2868">
        <v>12</v>
      </c>
      <c r="D2868" s="2">
        <v>2</v>
      </c>
      <c r="E2868" s="2">
        <v>2</v>
      </c>
      <c r="F2868" s="2" t="s">
        <v>5</v>
      </c>
      <c r="G2868" s="2">
        <v>605.60000000045</v>
      </c>
      <c r="H2868" s="2" t="s">
        <v>16</v>
      </c>
      <c r="I2868" s="2">
        <v>1174435.99999999</v>
      </c>
      <c r="J2868" s="2">
        <v>1000</v>
      </c>
      <c r="K2868" s="2">
        <v>100</v>
      </c>
      <c r="L2868" s="2">
        <v>0</v>
      </c>
      <c r="M2868" s="2">
        <v>218988.81</v>
      </c>
      <c r="N2868">
        <f t="shared" si="57"/>
        <v>1394030.4099999906</v>
      </c>
      <c r="O2868" s="2" t="s">
        <v>4</v>
      </c>
    </row>
    <row r="2869" spans="1:15" x14ac:dyDescent="0.2">
      <c r="A2869">
        <v>96</v>
      </c>
      <c r="B2869">
        <v>6</v>
      </c>
      <c r="C2869">
        <v>8</v>
      </c>
      <c r="D2869" s="2">
        <v>3</v>
      </c>
      <c r="E2869" s="2">
        <v>2</v>
      </c>
      <c r="F2869" s="2" t="s">
        <v>5</v>
      </c>
      <c r="G2869" s="2">
        <v>301.39999999967398</v>
      </c>
      <c r="H2869" s="2" t="s">
        <v>16</v>
      </c>
      <c r="I2869" s="2">
        <v>267707.00000000099</v>
      </c>
      <c r="J2869" s="2">
        <v>1000</v>
      </c>
      <c r="K2869" s="2">
        <v>100</v>
      </c>
      <c r="L2869" s="2">
        <v>0</v>
      </c>
      <c r="M2869" s="2">
        <v>212547.61</v>
      </c>
      <c r="N2869">
        <f t="shared" si="57"/>
        <v>480556.01000000065</v>
      </c>
      <c r="O2869" s="2" t="s">
        <v>4</v>
      </c>
    </row>
    <row r="2870" spans="1:15" x14ac:dyDescent="0.2">
      <c r="A2870">
        <v>97</v>
      </c>
      <c r="B2870">
        <v>6</v>
      </c>
      <c r="C2870">
        <v>9</v>
      </c>
      <c r="D2870" s="2">
        <v>3</v>
      </c>
      <c r="E2870" s="2">
        <v>2</v>
      </c>
      <c r="F2870" s="2" t="s">
        <v>5</v>
      </c>
      <c r="G2870" s="2">
        <v>374.59999999995802</v>
      </c>
      <c r="H2870" s="2" t="s">
        <v>16</v>
      </c>
      <c r="I2870" s="2">
        <v>460260.00000000501</v>
      </c>
      <c r="J2870" s="2">
        <v>1000</v>
      </c>
      <c r="K2870" s="2">
        <v>100</v>
      </c>
      <c r="L2870" s="2">
        <v>0</v>
      </c>
      <c r="M2870" s="2">
        <v>180986.81</v>
      </c>
      <c r="N2870">
        <f t="shared" si="57"/>
        <v>641621.41000000504</v>
      </c>
      <c r="O2870" s="2" t="s">
        <v>4</v>
      </c>
    </row>
    <row r="2871" spans="1:15" x14ac:dyDescent="0.2">
      <c r="A2871">
        <v>98</v>
      </c>
      <c r="B2871">
        <v>6</v>
      </c>
      <c r="C2871">
        <v>10</v>
      </c>
      <c r="D2871" s="2">
        <v>3</v>
      </c>
      <c r="E2871" s="2">
        <v>2</v>
      </c>
      <c r="F2871" s="2" t="s">
        <v>5</v>
      </c>
      <c r="G2871" s="2">
        <v>496.19999999990199</v>
      </c>
      <c r="H2871" s="2" t="s">
        <v>16</v>
      </c>
      <c r="I2871" s="2">
        <v>385244</v>
      </c>
      <c r="J2871" s="2">
        <v>1000</v>
      </c>
      <c r="K2871" s="2">
        <v>100</v>
      </c>
      <c r="L2871" s="2">
        <v>0</v>
      </c>
      <c r="M2871" s="2">
        <v>209786.41</v>
      </c>
      <c r="N2871">
        <f t="shared" si="57"/>
        <v>595526.60999999987</v>
      </c>
      <c r="O2871" s="2" t="s">
        <v>4</v>
      </c>
    </row>
    <row r="2872" spans="1:15" x14ac:dyDescent="0.2">
      <c r="A2872">
        <v>99</v>
      </c>
      <c r="B2872">
        <v>6</v>
      </c>
      <c r="C2872">
        <v>11</v>
      </c>
      <c r="D2872" s="2">
        <v>2</v>
      </c>
      <c r="E2872" s="2">
        <v>2</v>
      </c>
      <c r="F2872" s="2" t="s">
        <v>5</v>
      </c>
      <c r="G2872" s="2">
        <v>500.59999999980698</v>
      </c>
      <c r="H2872" s="2" t="s">
        <v>16</v>
      </c>
      <c r="I2872" s="2">
        <v>2095169</v>
      </c>
      <c r="J2872" s="2">
        <v>1000</v>
      </c>
      <c r="K2872" s="2">
        <v>100</v>
      </c>
      <c r="L2872" s="2">
        <v>0</v>
      </c>
      <c r="M2872" s="2">
        <v>184828.41</v>
      </c>
      <c r="N2872">
        <f t="shared" si="57"/>
        <v>2280498.0099999998</v>
      </c>
      <c r="O2872" s="2" t="s">
        <v>4</v>
      </c>
    </row>
    <row r="2873" spans="1:15" x14ac:dyDescent="0.2">
      <c r="A2873">
        <v>70</v>
      </c>
      <c r="B2873">
        <v>6</v>
      </c>
      <c r="C2873">
        <v>6</v>
      </c>
      <c r="D2873" s="2">
        <v>3</v>
      </c>
      <c r="E2873" s="2">
        <v>2</v>
      </c>
      <c r="F2873" s="2" t="s">
        <v>5</v>
      </c>
      <c r="G2873" s="2">
        <v>916.60000000004504</v>
      </c>
      <c r="H2873" s="2" t="s">
        <v>16</v>
      </c>
      <c r="I2873" s="2">
        <v>68301.999999988504</v>
      </c>
      <c r="J2873" s="2">
        <v>1000</v>
      </c>
      <c r="K2873" s="2">
        <v>300</v>
      </c>
      <c r="L2873" s="2">
        <v>0</v>
      </c>
      <c r="M2873" s="2">
        <v>382827.61</v>
      </c>
      <c r="N2873">
        <f t="shared" ref="N2873:N2902" si="58">G2873+I2873+M2873</f>
        <v>452046.20999998855</v>
      </c>
      <c r="O2873" s="2" t="s">
        <v>4</v>
      </c>
    </row>
    <row r="2874" spans="1:15" x14ac:dyDescent="0.2">
      <c r="A2874">
        <v>71</v>
      </c>
      <c r="B2874">
        <v>6</v>
      </c>
      <c r="C2874">
        <v>7</v>
      </c>
      <c r="D2874" s="2">
        <v>2</v>
      </c>
      <c r="E2874" s="2">
        <v>2</v>
      </c>
      <c r="F2874" s="2" t="s">
        <v>5</v>
      </c>
      <c r="G2874" s="2">
        <v>840.79999999993095</v>
      </c>
      <c r="H2874" s="2" t="s">
        <v>16</v>
      </c>
      <c r="I2874" s="2">
        <v>212421.000000006</v>
      </c>
      <c r="J2874" s="2">
        <v>1000</v>
      </c>
      <c r="K2874" s="2">
        <v>300</v>
      </c>
      <c r="L2874" s="2">
        <v>0</v>
      </c>
      <c r="M2874" s="2">
        <v>396509.61</v>
      </c>
      <c r="N2874">
        <f t="shared" si="58"/>
        <v>609771.41000000597</v>
      </c>
      <c r="O2874" s="2" t="s">
        <v>4</v>
      </c>
    </row>
    <row r="2875" spans="1:15" x14ac:dyDescent="0.2">
      <c r="A2875">
        <v>72</v>
      </c>
      <c r="B2875">
        <v>6</v>
      </c>
      <c r="C2875">
        <v>7</v>
      </c>
      <c r="D2875" s="2">
        <v>2</v>
      </c>
      <c r="E2875" s="2">
        <v>2</v>
      </c>
      <c r="F2875" s="2" t="s">
        <v>5</v>
      </c>
      <c r="G2875" s="2">
        <v>686.80000000043196</v>
      </c>
      <c r="H2875" s="2" t="s">
        <v>16</v>
      </c>
      <c r="I2875" s="2">
        <v>262078.00000000201</v>
      </c>
      <c r="J2875" s="2">
        <v>1000</v>
      </c>
      <c r="K2875" s="2">
        <v>300</v>
      </c>
      <c r="L2875" s="2">
        <v>0</v>
      </c>
      <c r="M2875" s="2">
        <v>415907.61</v>
      </c>
      <c r="N2875">
        <f t="shared" si="58"/>
        <v>678672.41000000248</v>
      </c>
      <c r="O2875" s="2" t="s">
        <v>4</v>
      </c>
    </row>
    <row r="2876" spans="1:15" x14ac:dyDescent="0.2">
      <c r="A2876">
        <v>73</v>
      </c>
      <c r="B2876">
        <v>6</v>
      </c>
      <c r="C2876">
        <v>7</v>
      </c>
      <c r="D2876" s="2">
        <v>3</v>
      </c>
      <c r="E2876" s="2">
        <v>2</v>
      </c>
      <c r="F2876" s="2" t="s">
        <v>5</v>
      </c>
      <c r="G2876" s="2">
        <v>696.99999999990303</v>
      </c>
      <c r="H2876" s="2" t="s">
        <v>16</v>
      </c>
      <c r="I2876" s="2">
        <v>220828.999999981</v>
      </c>
      <c r="J2876" s="2">
        <v>1000</v>
      </c>
      <c r="K2876" s="2">
        <v>300</v>
      </c>
      <c r="L2876" s="2">
        <v>0</v>
      </c>
      <c r="M2876" s="2">
        <v>383548.01</v>
      </c>
      <c r="N2876">
        <f t="shared" si="58"/>
        <v>605074.00999998092</v>
      </c>
      <c r="O2876" s="2" t="s">
        <v>4</v>
      </c>
    </row>
    <row r="2877" spans="1:15" x14ac:dyDescent="0.2">
      <c r="A2877">
        <v>74</v>
      </c>
      <c r="B2877">
        <v>6</v>
      </c>
      <c r="C2877">
        <v>9</v>
      </c>
      <c r="D2877" s="2">
        <v>3</v>
      </c>
      <c r="E2877" s="2">
        <v>2</v>
      </c>
      <c r="F2877" s="2" t="s">
        <v>5</v>
      </c>
      <c r="G2877" s="2">
        <v>767.00000000009504</v>
      </c>
      <c r="H2877" s="2" t="s">
        <v>16</v>
      </c>
      <c r="I2877" s="2">
        <v>641922.99999999104</v>
      </c>
      <c r="J2877" s="2">
        <v>1000</v>
      </c>
      <c r="K2877" s="2">
        <v>300</v>
      </c>
      <c r="L2877" s="2">
        <v>0</v>
      </c>
      <c r="M2877" s="2">
        <v>409308.41</v>
      </c>
      <c r="N2877">
        <f t="shared" si="58"/>
        <v>1051998.4099999911</v>
      </c>
      <c r="O2877" s="2" t="s">
        <v>4</v>
      </c>
    </row>
    <row r="2878" spans="1:15" x14ac:dyDescent="0.2">
      <c r="A2878">
        <v>75</v>
      </c>
      <c r="B2878">
        <v>6</v>
      </c>
      <c r="C2878">
        <v>7</v>
      </c>
      <c r="D2878" s="2">
        <v>3</v>
      </c>
      <c r="E2878" s="2">
        <v>2</v>
      </c>
      <c r="F2878" s="2" t="s">
        <v>5</v>
      </c>
      <c r="G2878" s="2">
        <v>442.80000000007601</v>
      </c>
      <c r="H2878" s="2" t="s">
        <v>16</v>
      </c>
      <c r="I2878" s="2">
        <v>188826.000000006</v>
      </c>
      <c r="J2878" s="2">
        <v>1000</v>
      </c>
      <c r="K2878" s="2">
        <v>300</v>
      </c>
      <c r="L2878" s="2">
        <v>0</v>
      </c>
      <c r="M2878" s="2">
        <v>410228.81</v>
      </c>
      <c r="N2878">
        <f t="shared" si="58"/>
        <v>599497.61000000604</v>
      </c>
      <c r="O2878" s="2" t="s">
        <v>5</v>
      </c>
    </row>
    <row r="2879" spans="1:15" x14ac:dyDescent="0.2">
      <c r="A2879">
        <v>76</v>
      </c>
      <c r="B2879">
        <v>6</v>
      </c>
      <c r="C2879">
        <v>8</v>
      </c>
      <c r="D2879" s="2">
        <v>3</v>
      </c>
      <c r="E2879" s="2">
        <v>2</v>
      </c>
      <c r="F2879" s="2" t="s">
        <v>5</v>
      </c>
      <c r="G2879" s="2">
        <v>657.20000000020195</v>
      </c>
      <c r="H2879" s="2" t="s">
        <v>16</v>
      </c>
      <c r="I2879" s="2">
        <v>207245</v>
      </c>
      <c r="J2879" s="2">
        <v>1000</v>
      </c>
      <c r="K2879" s="2">
        <v>300</v>
      </c>
      <c r="L2879" s="2">
        <v>0</v>
      </c>
      <c r="M2879" s="2">
        <v>385828.41</v>
      </c>
      <c r="N2879">
        <f t="shared" si="58"/>
        <v>593730.61000000022</v>
      </c>
      <c r="O2879" s="2" t="s">
        <v>4</v>
      </c>
    </row>
    <row r="2880" spans="1:15" x14ac:dyDescent="0.2">
      <c r="A2880">
        <v>77</v>
      </c>
      <c r="B2880">
        <v>6</v>
      </c>
      <c r="C2880">
        <v>8</v>
      </c>
      <c r="D2880" s="2">
        <v>3</v>
      </c>
      <c r="E2880" s="2">
        <v>2</v>
      </c>
      <c r="F2880" s="2" t="s">
        <v>5</v>
      </c>
      <c r="G2880" s="2">
        <v>517.59999999951799</v>
      </c>
      <c r="H2880" s="2" t="s">
        <v>16</v>
      </c>
      <c r="I2880" s="2">
        <v>554278.99999997998</v>
      </c>
      <c r="J2880" s="2">
        <v>1000</v>
      </c>
      <c r="K2880" s="2">
        <v>300</v>
      </c>
      <c r="L2880" s="2">
        <v>0</v>
      </c>
      <c r="M2880" s="2">
        <v>382947.61</v>
      </c>
      <c r="N2880">
        <f t="shared" si="58"/>
        <v>937744.20999997947</v>
      </c>
      <c r="O2880" s="2" t="s">
        <v>5</v>
      </c>
    </row>
    <row r="2881" spans="1:15" x14ac:dyDescent="0.2">
      <c r="A2881">
        <v>78</v>
      </c>
      <c r="B2881">
        <v>6</v>
      </c>
      <c r="C2881">
        <v>8</v>
      </c>
      <c r="D2881" s="2">
        <v>3</v>
      </c>
      <c r="E2881" s="2">
        <v>2</v>
      </c>
      <c r="F2881" s="2" t="s">
        <v>5</v>
      </c>
      <c r="G2881" s="2">
        <v>411.19999999992302</v>
      </c>
      <c r="H2881" s="2" t="s">
        <v>16</v>
      </c>
      <c r="I2881" s="2">
        <v>251448.000000011</v>
      </c>
      <c r="J2881" s="2">
        <v>1000</v>
      </c>
      <c r="K2881" s="2">
        <v>300</v>
      </c>
      <c r="L2881" s="2">
        <v>0</v>
      </c>
      <c r="M2881" s="2">
        <v>410188.41</v>
      </c>
      <c r="N2881">
        <f t="shared" si="58"/>
        <v>662047.61000001093</v>
      </c>
      <c r="O2881" s="2" t="s">
        <v>4</v>
      </c>
    </row>
    <row r="2882" spans="1:15" x14ac:dyDescent="0.2">
      <c r="A2882">
        <v>79</v>
      </c>
      <c r="B2882">
        <v>6</v>
      </c>
      <c r="C2882">
        <v>8</v>
      </c>
      <c r="D2882" s="2">
        <v>3</v>
      </c>
      <c r="E2882" s="2">
        <v>2</v>
      </c>
      <c r="F2882" s="2" t="s">
        <v>5</v>
      </c>
      <c r="G2882" s="2">
        <v>394.20000000021099</v>
      </c>
      <c r="H2882" s="2" t="s">
        <v>16</v>
      </c>
      <c r="I2882" s="2">
        <v>178140.00000001301</v>
      </c>
      <c r="J2882" s="2">
        <v>1000</v>
      </c>
      <c r="K2882" s="2">
        <v>300</v>
      </c>
      <c r="L2882" s="2">
        <v>0</v>
      </c>
      <c r="M2882" s="2">
        <v>403147.61</v>
      </c>
      <c r="N2882">
        <f t="shared" si="58"/>
        <v>581681.81000001321</v>
      </c>
      <c r="O2882" s="2" t="s">
        <v>4</v>
      </c>
    </row>
    <row r="2883" spans="1:15" x14ac:dyDescent="0.2">
      <c r="A2883">
        <v>80</v>
      </c>
      <c r="B2883">
        <v>6</v>
      </c>
      <c r="C2883">
        <v>7</v>
      </c>
      <c r="D2883" s="2">
        <v>3</v>
      </c>
      <c r="E2883" s="2">
        <v>2</v>
      </c>
      <c r="F2883" s="2" t="s">
        <v>5</v>
      </c>
      <c r="G2883" s="2">
        <v>306.60000000004601</v>
      </c>
      <c r="H2883" s="2" t="s">
        <v>16</v>
      </c>
      <c r="I2883" s="2">
        <v>148730</v>
      </c>
      <c r="J2883" s="2">
        <v>1000</v>
      </c>
      <c r="K2883" s="2">
        <v>300</v>
      </c>
      <c r="L2883" s="2">
        <v>0</v>
      </c>
      <c r="M2883" s="2">
        <v>412387.61</v>
      </c>
      <c r="N2883">
        <f t="shared" si="58"/>
        <v>561424.21</v>
      </c>
      <c r="O2883" s="2" t="s">
        <v>4</v>
      </c>
    </row>
    <row r="2884" spans="1:15" x14ac:dyDescent="0.2">
      <c r="A2884">
        <v>81</v>
      </c>
      <c r="B2884">
        <v>6</v>
      </c>
      <c r="C2884">
        <v>8</v>
      </c>
      <c r="D2884" s="2">
        <v>3</v>
      </c>
      <c r="E2884" s="2">
        <v>2</v>
      </c>
      <c r="F2884" s="2" t="s">
        <v>5</v>
      </c>
      <c r="G2884" s="2">
        <v>372.600000000389</v>
      </c>
      <c r="H2884" s="2" t="s">
        <v>16</v>
      </c>
      <c r="I2884" s="2">
        <v>307187.99999999598</v>
      </c>
      <c r="J2884" s="2">
        <v>1000</v>
      </c>
      <c r="K2884" s="2">
        <v>300</v>
      </c>
      <c r="L2884" s="2">
        <v>0</v>
      </c>
      <c r="M2884" s="2">
        <v>383548.01</v>
      </c>
      <c r="N2884">
        <f t="shared" si="58"/>
        <v>691108.60999999638</v>
      </c>
      <c r="O2884" s="2" t="s">
        <v>4</v>
      </c>
    </row>
    <row r="2885" spans="1:15" x14ac:dyDescent="0.2">
      <c r="A2885">
        <v>82</v>
      </c>
      <c r="B2885">
        <v>6</v>
      </c>
      <c r="C2885">
        <v>8</v>
      </c>
      <c r="D2885" s="2">
        <v>2</v>
      </c>
      <c r="E2885" s="2">
        <v>2</v>
      </c>
      <c r="F2885" s="2" t="s">
        <v>5</v>
      </c>
      <c r="G2885" s="2">
        <v>377.99999999990098</v>
      </c>
      <c r="H2885" s="2" t="s">
        <v>16</v>
      </c>
      <c r="I2885" s="2">
        <v>516832.99999999098</v>
      </c>
      <c r="J2885" s="2">
        <v>1000</v>
      </c>
      <c r="K2885" s="2">
        <v>300</v>
      </c>
      <c r="L2885" s="2">
        <v>0</v>
      </c>
      <c r="M2885" s="2">
        <v>412747.21</v>
      </c>
      <c r="N2885">
        <f t="shared" si="58"/>
        <v>929958.20999999088</v>
      </c>
      <c r="O2885" s="2" t="s">
        <v>4</v>
      </c>
    </row>
    <row r="2886" spans="1:15" x14ac:dyDescent="0.2">
      <c r="A2886">
        <v>83</v>
      </c>
      <c r="B2886">
        <v>6</v>
      </c>
      <c r="C2886">
        <v>9</v>
      </c>
      <c r="D2886" s="2">
        <v>2</v>
      </c>
      <c r="E2886" s="2">
        <v>2</v>
      </c>
      <c r="F2886" s="2" t="s">
        <v>5</v>
      </c>
      <c r="G2886" s="2">
        <v>451.20000000018501</v>
      </c>
      <c r="H2886" s="2" t="s">
        <v>16</v>
      </c>
      <c r="I2886" s="2">
        <v>413190.00000001403</v>
      </c>
      <c r="J2886" s="2">
        <v>1000</v>
      </c>
      <c r="K2886" s="2">
        <v>300</v>
      </c>
      <c r="L2886" s="2">
        <v>0</v>
      </c>
      <c r="M2886" s="2">
        <v>384427.61</v>
      </c>
      <c r="N2886">
        <f t="shared" si="58"/>
        <v>798068.81000001426</v>
      </c>
      <c r="O2886" s="2" t="s">
        <v>4</v>
      </c>
    </row>
    <row r="2887" spans="1:15" x14ac:dyDescent="0.2">
      <c r="A2887">
        <v>84</v>
      </c>
      <c r="B2887">
        <v>6</v>
      </c>
      <c r="C2887">
        <v>10</v>
      </c>
      <c r="D2887" s="2">
        <v>2</v>
      </c>
      <c r="E2887" s="2">
        <v>2</v>
      </c>
      <c r="F2887" s="2" t="s">
        <v>5</v>
      </c>
      <c r="G2887" s="2">
        <v>503.80000000060897</v>
      </c>
      <c r="H2887" s="2" t="s">
        <v>16</v>
      </c>
      <c r="I2887" s="2">
        <v>474711.999999983</v>
      </c>
      <c r="J2887" s="2">
        <v>1000</v>
      </c>
      <c r="K2887" s="2">
        <v>300</v>
      </c>
      <c r="L2887" s="2">
        <v>0</v>
      </c>
      <c r="M2887" s="2">
        <v>417827.61</v>
      </c>
      <c r="N2887">
        <f t="shared" si="58"/>
        <v>893043.40999998362</v>
      </c>
      <c r="O2887" s="2" t="s">
        <v>4</v>
      </c>
    </row>
    <row r="2888" spans="1:15" x14ac:dyDescent="0.2">
      <c r="A2888">
        <v>85</v>
      </c>
      <c r="B2888">
        <v>6</v>
      </c>
      <c r="C2888">
        <v>8</v>
      </c>
      <c r="D2888" s="2">
        <v>2</v>
      </c>
      <c r="E2888" s="2">
        <v>2</v>
      </c>
      <c r="F2888" s="2" t="s">
        <v>5</v>
      </c>
      <c r="G2888" s="2">
        <v>348.000000000326</v>
      </c>
      <c r="H2888" s="2" t="s">
        <v>16</v>
      </c>
      <c r="I2888" s="2">
        <v>608902.00000000105</v>
      </c>
      <c r="J2888" s="2">
        <v>1000</v>
      </c>
      <c r="K2888" s="2">
        <v>300</v>
      </c>
      <c r="L2888" s="2">
        <v>0</v>
      </c>
      <c r="M2888" s="2">
        <v>413988.01</v>
      </c>
      <c r="N2888">
        <f t="shared" si="58"/>
        <v>1023238.0100000014</v>
      </c>
      <c r="O2888" s="2" t="s">
        <v>4</v>
      </c>
    </row>
    <row r="2889" spans="1:15" x14ac:dyDescent="0.2">
      <c r="A2889">
        <v>86</v>
      </c>
      <c r="B2889">
        <v>6</v>
      </c>
      <c r="C2889">
        <v>10</v>
      </c>
      <c r="D2889" s="2">
        <v>3</v>
      </c>
      <c r="E2889" s="2">
        <v>2</v>
      </c>
      <c r="F2889" s="2" t="s">
        <v>5</v>
      </c>
      <c r="G2889" s="2">
        <v>468.00000000004599</v>
      </c>
      <c r="H2889" s="2" t="s">
        <v>16</v>
      </c>
      <c r="I2889" s="2">
        <v>645299.00000002305</v>
      </c>
      <c r="J2889" s="2">
        <v>1000</v>
      </c>
      <c r="K2889" s="2">
        <v>300</v>
      </c>
      <c r="L2889" s="2">
        <v>0</v>
      </c>
      <c r="M2889" s="2">
        <v>390706.81</v>
      </c>
      <c r="N2889">
        <f t="shared" si="58"/>
        <v>1036473.8100000231</v>
      </c>
      <c r="O2889" s="2" t="s">
        <v>4</v>
      </c>
    </row>
    <row r="2890" spans="1:15" x14ac:dyDescent="0.2">
      <c r="A2890">
        <v>87</v>
      </c>
      <c r="B2890">
        <v>6</v>
      </c>
      <c r="C2890">
        <v>10</v>
      </c>
      <c r="D2890" s="2">
        <v>2</v>
      </c>
      <c r="E2890" s="2">
        <v>2</v>
      </c>
      <c r="F2890" s="2" t="s">
        <v>5</v>
      </c>
      <c r="G2890" s="2">
        <v>451.39999999968001</v>
      </c>
      <c r="H2890" s="2" t="s">
        <v>16</v>
      </c>
      <c r="I2890" s="2">
        <v>401485.00000000797</v>
      </c>
      <c r="J2890" s="2">
        <v>1000</v>
      </c>
      <c r="K2890" s="2">
        <v>300</v>
      </c>
      <c r="L2890" s="2">
        <v>0</v>
      </c>
      <c r="M2890" s="2">
        <v>418066.81</v>
      </c>
      <c r="N2890">
        <f t="shared" si="58"/>
        <v>820003.21000000765</v>
      </c>
      <c r="O2890" s="2" t="s">
        <v>4</v>
      </c>
    </row>
    <row r="2891" spans="1:15" x14ac:dyDescent="0.2">
      <c r="A2891">
        <v>88</v>
      </c>
      <c r="B2891">
        <v>6</v>
      </c>
      <c r="C2891">
        <v>10</v>
      </c>
      <c r="D2891" s="2">
        <v>3</v>
      </c>
      <c r="E2891" s="2">
        <v>2</v>
      </c>
      <c r="F2891" s="2" t="s">
        <v>5</v>
      </c>
      <c r="G2891" s="2">
        <v>490.20000000048498</v>
      </c>
      <c r="H2891" s="2" t="s">
        <v>16</v>
      </c>
      <c r="I2891" s="2">
        <v>672093.99999998696</v>
      </c>
      <c r="J2891" s="2">
        <v>1000</v>
      </c>
      <c r="K2891" s="2">
        <v>300</v>
      </c>
      <c r="L2891" s="2">
        <v>0</v>
      </c>
      <c r="M2891" s="2">
        <v>385428.01</v>
      </c>
      <c r="N2891">
        <f t="shared" si="58"/>
        <v>1058012.2099999874</v>
      </c>
      <c r="O2891" s="2" t="s">
        <v>4</v>
      </c>
    </row>
    <row r="2892" spans="1:15" x14ac:dyDescent="0.2">
      <c r="A2892">
        <v>89</v>
      </c>
      <c r="B2892">
        <v>6</v>
      </c>
      <c r="C2892">
        <v>7</v>
      </c>
      <c r="D2892" s="2">
        <v>3</v>
      </c>
      <c r="E2892" s="2">
        <v>2</v>
      </c>
      <c r="F2892" s="2" t="s">
        <v>5</v>
      </c>
      <c r="G2892" s="2">
        <v>266.39999999993302</v>
      </c>
      <c r="H2892" s="2" t="s">
        <v>16</v>
      </c>
      <c r="I2892" s="2">
        <v>186243.000000019</v>
      </c>
      <c r="J2892" s="2">
        <v>1000</v>
      </c>
      <c r="K2892" s="2">
        <v>300</v>
      </c>
      <c r="L2892" s="2">
        <v>0</v>
      </c>
      <c r="M2892" s="2">
        <v>380788.41</v>
      </c>
      <c r="N2892">
        <f t="shared" si="58"/>
        <v>567297.81000001892</v>
      </c>
      <c r="O2892" s="2" t="s">
        <v>4</v>
      </c>
    </row>
    <row r="2893" spans="1:15" x14ac:dyDescent="0.2">
      <c r="A2893">
        <v>90</v>
      </c>
      <c r="B2893">
        <v>6</v>
      </c>
      <c r="C2893">
        <v>8</v>
      </c>
      <c r="D2893" s="2">
        <v>2</v>
      </c>
      <c r="E2893" s="2">
        <v>2</v>
      </c>
      <c r="F2893" s="2" t="s">
        <v>5</v>
      </c>
      <c r="G2893" s="2">
        <v>335.79999999986399</v>
      </c>
      <c r="H2893" s="2" t="s">
        <v>16</v>
      </c>
      <c r="I2893" s="2">
        <v>399008.00000000902</v>
      </c>
      <c r="J2893" s="2">
        <v>1000</v>
      </c>
      <c r="K2893" s="2">
        <v>300</v>
      </c>
      <c r="L2893" s="2">
        <v>0</v>
      </c>
      <c r="M2893" s="2">
        <v>410308.41</v>
      </c>
      <c r="N2893">
        <f t="shared" si="58"/>
        <v>809652.21000000881</v>
      </c>
      <c r="O2893" s="2" t="s">
        <v>4</v>
      </c>
    </row>
    <row r="2894" spans="1:15" x14ac:dyDescent="0.2">
      <c r="A2894">
        <v>91</v>
      </c>
      <c r="B2894">
        <v>6</v>
      </c>
      <c r="C2894">
        <v>8</v>
      </c>
      <c r="D2894" s="2">
        <v>3</v>
      </c>
      <c r="E2894" s="2">
        <v>2</v>
      </c>
      <c r="F2894" s="2" t="s">
        <v>5</v>
      </c>
      <c r="G2894" s="2">
        <v>335.59999999930301</v>
      </c>
      <c r="H2894" s="2" t="s">
        <v>16</v>
      </c>
      <c r="I2894" s="2">
        <v>151079.00000001001</v>
      </c>
      <c r="J2894" s="2">
        <v>1000</v>
      </c>
      <c r="K2894" s="2">
        <v>300</v>
      </c>
      <c r="L2894" s="2">
        <v>0</v>
      </c>
      <c r="M2894" s="2">
        <v>381466.81</v>
      </c>
      <c r="N2894">
        <f t="shared" si="58"/>
        <v>532881.41000000935</v>
      </c>
      <c r="O2894" s="2" t="s">
        <v>4</v>
      </c>
    </row>
    <row r="2895" spans="1:15" x14ac:dyDescent="0.2">
      <c r="A2895">
        <v>92</v>
      </c>
      <c r="B2895">
        <v>6</v>
      </c>
      <c r="C2895">
        <v>8</v>
      </c>
      <c r="D2895" s="2">
        <v>3</v>
      </c>
      <c r="E2895" s="2">
        <v>2</v>
      </c>
      <c r="F2895" s="2" t="s">
        <v>5</v>
      </c>
      <c r="G2895" s="2">
        <v>306.40000000019501</v>
      </c>
      <c r="H2895" s="2" t="s">
        <v>16</v>
      </c>
      <c r="I2895" s="2">
        <v>288912.000000011</v>
      </c>
      <c r="J2895" s="2">
        <v>1000</v>
      </c>
      <c r="K2895" s="2">
        <v>300</v>
      </c>
      <c r="L2895" s="2">
        <v>0</v>
      </c>
      <c r="M2895" s="2">
        <v>415467.21</v>
      </c>
      <c r="N2895">
        <f t="shared" si="58"/>
        <v>704685.61000001128</v>
      </c>
      <c r="O2895" s="2" t="s">
        <v>4</v>
      </c>
    </row>
    <row r="2896" spans="1:15" x14ac:dyDescent="0.2">
      <c r="A2896">
        <v>93</v>
      </c>
      <c r="B2896">
        <v>6</v>
      </c>
      <c r="C2896">
        <v>11</v>
      </c>
      <c r="D2896" s="2">
        <v>3</v>
      </c>
      <c r="E2896" s="2">
        <v>2</v>
      </c>
      <c r="F2896" s="2" t="s">
        <v>5</v>
      </c>
      <c r="G2896" s="2">
        <v>515.79999999979998</v>
      </c>
      <c r="H2896" s="2" t="s">
        <v>16</v>
      </c>
      <c r="I2896" s="2">
        <v>1416861.00000001</v>
      </c>
      <c r="J2896" s="2">
        <v>1000</v>
      </c>
      <c r="K2896" s="2">
        <v>300</v>
      </c>
      <c r="L2896" s="2">
        <v>0</v>
      </c>
      <c r="M2896" s="2">
        <v>398308.01</v>
      </c>
      <c r="N2896">
        <f t="shared" si="58"/>
        <v>1815684.8100000098</v>
      </c>
      <c r="O2896" s="2" t="s">
        <v>4</v>
      </c>
    </row>
    <row r="2897" spans="1:15" x14ac:dyDescent="0.2">
      <c r="A2897">
        <v>94</v>
      </c>
      <c r="B2897">
        <v>6</v>
      </c>
      <c r="C2897">
        <v>10</v>
      </c>
      <c r="D2897" s="2">
        <v>2</v>
      </c>
      <c r="E2897" s="2">
        <v>2</v>
      </c>
      <c r="F2897" s="2" t="s">
        <v>5</v>
      </c>
      <c r="G2897" s="2">
        <v>446.600000000075</v>
      </c>
      <c r="H2897" s="2" t="s">
        <v>16</v>
      </c>
      <c r="I2897" s="2">
        <v>711301.00000002002</v>
      </c>
      <c r="J2897" s="2">
        <v>1000</v>
      </c>
      <c r="K2897" s="2">
        <v>300</v>
      </c>
      <c r="L2897" s="2">
        <v>0</v>
      </c>
      <c r="M2897" s="2">
        <v>384827.21</v>
      </c>
      <c r="N2897">
        <f t="shared" si="58"/>
        <v>1096574.8100000201</v>
      </c>
      <c r="O2897" s="2" t="s">
        <v>4</v>
      </c>
    </row>
    <row r="2898" spans="1:15" x14ac:dyDescent="0.2">
      <c r="A2898">
        <v>95</v>
      </c>
      <c r="B2898">
        <v>6</v>
      </c>
      <c r="C2898">
        <v>12</v>
      </c>
      <c r="D2898" s="2">
        <v>2</v>
      </c>
      <c r="E2898" s="2">
        <v>2</v>
      </c>
      <c r="F2898" s="2" t="s">
        <v>5</v>
      </c>
      <c r="G2898" s="2">
        <v>605.60000000045</v>
      </c>
      <c r="H2898" s="2" t="s">
        <v>16</v>
      </c>
      <c r="I2898" s="2">
        <v>1174435.99999999</v>
      </c>
      <c r="J2898" s="2">
        <v>1000</v>
      </c>
      <c r="K2898" s="2">
        <v>300</v>
      </c>
      <c r="L2898" s="2">
        <v>0</v>
      </c>
      <c r="M2898" s="2">
        <v>418988.81</v>
      </c>
      <c r="N2898">
        <f t="shared" si="58"/>
        <v>1594030.4099999906</v>
      </c>
      <c r="O2898" s="2" t="s">
        <v>4</v>
      </c>
    </row>
    <row r="2899" spans="1:15" x14ac:dyDescent="0.2">
      <c r="A2899">
        <v>96</v>
      </c>
      <c r="B2899">
        <v>6</v>
      </c>
      <c r="C2899">
        <v>8</v>
      </c>
      <c r="D2899" s="2">
        <v>3</v>
      </c>
      <c r="E2899" s="2">
        <v>2</v>
      </c>
      <c r="F2899" s="2" t="s">
        <v>5</v>
      </c>
      <c r="G2899" s="2">
        <v>301.39999999967398</v>
      </c>
      <c r="H2899" s="2" t="s">
        <v>16</v>
      </c>
      <c r="I2899" s="2">
        <v>267707.00000000099</v>
      </c>
      <c r="J2899" s="2">
        <v>1000</v>
      </c>
      <c r="K2899" s="2">
        <v>300</v>
      </c>
      <c r="L2899" s="2">
        <v>0</v>
      </c>
      <c r="M2899" s="2">
        <v>412547.61</v>
      </c>
      <c r="N2899">
        <f t="shared" si="58"/>
        <v>680556.01000000071</v>
      </c>
      <c r="O2899" s="2" t="s">
        <v>4</v>
      </c>
    </row>
    <row r="2900" spans="1:15" x14ac:dyDescent="0.2">
      <c r="A2900">
        <v>97</v>
      </c>
      <c r="B2900">
        <v>6</v>
      </c>
      <c r="C2900">
        <v>9</v>
      </c>
      <c r="D2900" s="2">
        <v>3</v>
      </c>
      <c r="E2900" s="2">
        <v>2</v>
      </c>
      <c r="F2900" s="2" t="s">
        <v>5</v>
      </c>
      <c r="G2900" s="2">
        <v>374.59999999995802</v>
      </c>
      <c r="H2900" s="2" t="s">
        <v>16</v>
      </c>
      <c r="I2900" s="2">
        <v>460260.00000000501</v>
      </c>
      <c r="J2900" s="2">
        <v>1000</v>
      </c>
      <c r="K2900" s="2">
        <v>300</v>
      </c>
      <c r="L2900" s="2">
        <v>0</v>
      </c>
      <c r="M2900" s="2">
        <v>380986.81</v>
      </c>
      <c r="N2900">
        <f t="shared" si="58"/>
        <v>841621.41000000504</v>
      </c>
      <c r="O2900" s="2" t="s">
        <v>4</v>
      </c>
    </row>
    <row r="2901" spans="1:15" x14ac:dyDescent="0.2">
      <c r="A2901">
        <v>98</v>
      </c>
      <c r="B2901">
        <v>6</v>
      </c>
      <c r="C2901">
        <v>10</v>
      </c>
      <c r="D2901" s="2">
        <v>3</v>
      </c>
      <c r="E2901" s="2">
        <v>2</v>
      </c>
      <c r="F2901" s="2" t="s">
        <v>5</v>
      </c>
      <c r="G2901" s="2">
        <v>496.19999999990199</v>
      </c>
      <c r="H2901" s="2" t="s">
        <v>16</v>
      </c>
      <c r="I2901" s="2">
        <v>385244</v>
      </c>
      <c r="J2901" s="2">
        <v>1000</v>
      </c>
      <c r="K2901" s="2">
        <v>300</v>
      </c>
      <c r="L2901" s="2">
        <v>0</v>
      </c>
      <c r="M2901" s="2">
        <v>409786.41</v>
      </c>
      <c r="N2901">
        <f t="shared" si="58"/>
        <v>795526.60999999987</v>
      </c>
      <c r="O2901" s="2" t="s">
        <v>4</v>
      </c>
    </row>
    <row r="2902" spans="1:15" x14ac:dyDescent="0.2">
      <c r="A2902">
        <v>99</v>
      </c>
      <c r="B2902">
        <v>6</v>
      </c>
      <c r="C2902">
        <v>11</v>
      </c>
      <c r="D2902" s="2">
        <v>2</v>
      </c>
      <c r="E2902" s="2">
        <v>2</v>
      </c>
      <c r="F2902" s="2" t="s">
        <v>5</v>
      </c>
      <c r="G2902" s="2">
        <v>500.59999999980698</v>
      </c>
      <c r="H2902" s="2" t="s">
        <v>16</v>
      </c>
      <c r="I2902" s="2">
        <v>2095169</v>
      </c>
      <c r="J2902" s="2">
        <v>1000</v>
      </c>
      <c r="K2902" s="2">
        <v>300</v>
      </c>
      <c r="L2902" s="2">
        <v>0</v>
      </c>
      <c r="M2902" s="2">
        <v>384828.41</v>
      </c>
      <c r="N2902">
        <f t="shared" si="58"/>
        <v>2480498.0099999998</v>
      </c>
      <c r="O2902" s="2" t="s">
        <v>4</v>
      </c>
    </row>
    <row r="2903" spans="1:15" x14ac:dyDescent="0.2">
      <c r="A2903">
        <v>70</v>
      </c>
      <c r="B2903">
        <v>6</v>
      </c>
      <c r="C2903">
        <v>6</v>
      </c>
      <c r="D2903" s="2">
        <v>3</v>
      </c>
      <c r="E2903" s="2">
        <v>2</v>
      </c>
      <c r="F2903" s="2" t="s">
        <v>5</v>
      </c>
      <c r="G2903" s="2">
        <v>916.60000000004504</v>
      </c>
      <c r="H2903" s="2" t="s">
        <v>16</v>
      </c>
      <c r="I2903" s="2">
        <v>68301.999999988504</v>
      </c>
      <c r="J2903" s="2">
        <v>1000</v>
      </c>
      <c r="K2903" s="2">
        <v>500</v>
      </c>
      <c r="L2903" s="2">
        <v>0</v>
      </c>
      <c r="M2903" s="2">
        <v>582827.61</v>
      </c>
      <c r="N2903">
        <f t="shared" ref="N2903:N2932" si="59">G2903+I2903+M2903</f>
        <v>652046.20999998855</v>
      </c>
      <c r="O2903" s="2" t="s">
        <v>4</v>
      </c>
    </row>
    <row r="2904" spans="1:15" x14ac:dyDescent="0.2">
      <c r="A2904">
        <v>71</v>
      </c>
      <c r="B2904">
        <v>6</v>
      </c>
      <c r="C2904">
        <v>7</v>
      </c>
      <c r="D2904" s="2">
        <v>2</v>
      </c>
      <c r="E2904" s="2">
        <v>2</v>
      </c>
      <c r="F2904" s="2" t="s">
        <v>5</v>
      </c>
      <c r="G2904" s="2">
        <v>840.79999999993095</v>
      </c>
      <c r="H2904" s="2" t="s">
        <v>16</v>
      </c>
      <c r="I2904" s="2">
        <v>212421.000000006</v>
      </c>
      <c r="J2904" s="2">
        <v>1000</v>
      </c>
      <c r="K2904" s="2">
        <v>500</v>
      </c>
      <c r="L2904" s="2">
        <v>0</v>
      </c>
      <c r="M2904" s="2">
        <v>596509.61</v>
      </c>
      <c r="N2904">
        <f t="shared" si="59"/>
        <v>809771.41000000597</v>
      </c>
      <c r="O2904" s="2" t="s">
        <v>4</v>
      </c>
    </row>
    <row r="2905" spans="1:15" x14ac:dyDescent="0.2">
      <c r="A2905">
        <v>72</v>
      </c>
      <c r="B2905">
        <v>6</v>
      </c>
      <c r="C2905">
        <v>7</v>
      </c>
      <c r="D2905" s="2">
        <v>2</v>
      </c>
      <c r="E2905" s="2">
        <v>2</v>
      </c>
      <c r="F2905" s="2" t="s">
        <v>5</v>
      </c>
      <c r="G2905" s="2">
        <v>686.80000000043196</v>
      </c>
      <c r="H2905" s="2" t="s">
        <v>16</v>
      </c>
      <c r="I2905" s="2">
        <v>262078.00000000201</v>
      </c>
      <c r="J2905" s="2">
        <v>1000</v>
      </c>
      <c r="K2905" s="2">
        <v>500</v>
      </c>
      <c r="L2905" s="2">
        <v>0</v>
      </c>
      <c r="M2905" s="2">
        <v>615907.61</v>
      </c>
      <c r="N2905">
        <f t="shared" si="59"/>
        <v>878672.41000000248</v>
      </c>
      <c r="O2905" s="2" t="s">
        <v>4</v>
      </c>
    </row>
    <row r="2906" spans="1:15" x14ac:dyDescent="0.2">
      <c r="A2906">
        <v>73</v>
      </c>
      <c r="B2906">
        <v>6</v>
      </c>
      <c r="C2906">
        <v>7</v>
      </c>
      <c r="D2906" s="2">
        <v>3</v>
      </c>
      <c r="E2906" s="2">
        <v>2</v>
      </c>
      <c r="F2906" s="2" t="s">
        <v>5</v>
      </c>
      <c r="G2906" s="2">
        <v>696.99999999990303</v>
      </c>
      <c r="H2906" s="2" t="s">
        <v>16</v>
      </c>
      <c r="I2906" s="2">
        <v>220828.999999981</v>
      </c>
      <c r="J2906" s="2">
        <v>1000</v>
      </c>
      <c r="K2906" s="2">
        <v>500</v>
      </c>
      <c r="L2906" s="2">
        <v>0</v>
      </c>
      <c r="M2906" s="2">
        <v>583548.01</v>
      </c>
      <c r="N2906">
        <f t="shared" si="59"/>
        <v>805074.00999998092</v>
      </c>
      <c r="O2906" s="2" t="s">
        <v>4</v>
      </c>
    </row>
    <row r="2907" spans="1:15" x14ac:dyDescent="0.2">
      <c r="A2907">
        <v>74</v>
      </c>
      <c r="B2907">
        <v>6</v>
      </c>
      <c r="C2907">
        <v>9</v>
      </c>
      <c r="D2907" s="2">
        <v>3</v>
      </c>
      <c r="E2907" s="2">
        <v>2</v>
      </c>
      <c r="F2907" s="2" t="s">
        <v>5</v>
      </c>
      <c r="G2907" s="2">
        <v>767.00000000009504</v>
      </c>
      <c r="H2907" s="2" t="s">
        <v>16</v>
      </c>
      <c r="I2907" s="2">
        <v>641922.99999999104</v>
      </c>
      <c r="J2907" s="2">
        <v>1000</v>
      </c>
      <c r="K2907" s="2">
        <v>500</v>
      </c>
      <c r="L2907" s="2">
        <v>0</v>
      </c>
      <c r="M2907" s="2">
        <v>609308.41</v>
      </c>
      <c r="N2907">
        <f t="shared" si="59"/>
        <v>1251998.4099999913</v>
      </c>
      <c r="O2907" s="2" t="s">
        <v>4</v>
      </c>
    </row>
    <row r="2908" spans="1:15" x14ac:dyDescent="0.2">
      <c r="A2908">
        <v>75</v>
      </c>
      <c r="B2908">
        <v>6</v>
      </c>
      <c r="C2908">
        <v>7</v>
      </c>
      <c r="D2908" s="2">
        <v>3</v>
      </c>
      <c r="E2908" s="2">
        <v>2</v>
      </c>
      <c r="F2908" s="2" t="s">
        <v>5</v>
      </c>
      <c r="G2908" s="2">
        <v>442.80000000007601</v>
      </c>
      <c r="H2908" s="2" t="s">
        <v>16</v>
      </c>
      <c r="I2908" s="2">
        <v>188826.000000006</v>
      </c>
      <c r="J2908" s="2">
        <v>1000</v>
      </c>
      <c r="K2908" s="2">
        <v>500</v>
      </c>
      <c r="L2908" s="2">
        <v>0</v>
      </c>
      <c r="M2908" s="2">
        <v>610228.81000000006</v>
      </c>
      <c r="N2908">
        <f t="shared" si="59"/>
        <v>799497.61000000616</v>
      </c>
      <c r="O2908" s="2" t="s">
        <v>4</v>
      </c>
    </row>
    <row r="2909" spans="1:15" x14ac:dyDescent="0.2">
      <c r="A2909">
        <v>76</v>
      </c>
      <c r="B2909">
        <v>6</v>
      </c>
      <c r="C2909">
        <v>8</v>
      </c>
      <c r="D2909" s="2">
        <v>3</v>
      </c>
      <c r="E2909" s="2">
        <v>2</v>
      </c>
      <c r="F2909" s="2" t="s">
        <v>5</v>
      </c>
      <c r="G2909" s="2">
        <v>657.20000000020195</v>
      </c>
      <c r="H2909" s="2" t="s">
        <v>16</v>
      </c>
      <c r="I2909" s="2">
        <v>207245</v>
      </c>
      <c r="J2909" s="2">
        <v>1000</v>
      </c>
      <c r="K2909" s="2">
        <v>500</v>
      </c>
      <c r="L2909" s="2">
        <v>0</v>
      </c>
      <c r="M2909" s="2">
        <v>585828.41</v>
      </c>
      <c r="N2909">
        <f t="shared" si="59"/>
        <v>793730.61000000022</v>
      </c>
      <c r="O2909" s="2" t="s">
        <v>4</v>
      </c>
    </row>
    <row r="2910" spans="1:15" x14ac:dyDescent="0.2">
      <c r="A2910">
        <v>77</v>
      </c>
      <c r="B2910">
        <v>6</v>
      </c>
      <c r="C2910">
        <v>8</v>
      </c>
      <c r="D2910" s="2">
        <v>3</v>
      </c>
      <c r="E2910" s="2">
        <v>2</v>
      </c>
      <c r="F2910" s="2" t="s">
        <v>5</v>
      </c>
      <c r="G2910" s="2">
        <v>517.59999999951799</v>
      </c>
      <c r="H2910" s="2" t="s">
        <v>16</v>
      </c>
      <c r="I2910" s="2">
        <v>554278.99999997998</v>
      </c>
      <c r="J2910" s="2">
        <v>1000</v>
      </c>
      <c r="K2910" s="2">
        <v>500</v>
      </c>
      <c r="L2910" s="2">
        <v>0</v>
      </c>
      <c r="M2910" s="2">
        <v>582947.61</v>
      </c>
      <c r="N2910">
        <f t="shared" si="59"/>
        <v>1137744.2099999795</v>
      </c>
      <c r="O2910" s="2" t="s">
        <v>4</v>
      </c>
    </row>
    <row r="2911" spans="1:15" x14ac:dyDescent="0.2">
      <c r="A2911">
        <v>78</v>
      </c>
      <c r="B2911">
        <v>6</v>
      </c>
      <c r="C2911">
        <v>8</v>
      </c>
      <c r="D2911" s="2">
        <v>3</v>
      </c>
      <c r="E2911" s="2">
        <v>2</v>
      </c>
      <c r="F2911" s="2" t="s">
        <v>5</v>
      </c>
      <c r="G2911" s="2">
        <v>411.19999999992302</v>
      </c>
      <c r="H2911" s="2" t="s">
        <v>16</v>
      </c>
      <c r="I2911" s="2">
        <v>251448.000000011</v>
      </c>
      <c r="J2911" s="2">
        <v>1000</v>
      </c>
      <c r="K2911" s="2">
        <v>500</v>
      </c>
      <c r="L2911" s="2">
        <v>0</v>
      </c>
      <c r="M2911" s="2">
        <v>610188.41</v>
      </c>
      <c r="N2911">
        <f t="shared" si="59"/>
        <v>862047.61000001093</v>
      </c>
      <c r="O2911" s="2" t="s">
        <v>4</v>
      </c>
    </row>
    <row r="2912" spans="1:15" x14ac:dyDescent="0.2">
      <c r="A2912">
        <v>79</v>
      </c>
      <c r="B2912">
        <v>6</v>
      </c>
      <c r="C2912">
        <v>8</v>
      </c>
      <c r="D2912" s="2">
        <v>3</v>
      </c>
      <c r="E2912" s="2">
        <v>2</v>
      </c>
      <c r="F2912" s="2" t="s">
        <v>5</v>
      </c>
      <c r="G2912" s="2">
        <v>394.20000000021099</v>
      </c>
      <c r="H2912" s="2" t="s">
        <v>16</v>
      </c>
      <c r="I2912" s="2">
        <v>178140.00000001301</v>
      </c>
      <c r="J2912" s="2">
        <v>1000</v>
      </c>
      <c r="K2912" s="2">
        <v>500</v>
      </c>
      <c r="L2912" s="2">
        <v>0</v>
      </c>
      <c r="M2912" s="2">
        <v>603147.61</v>
      </c>
      <c r="N2912">
        <f t="shared" si="59"/>
        <v>781681.81000001321</v>
      </c>
      <c r="O2912" s="2" t="s">
        <v>4</v>
      </c>
    </row>
    <row r="2913" spans="1:15" x14ac:dyDescent="0.2">
      <c r="A2913">
        <v>80</v>
      </c>
      <c r="B2913">
        <v>6</v>
      </c>
      <c r="C2913">
        <v>7</v>
      </c>
      <c r="D2913" s="2">
        <v>3</v>
      </c>
      <c r="E2913" s="2">
        <v>2</v>
      </c>
      <c r="F2913" s="2" t="s">
        <v>5</v>
      </c>
      <c r="G2913" s="2">
        <v>306.60000000004601</v>
      </c>
      <c r="H2913" s="2" t="s">
        <v>16</v>
      </c>
      <c r="I2913" s="2">
        <v>148730</v>
      </c>
      <c r="J2913" s="2">
        <v>1000</v>
      </c>
      <c r="K2913" s="2">
        <v>500</v>
      </c>
      <c r="L2913" s="2">
        <v>0</v>
      </c>
      <c r="M2913" s="2">
        <v>612387.61</v>
      </c>
      <c r="N2913">
        <f t="shared" si="59"/>
        <v>761424.21</v>
      </c>
      <c r="O2913" s="2" t="s">
        <v>4</v>
      </c>
    </row>
    <row r="2914" spans="1:15" x14ac:dyDescent="0.2">
      <c r="A2914">
        <v>81</v>
      </c>
      <c r="B2914">
        <v>6</v>
      </c>
      <c r="C2914">
        <v>8</v>
      </c>
      <c r="D2914" s="2">
        <v>3</v>
      </c>
      <c r="E2914" s="2">
        <v>2</v>
      </c>
      <c r="F2914" s="2" t="s">
        <v>5</v>
      </c>
      <c r="G2914" s="2">
        <v>372.600000000389</v>
      </c>
      <c r="H2914" s="2" t="s">
        <v>16</v>
      </c>
      <c r="I2914" s="2">
        <v>307187.99999999598</v>
      </c>
      <c r="J2914" s="2">
        <v>1000</v>
      </c>
      <c r="K2914" s="2">
        <v>500</v>
      </c>
      <c r="L2914" s="2">
        <v>0</v>
      </c>
      <c r="M2914" s="2">
        <v>583548.01</v>
      </c>
      <c r="N2914">
        <f t="shared" si="59"/>
        <v>891108.60999999638</v>
      </c>
      <c r="O2914" s="2" t="s">
        <v>4</v>
      </c>
    </row>
    <row r="2915" spans="1:15" x14ac:dyDescent="0.2">
      <c r="A2915">
        <v>82</v>
      </c>
      <c r="B2915">
        <v>6</v>
      </c>
      <c r="C2915">
        <v>8</v>
      </c>
      <c r="D2915" s="2">
        <v>2</v>
      </c>
      <c r="E2915" s="2">
        <v>2</v>
      </c>
      <c r="F2915" s="2" t="s">
        <v>5</v>
      </c>
      <c r="G2915" s="2">
        <v>377.99999999990098</v>
      </c>
      <c r="H2915" s="2" t="s">
        <v>16</v>
      </c>
      <c r="I2915" s="2">
        <v>516832.99999999098</v>
      </c>
      <c r="J2915" s="2">
        <v>1000</v>
      </c>
      <c r="K2915" s="2">
        <v>500</v>
      </c>
      <c r="L2915" s="2">
        <v>0</v>
      </c>
      <c r="M2915" s="2">
        <v>612747.21</v>
      </c>
      <c r="N2915">
        <f t="shared" si="59"/>
        <v>1129958.2099999909</v>
      </c>
      <c r="O2915" s="2" t="s">
        <v>4</v>
      </c>
    </row>
    <row r="2916" spans="1:15" x14ac:dyDescent="0.2">
      <c r="A2916">
        <v>83</v>
      </c>
      <c r="B2916">
        <v>6</v>
      </c>
      <c r="C2916">
        <v>9</v>
      </c>
      <c r="D2916" s="2">
        <v>2</v>
      </c>
      <c r="E2916" s="2">
        <v>2</v>
      </c>
      <c r="F2916" s="2" t="s">
        <v>5</v>
      </c>
      <c r="G2916" s="2">
        <v>451.20000000018501</v>
      </c>
      <c r="H2916" s="2" t="s">
        <v>16</v>
      </c>
      <c r="I2916" s="2">
        <v>413190.00000001403</v>
      </c>
      <c r="J2916" s="2">
        <v>1000</v>
      </c>
      <c r="K2916" s="2">
        <v>500</v>
      </c>
      <c r="L2916" s="2">
        <v>0</v>
      </c>
      <c r="M2916" s="2">
        <v>584427.61</v>
      </c>
      <c r="N2916">
        <f t="shared" si="59"/>
        <v>998068.81000001426</v>
      </c>
      <c r="O2916" s="2" t="s">
        <v>4</v>
      </c>
    </row>
    <row r="2917" spans="1:15" x14ac:dyDescent="0.2">
      <c r="A2917">
        <v>84</v>
      </c>
      <c r="B2917">
        <v>6</v>
      </c>
      <c r="C2917">
        <v>10</v>
      </c>
      <c r="D2917" s="2">
        <v>2</v>
      </c>
      <c r="E2917" s="2">
        <v>2</v>
      </c>
      <c r="F2917" s="2" t="s">
        <v>5</v>
      </c>
      <c r="G2917" s="2">
        <v>503.80000000060897</v>
      </c>
      <c r="H2917" s="2" t="s">
        <v>16</v>
      </c>
      <c r="I2917" s="2">
        <v>474711.999999983</v>
      </c>
      <c r="J2917" s="2">
        <v>1000</v>
      </c>
      <c r="K2917" s="2">
        <v>500</v>
      </c>
      <c r="L2917" s="2">
        <v>0</v>
      </c>
      <c r="M2917" s="2">
        <v>617827.61</v>
      </c>
      <c r="N2917">
        <f t="shared" si="59"/>
        <v>1093043.4099999836</v>
      </c>
      <c r="O2917" s="2" t="s">
        <v>4</v>
      </c>
    </row>
    <row r="2918" spans="1:15" x14ac:dyDescent="0.2">
      <c r="A2918">
        <v>85</v>
      </c>
      <c r="B2918">
        <v>6</v>
      </c>
      <c r="C2918">
        <v>8</v>
      </c>
      <c r="D2918" s="2">
        <v>2</v>
      </c>
      <c r="E2918" s="2">
        <v>2</v>
      </c>
      <c r="F2918" s="2" t="s">
        <v>5</v>
      </c>
      <c r="G2918" s="2">
        <v>348.000000000326</v>
      </c>
      <c r="H2918" s="2" t="s">
        <v>16</v>
      </c>
      <c r="I2918" s="2">
        <v>608902.00000000105</v>
      </c>
      <c r="J2918" s="2">
        <v>1000</v>
      </c>
      <c r="K2918" s="2">
        <v>500</v>
      </c>
      <c r="L2918" s="2">
        <v>0</v>
      </c>
      <c r="M2918" s="2">
        <v>613988.01</v>
      </c>
      <c r="N2918">
        <f t="shared" si="59"/>
        <v>1223238.0100000014</v>
      </c>
      <c r="O2918" s="2" t="s">
        <v>4</v>
      </c>
    </row>
    <row r="2919" spans="1:15" x14ac:dyDescent="0.2">
      <c r="A2919">
        <v>86</v>
      </c>
      <c r="B2919">
        <v>6</v>
      </c>
      <c r="C2919">
        <v>10</v>
      </c>
      <c r="D2919" s="2">
        <v>3</v>
      </c>
      <c r="E2919" s="2">
        <v>2</v>
      </c>
      <c r="F2919" s="2" t="s">
        <v>5</v>
      </c>
      <c r="G2919" s="2">
        <v>468.00000000004599</v>
      </c>
      <c r="H2919" s="2" t="s">
        <v>16</v>
      </c>
      <c r="I2919" s="2">
        <v>645299.00000002305</v>
      </c>
      <c r="J2919" s="2">
        <v>1000</v>
      </c>
      <c r="K2919" s="2">
        <v>500</v>
      </c>
      <c r="L2919" s="2">
        <v>0</v>
      </c>
      <c r="M2919" s="2">
        <v>590706.81000000006</v>
      </c>
      <c r="N2919">
        <f t="shared" si="59"/>
        <v>1236473.8100000231</v>
      </c>
      <c r="O2919" s="2" t="s">
        <v>4</v>
      </c>
    </row>
    <row r="2920" spans="1:15" x14ac:dyDescent="0.2">
      <c r="A2920">
        <v>87</v>
      </c>
      <c r="B2920">
        <v>6</v>
      </c>
      <c r="C2920">
        <v>10</v>
      </c>
      <c r="D2920" s="2">
        <v>2</v>
      </c>
      <c r="E2920" s="2">
        <v>2</v>
      </c>
      <c r="F2920" s="2" t="s">
        <v>5</v>
      </c>
      <c r="G2920" s="2">
        <v>451.39999999968001</v>
      </c>
      <c r="H2920" s="2" t="s">
        <v>16</v>
      </c>
      <c r="I2920" s="2">
        <v>401485.00000000797</v>
      </c>
      <c r="J2920" s="2">
        <v>1000</v>
      </c>
      <c r="K2920" s="2">
        <v>500</v>
      </c>
      <c r="L2920" s="2">
        <v>0</v>
      </c>
      <c r="M2920" s="2">
        <v>618066.81000000006</v>
      </c>
      <c r="N2920">
        <f t="shared" si="59"/>
        <v>1020003.2100000076</v>
      </c>
      <c r="O2920" s="2" t="s">
        <v>4</v>
      </c>
    </row>
    <row r="2921" spans="1:15" x14ac:dyDescent="0.2">
      <c r="A2921">
        <v>88</v>
      </c>
      <c r="B2921">
        <v>6</v>
      </c>
      <c r="C2921">
        <v>10</v>
      </c>
      <c r="D2921" s="2">
        <v>3</v>
      </c>
      <c r="E2921" s="2">
        <v>2</v>
      </c>
      <c r="F2921" s="2" t="s">
        <v>5</v>
      </c>
      <c r="G2921" s="2">
        <v>490.20000000048498</v>
      </c>
      <c r="H2921" s="2" t="s">
        <v>16</v>
      </c>
      <c r="I2921" s="2">
        <v>672093.99999998696</v>
      </c>
      <c r="J2921" s="2">
        <v>1000</v>
      </c>
      <c r="K2921" s="2">
        <v>500</v>
      </c>
      <c r="L2921" s="2">
        <v>0</v>
      </c>
      <c r="M2921" s="2">
        <v>585428.01</v>
      </c>
      <c r="N2921">
        <f t="shared" si="59"/>
        <v>1258012.2099999874</v>
      </c>
      <c r="O2921" s="2" t="s">
        <v>4</v>
      </c>
    </row>
    <row r="2922" spans="1:15" x14ac:dyDescent="0.2">
      <c r="A2922">
        <v>89</v>
      </c>
      <c r="B2922">
        <v>6</v>
      </c>
      <c r="C2922">
        <v>7</v>
      </c>
      <c r="D2922" s="2">
        <v>3</v>
      </c>
      <c r="E2922" s="2">
        <v>2</v>
      </c>
      <c r="F2922" s="2" t="s">
        <v>5</v>
      </c>
      <c r="G2922" s="2">
        <v>266.39999999993302</v>
      </c>
      <c r="H2922" s="2" t="s">
        <v>16</v>
      </c>
      <c r="I2922" s="2">
        <v>186243.000000019</v>
      </c>
      <c r="J2922" s="2">
        <v>1000</v>
      </c>
      <c r="K2922" s="2">
        <v>500</v>
      </c>
      <c r="L2922" s="2">
        <v>0</v>
      </c>
      <c r="M2922" s="2">
        <v>580788.41</v>
      </c>
      <c r="N2922">
        <f t="shared" si="59"/>
        <v>767297.81000001892</v>
      </c>
      <c r="O2922" s="2" t="s">
        <v>4</v>
      </c>
    </row>
    <row r="2923" spans="1:15" x14ac:dyDescent="0.2">
      <c r="A2923">
        <v>90</v>
      </c>
      <c r="B2923">
        <v>6</v>
      </c>
      <c r="C2923">
        <v>8</v>
      </c>
      <c r="D2923" s="2">
        <v>2</v>
      </c>
      <c r="E2923" s="2">
        <v>2</v>
      </c>
      <c r="F2923" s="2" t="s">
        <v>5</v>
      </c>
      <c r="G2923" s="2">
        <v>335.79999999986399</v>
      </c>
      <c r="H2923" s="2" t="s">
        <v>16</v>
      </c>
      <c r="I2923" s="2">
        <v>399008.00000000902</v>
      </c>
      <c r="J2923" s="2">
        <v>1000</v>
      </c>
      <c r="K2923" s="2">
        <v>500</v>
      </c>
      <c r="L2923" s="2">
        <v>0</v>
      </c>
      <c r="M2923" s="2">
        <v>610308.41</v>
      </c>
      <c r="N2923">
        <f t="shared" si="59"/>
        <v>1009652.2100000089</v>
      </c>
      <c r="O2923" s="2" t="s">
        <v>4</v>
      </c>
    </row>
    <row r="2924" spans="1:15" x14ac:dyDescent="0.2">
      <c r="A2924">
        <v>91</v>
      </c>
      <c r="B2924">
        <v>6</v>
      </c>
      <c r="C2924">
        <v>8</v>
      </c>
      <c r="D2924" s="2">
        <v>3</v>
      </c>
      <c r="E2924" s="2">
        <v>2</v>
      </c>
      <c r="F2924" s="2" t="s">
        <v>5</v>
      </c>
      <c r="G2924" s="2">
        <v>335.59999999930301</v>
      </c>
      <c r="H2924" s="2" t="s">
        <v>16</v>
      </c>
      <c r="I2924" s="2">
        <v>151079.00000001001</v>
      </c>
      <c r="J2924" s="2">
        <v>1000</v>
      </c>
      <c r="K2924" s="2">
        <v>500</v>
      </c>
      <c r="L2924" s="2">
        <v>0</v>
      </c>
      <c r="M2924" s="2">
        <v>581466.81000000006</v>
      </c>
      <c r="N2924">
        <f t="shared" si="59"/>
        <v>732881.41000000935</v>
      </c>
      <c r="O2924" s="2" t="s">
        <v>4</v>
      </c>
    </row>
    <row r="2925" spans="1:15" x14ac:dyDescent="0.2">
      <c r="A2925">
        <v>92</v>
      </c>
      <c r="B2925">
        <v>6</v>
      </c>
      <c r="C2925">
        <v>8</v>
      </c>
      <c r="D2925" s="2">
        <v>3</v>
      </c>
      <c r="E2925" s="2">
        <v>2</v>
      </c>
      <c r="F2925" s="2" t="s">
        <v>5</v>
      </c>
      <c r="G2925" s="2">
        <v>306.40000000019501</v>
      </c>
      <c r="H2925" s="2" t="s">
        <v>16</v>
      </c>
      <c r="I2925" s="2">
        <v>288912.000000011</v>
      </c>
      <c r="J2925" s="2">
        <v>1000</v>
      </c>
      <c r="K2925" s="2">
        <v>500</v>
      </c>
      <c r="L2925" s="2">
        <v>0</v>
      </c>
      <c r="M2925" s="2">
        <v>615467.21</v>
      </c>
      <c r="N2925">
        <f t="shared" si="59"/>
        <v>904685.61000001116</v>
      </c>
      <c r="O2925" s="2" t="s">
        <v>4</v>
      </c>
    </row>
    <row r="2926" spans="1:15" x14ac:dyDescent="0.2">
      <c r="A2926">
        <v>93</v>
      </c>
      <c r="B2926">
        <v>6</v>
      </c>
      <c r="C2926">
        <v>11</v>
      </c>
      <c r="D2926" s="2">
        <v>3</v>
      </c>
      <c r="E2926" s="2">
        <v>2</v>
      </c>
      <c r="F2926" s="2" t="s">
        <v>5</v>
      </c>
      <c r="G2926" s="2">
        <v>515.79999999979998</v>
      </c>
      <c r="H2926" s="2" t="s">
        <v>16</v>
      </c>
      <c r="I2926" s="2">
        <v>1416861.00000001</v>
      </c>
      <c r="J2926" s="2">
        <v>1000</v>
      </c>
      <c r="K2926" s="2">
        <v>500</v>
      </c>
      <c r="L2926" s="2">
        <v>0</v>
      </c>
      <c r="M2926" s="2">
        <v>598308.01</v>
      </c>
      <c r="N2926">
        <f t="shared" si="59"/>
        <v>2015684.8100000098</v>
      </c>
      <c r="O2926" s="2" t="s">
        <v>4</v>
      </c>
    </row>
    <row r="2927" spans="1:15" x14ac:dyDescent="0.2">
      <c r="A2927">
        <v>94</v>
      </c>
      <c r="B2927">
        <v>6</v>
      </c>
      <c r="C2927">
        <v>10</v>
      </c>
      <c r="D2927" s="2">
        <v>2</v>
      </c>
      <c r="E2927" s="2">
        <v>2</v>
      </c>
      <c r="F2927" s="2" t="s">
        <v>5</v>
      </c>
      <c r="G2927" s="2">
        <v>446.600000000075</v>
      </c>
      <c r="H2927" s="2" t="s">
        <v>16</v>
      </c>
      <c r="I2927" s="2">
        <v>711301.00000002002</v>
      </c>
      <c r="J2927" s="2">
        <v>1000</v>
      </c>
      <c r="K2927" s="2">
        <v>500</v>
      </c>
      <c r="L2927" s="2">
        <v>0</v>
      </c>
      <c r="M2927" s="2">
        <v>584827.21</v>
      </c>
      <c r="N2927">
        <f t="shared" si="59"/>
        <v>1296574.8100000201</v>
      </c>
      <c r="O2927" s="2" t="s">
        <v>4</v>
      </c>
    </row>
    <row r="2928" spans="1:15" x14ac:dyDescent="0.2">
      <c r="A2928">
        <v>95</v>
      </c>
      <c r="B2928">
        <v>6</v>
      </c>
      <c r="C2928">
        <v>12</v>
      </c>
      <c r="D2928" s="2">
        <v>2</v>
      </c>
      <c r="E2928" s="2">
        <v>2</v>
      </c>
      <c r="F2928" s="2" t="s">
        <v>5</v>
      </c>
      <c r="G2928" s="2">
        <v>605.60000000045</v>
      </c>
      <c r="H2928" s="2" t="s">
        <v>16</v>
      </c>
      <c r="I2928" s="2">
        <v>1174435.99999999</v>
      </c>
      <c r="J2928" s="2">
        <v>1000</v>
      </c>
      <c r="K2928" s="2">
        <v>500</v>
      </c>
      <c r="L2928" s="2">
        <v>0</v>
      </c>
      <c r="M2928" s="2">
        <v>618988.81000000006</v>
      </c>
      <c r="N2928">
        <f t="shared" si="59"/>
        <v>1794030.4099999906</v>
      </c>
      <c r="O2928" s="2" t="s">
        <v>4</v>
      </c>
    </row>
    <row r="2929" spans="1:15" x14ac:dyDescent="0.2">
      <c r="A2929">
        <v>96</v>
      </c>
      <c r="B2929">
        <v>6</v>
      </c>
      <c r="C2929">
        <v>8</v>
      </c>
      <c r="D2929" s="2">
        <v>3</v>
      </c>
      <c r="E2929" s="2">
        <v>2</v>
      </c>
      <c r="F2929" s="2" t="s">
        <v>5</v>
      </c>
      <c r="G2929" s="2">
        <v>301.39999999967398</v>
      </c>
      <c r="H2929" s="2" t="s">
        <v>16</v>
      </c>
      <c r="I2929" s="2">
        <v>267707.00000000099</v>
      </c>
      <c r="J2929" s="2">
        <v>1000</v>
      </c>
      <c r="K2929" s="2">
        <v>500</v>
      </c>
      <c r="L2929" s="2">
        <v>0</v>
      </c>
      <c r="M2929" s="2">
        <v>612547.61</v>
      </c>
      <c r="N2929">
        <f t="shared" si="59"/>
        <v>880556.01000000071</v>
      </c>
      <c r="O2929" s="2" t="s">
        <v>4</v>
      </c>
    </row>
    <row r="2930" spans="1:15" x14ac:dyDescent="0.2">
      <c r="A2930">
        <v>97</v>
      </c>
      <c r="B2930">
        <v>6</v>
      </c>
      <c r="C2930">
        <v>9</v>
      </c>
      <c r="D2930" s="2">
        <v>3</v>
      </c>
      <c r="E2930" s="2">
        <v>2</v>
      </c>
      <c r="F2930" s="2" t="s">
        <v>5</v>
      </c>
      <c r="G2930" s="2">
        <v>374.59999999995802</v>
      </c>
      <c r="H2930" s="2" t="s">
        <v>16</v>
      </c>
      <c r="I2930" s="2">
        <v>460260.00000000501</v>
      </c>
      <c r="J2930" s="2">
        <v>1000</v>
      </c>
      <c r="K2930" s="2">
        <v>500</v>
      </c>
      <c r="L2930" s="2">
        <v>0</v>
      </c>
      <c r="M2930" s="2">
        <v>580986.81000000006</v>
      </c>
      <c r="N2930">
        <f t="shared" si="59"/>
        <v>1041621.410000005</v>
      </c>
      <c r="O2930" s="2" t="s">
        <v>4</v>
      </c>
    </row>
    <row r="2931" spans="1:15" x14ac:dyDescent="0.2">
      <c r="A2931">
        <v>98</v>
      </c>
      <c r="B2931">
        <v>6</v>
      </c>
      <c r="C2931">
        <v>10</v>
      </c>
      <c r="D2931" s="2">
        <v>3</v>
      </c>
      <c r="E2931" s="2">
        <v>2</v>
      </c>
      <c r="F2931" s="2" t="s">
        <v>5</v>
      </c>
      <c r="G2931" s="2">
        <v>496.19999999990199</v>
      </c>
      <c r="H2931" s="2" t="s">
        <v>16</v>
      </c>
      <c r="I2931" s="2">
        <v>385244</v>
      </c>
      <c r="J2931" s="2">
        <v>1000</v>
      </c>
      <c r="K2931" s="2">
        <v>500</v>
      </c>
      <c r="L2931" s="2">
        <v>0</v>
      </c>
      <c r="M2931" s="2">
        <v>609786.41</v>
      </c>
      <c r="N2931">
        <f t="shared" si="59"/>
        <v>995526.60999999987</v>
      </c>
      <c r="O2931" s="2" t="s">
        <v>4</v>
      </c>
    </row>
    <row r="2932" spans="1:15" x14ac:dyDescent="0.2">
      <c r="A2932">
        <v>99</v>
      </c>
      <c r="B2932">
        <v>6</v>
      </c>
      <c r="C2932">
        <v>11</v>
      </c>
      <c r="D2932" s="2">
        <v>2</v>
      </c>
      <c r="E2932" s="2">
        <v>2</v>
      </c>
      <c r="F2932" s="2" t="s">
        <v>5</v>
      </c>
      <c r="G2932" s="2">
        <v>500.59999999980698</v>
      </c>
      <c r="H2932" s="2" t="s">
        <v>16</v>
      </c>
      <c r="I2932" s="2">
        <v>2095169</v>
      </c>
      <c r="J2932" s="2">
        <v>1000</v>
      </c>
      <c r="K2932" s="2">
        <v>500</v>
      </c>
      <c r="L2932" s="2">
        <v>0</v>
      </c>
      <c r="M2932" s="2">
        <v>584828.41</v>
      </c>
      <c r="N2932">
        <f t="shared" si="59"/>
        <v>2680498.0099999998</v>
      </c>
      <c r="O2932" s="2" t="s">
        <v>4</v>
      </c>
    </row>
    <row r="2933" spans="1:15" x14ac:dyDescent="0.2">
      <c r="A2933">
        <v>70</v>
      </c>
      <c r="B2933">
        <v>6</v>
      </c>
      <c r="C2933">
        <v>6</v>
      </c>
      <c r="D2933" s="2">
        <v>3</v>
      </c>
      <c r="E2933" s="2">
        <v>2</v>
      </c>
      <c r="F2933" s="2" t="s">
        <v>5</v>
      </c>
      <c r="G2933" s="2">
        <v>916.60000000004504</v>
      </c>
      <c r="H2933" s="2" t="s">
        <v>16</v>
      </c>
      <c r="I2933" s="2">
        <v>68301.999999988504</v>
      </c>
      <c r="J2933" s="2">
        <v>1000</v>
      </c>
      <c r="K2933" s="2">
        <v>700</v>
      </c>
      <c r="L2933" s="2">
        <v>0</v>
      </c>
      <c r="M2933" s="2">
        <v>782827.61</v>
      </c>
      <c r="N2933">
        <f t="shared" ref="N2933:N2962" si="60">G2933+I2933+M2933</f>
        <v>852046.20999998855</v>
      </c>
      <c r="O2933" s="2" t="s">
        <v>4</v>
      </c>
    </row>
    <row r="2934" spans="1:15" x14ac:dyDescent="0.2">
      <c r="A2934">
        <v>71</v>
      </c>
      <c r="B2934">
        <v>6</v>
      </c>
      <c r="C2934">
        <v>7</v>
      </c>
      <c r="D2934" s="2">
        <v>2</v>
      </c>
      <c r="E2934" s="2">
        <v>2</v>
      </c>
      <c r="F2934" s="2" t="s">
        <v>5</v>
      </c>
      <c r="G2934" s="2">
        <v>840.79999999993095</v>
      </c>
      <c r="H2934" s="2" t="s">
        <v>16</v>
      </c>
      <c r="I2934" s="2">
        <v>212421.000000006</v>
      </c>
      <c r="J2934" s="2">
        <v>1000</v>
      </c>
      <c r="K2934" s="2">
        <v>700</v>
      </c>
      <c r="L2934" s="2">
        <v>0</v>
      </c>
      <c r="M2934" s="2">
        <v>796509.61</v>
      </c>
      <c r="N2934">
        <f t="shared" si="60"/>
        <v>1009771.410000006</v>
      </c>
      <c r="O2934" s="2" t="s">
        <v>4</v>
      </c>
    </row>
    <row r="2935" spans="1:15" x14ac:dyDescent="0.2">
      <c r="A2935">
        <v>72</v>
      </c>
      <c r="B2935">
        <v>6</v>
      </c>
      <c r="C2935">
        <v>7</v>
      </c>
      <c r="D2935" s="2">
        <v>2</v>
      </c>
      <c r="E2935" s="2">
        <v>2</v>
      </c>
      <c r="F2935" s="2" t="s">
        <v>5</v>
      </c>
      <c r="G2935" s="2">
        <v>686.80000000043196</v>
      </c>
      <c r="H2935" s="2" t="s">
        <v>16</v>
      </c>
      <c r="I2935" s="2">
        <v>262078.00000000201</v>
      </c>
      <c r="J2935" s="2">
        <v>1000</v>
      </c>
      <c r="K2935" s="2">
        <v>700</v>
      </c>
      <c r="L2935" s="2">
        <v>0</v>
      </c>
      <c r="M2935" s="2">
        <v>815907.61</v>
      </c>
      <c r="N2935">
        <f t="shared" si="60"/>
        <v>1078672.4100000025</v>
      </c>
      <c r="O2935" s="2" t="s">
        <v>4</v>
      </c>
    </row>
    <row r="2936" spans="1:15" x14ac:dyDescent="0.2">
      <c r="A2936">
        <v>73</v>
      </c>
      <c r="B2936">
        <v>6</v>
      </c>
      <c r="C2936">
        <v>7</v>
      </c>
      <c r="D2936" s="2">
        <v>3</v>
      </c>
      <c r="E2936" s="2">
        <v>2</v>
      </c>
      <c r="F2936" s="2" t="s">
        <v>5</v>
      </c>
      <c r="G2936" s="2">
        <v>696.99999999990303</v>
      </c>
      <c r="H2936" s="2" t="s">
        <v>16</v>
      </c>
      <c r="I2936" s="2">
        <v>220828.999999981</v>
      </c>
      <c r="J2936" s="2">
        <v>1000</v>
      </c>
      <c r="K2936" s="2">
        <v>700</v>
      </c>
      <c r="L2936" s="2">
        <v>0</v>
      </c>
      <c r="M2936" s="2">
        <v>783548.01</v>
      </c>
      <c r="N2936">
        <f t="shared" si="60"/>
        <v>1005074.0099999809</v>
      </c>
      <c r="O2936" s="2" t="s">
        <v>4</v>
      </c>
    </row>
    <row r="2937" spans="1:15" x14ac:dyDescent="0.2">
      <c r="A2937">
        <v>74</v>
      </c>
      <c r="B2937">
        <v>6</v>
      </c>
      <c r="C2937">
        <v>9</v>
      </c>
      <c r="D2937" s="2">
        <v>3</v>
      </c>
      <c r="E2937" s="2">
        <v>2</v>
      </c>
      <c r="F2937" s="2" t="s">
        <v>5</v>
      </c>
      <c r="G2937" s="2">
        <v>767.00000000009504</v>
      </c>
      <c r="H2937" s="2" t="s">
        <v>16</v>
      </c>
      <c r="I2937" s="2">
        <v>641922.99999999104</v>
      </c>
      <c r="J2937" s="2">
        <v>1000</v>
      </c>
      <c r="K2937" s="2">
        <v>700</v>
      </c>
      <c r="L2937" s="2">
        <v>0</v>
      </c>
      <c r="M2937" s="2">
        <v>809308.41</v>
      </c>
      <c r="N2937">
        <f t="shared" si="60"/>
        <v>1451998.4099999913</v>
      </c>
      <c r="O2937" s="2" t="s">
        <v>4</v>
      </c>
    </row>
    <row r="2938" spans="1:15" x14ac:dyDescent="0.2">
      <c r="A2938">
        <v>75</v>
      </c>
      <c r="B2938">
        <v>6</v>
      </c>
      <c r="C2938">
        <v>7</v>
      </c>
      <c r="D2938" s="2">
        <v>3</v>
      </c>
      <c r="E2938" s="2">
        <v>2</v>
      </c>
      <c r="F2938" s="2" t="s">
        <v>5</v>
      </c>
      <c r="G2938" s="2">
        <v>442.80000000007601</v>
      </c>
      <c r="H2938" s="2" t="s">
        <v>16</v>
      </c>
      <c r="I2938" s="2">
        <v>188826.000000006</v>
      </c>
      <c r="J2938" s="2">
        <v>1000</v>
      </c>
      <c r="K2938" s="2">
        <v>700</v>
      </c>
      <c r="L2938" s="2">
        <v>0</v>
      </c>
      <c r="M2938" s="2">
        <v>810228.81</v>
      </c>
      <c r="N2938">
        <f t="shared" si="60"/>
        <v>999497.61000000616</v>
      </c>
      <c r="O2938" s="2" t="s">
        <v>4</v>
      </c>
    </row>
    <row r="2939" spans="1:15" x14ac:dyDescent="0.2">
      <c r="A2939">
        <v>76</v>
      </c>
      <c r="B2939">
        <v>6</v>
      </c>
      <c r="C2939">
        <v>8</v>
      </c>
      <c r="D2939" s="2">
        <v>3</v>
      </c>
      <c r="E2939" s="2">
        <v>2</v>
      </c>
      <c r="F2939" s="2" t="s">
        <v>5</v>
      </c>
      <c r="G2939" s="2">
        <v>657.20000000020195</v>
      </c>
      <c r="H2939" s="2" t="s">
        <v>16</v>
      </c>
      <c r="I2939" s="2">
        <v>207245</v>
      </c>
      <c r="J2939" s="2">
        <v>1000</v>
      </c>
      <c r="K2939" s="2">
        <v>700</v>
      </c>
      <c r="L2939" s="2">
        <v>0</v>
      </c>
      <c r="M2939" s="2">
        <v>785828.41</v>
      </c>
      <c r="N2939">
        <f t="shared" si="60"/>
        <v>993730.61000000022</v>
      </c>
      <c r="O2939" s="2" t="s">
        <v>4</v>
      </c>
    </row>
    <row r="2940" spans="1:15" x14ac:dyDescent="0.2">
      <c r="A2940">
        <v>77</v>
      </c>
      <c r="B2940">
        <v>6</v>
      </c>
      <c r="C2940">
        <v>8</v>
      </c>
      <c r="D2940" s="2">
        <v>3</v>
      </c>
      <c r="E2940" s="2">
        <v>2</v>
      </c>
      <c r="F2940" s="2" t="s">
        <v>5</v>
      </c>
      <c r="G2940" s="2">
        <v>517.59999999951799</v>
      </c>
      <c r="H2940" s="2" t="s">
        <v>16</v>
      </c>
      <c r="I2940" s="2">
        <v>554278.99999997998</v>
      </c>
      <c r="J2940" s="2">
        <v>1000</v>
      </c>
      <c r="K2940" s="2">
        <v>700</v>
      </c>
      <c r="L2940" s="2">
        <v>0</v>
      </c>
      <c r="M2940" s="2">
        <v>782947.61</v>
      </c>
      <c r="N2940">
        <f t="shared" si="60"/>
        <v>1337744.2099999795</v>
      </c>
      <c r="O2940" s="2" t="s">
        <v>4</v>
      </c>
    </row>
    <row r="2941" spans="1:15" x14ac:dyDescent="0.2">
      <c r="A2941">
        <v>78</v>
      </c>
      <c r="B2941">
        <v>6</v>
      </c>
      <c r="C2941">
        <v>8</v>
      </c>
      <c r="D2941" s="2">
        <v>3</v>
      </c>
      <c r="E2941" s="2">
        <v>2</v>
      </c>
      <c r="F2941" s="2" t="s">
        <v>5</v>
      </c>
      <c r="G2941" s="2">
        <v>411.19999999992302</v>
      </c>
      <c r="H2941" s="2" t="s">
        <v>16</v>
      </c>
      <c r="I2941" s="2">
        <v>251448.000000011</v>
      </c>
      <c r="J2941" s="2">
        <v>1000</v>
      </c>
      <c r="K2941" s="2">
        <v>700</v>
      </c>
      <c r="L2941" s="2">
        <v>0</v>
      </c>
      <c r="M2941" s="2">
        <v>810188.41</v>
      </c>
      <c r="N2941">
        <f t="shared" si="60"/>
        <v>1062047.610000011</v>
      </c>
      <c r="O2941" s="2" t="s">
        <v>4</v>
      </c>
    </row>
    <row r="2942" spans="1:15" x14ac:dyDescent="0.2">
      <c r="A2942">
        <v>79</v>
      </c>
      <c r="B2942">
        <v>6</v>
      </c>
      <c r="C2942">
        <v>8</v>
      </c>
      <c r="D2942" s="2">
        <v>3</v>
      </c>
      <c r="E2942" s="2">
        <v>2</v>
      </c>
      <c r="F2942" s="2" t="s">
        <v>5</v>
      </c>
      <c r="G2942" s="2">
        <v>394.20000000021099</v>
      </c>
      <c r="H2942" s="2" t="s">
        <v>16</v>
      </c>
      <c r="I2942" s="2">
        <v>178140.00000001301</v>
      </c>
      <c r="J2942" s="2">
        <v>1000</v>
      </c>
      <c r="K2942" s="2">
        <v>700</v>
      </c>
      <c r="L2942" s="2">
        <v>0</v>
      </c>
      <c r="M2942" s="2">
        <v>803147.61</v>
      </c>
      <c r="N2942">
        <f t="shared" si="60"/>
        <v>981681.81000001321</v>
      </c>
      <c r="O2942" s="2" t="s">
        <v>4</v>
      </c>
    </row>
    <row r="2943" spans="1:15" x14ac:dyDescent="0.2">
      <c r="A2943">
        <v>80</v>
      </c>
      <c r="B2943">
        <v>6</v>
      </c>
      <c r="C2943">
        <v>7</v>
      </c>
      <c r="D2943" s="2">
        <v>3</v>
      </c>
      <c r="E2943" s="2">
        <v>2</v>
      </c>
      <c r="F2943" s="2" t="s">
        <v>5</v>
      </c>
      <c r="G2943" s="2">
        <v>306.60000000004601</v>
      </c>
      <c r="H2943" s="2" t="s">
        <v>16</v>
      </c>
      <c r="I2943" s="2">
        <v>148730</v>
      </c>
      <c r="J2943" s="2">
        <v>1000</v>
      </c>
      <c r="K2943" s="2">
        <v>700</v>
      </c>
      <c r="L2943" s="2">
        <v>0</v>
      </c>
      <c r="M2943" s="2">
        <v>812387.61</v>
      </c>
      <c r="N2943">
        <f t="shared" si="60"/>
        <v>961424.21</v>
      </c>
      <c r="O2943" s="2" t="s">
        <v>4</v>
      </c>
    </row>
    <row r="2944" spans="1:15" x14ac:dyDescent="0.2">
      <c r="A2944">
        <v>81</v>
      </c>
      <c r="B2944">
        <v>6</v>
      </c>
      <c r="C2944">
        <v>8</v>
      </c>
      <c r="D2944" s="2">
        <v>3</v>
      </c>
      <c r="E2944" s="2">
        <v>2</v>
      </c>
      <c r="F2944" s="2" t="s">
        <v>5</v>
      </c>
      <c r="G2944" s="2">
        <v>372.600000000389</v>
      </c>
      <c r="H2944" s="2" t="s">
        <v>16</v>
      </c>
      <c r="I2944" s="2">
        <v>307187.99999999598</v>
      </c>
      <c r="J2944" s="2">
        <v>1000</v>
      </c>
      <c r="K2944" s="2">
        <v>700</v>
      </c>
      <c r="L2944" s="2">
        <v>0</v>
      </c>
      <c r="M2944" s="2">
        <v>783548.01</v>
      </c>
      <c r="N2944">
        <f t="shared" si="60"/>
        <v>1091108.6099999964</v>
      </c>
      <c r="O2944" s="2" t="s">
        <v>4</v>
      </c>
    </row>
    <row r="2945" spans="1:15" x14ac:dyDescent="0.2">
      <c r="A2945">
        <v>82</v>
      </c>
      <c r="B2945">
        <v>6</v>
      </c>
      <c r="C2945">
        <v>8</v>
      </c>
      <c r="D2945" s="2">
        <v>2</v>
      </c>
      <c r="E2945" s="2">
        <v>2</v>
      </c>
      <c r="F2945" s="2" t="s">
        <v>5</v>
      </c>
      <c r="G2945" s="2">
        <v>377.99999999990098</v>
      </c>
      <c r="H2945" s="2" t="s">
        <v>16</v>
      </c>
      <c r="I2945" s="2">
        <v>516832.99999999098</v>
      </c>
      <c r="J2945" s="2">
        <v>1000</v>
      </c>
      <c r="K2945" s="2">
        <v>700</v>
      </c>
      <c r="L2945" s="2">
        <v>0</v>
      </c>
      <c r="M2945" s="2">
        <v>812747.21</v>
      </c>
      <c r="N2945">
        <f t="shared" si="60"/>
        <v>1329958.2099999909</v>
      </c>
      <c r="O2945" s="2" t="s">
        <v>4</v>
      </c>
    </row>
    <row r="2946" spans="1:15" x14ac:dyDescent="0.2">
      <c r="A2946">
        <v>83</v>
      </c>
      <c r="B2946">
        <v>6</v>
      </c>
      <c r="C2946">
        <v>9</v>
      </c>
      <c r="D2946" s="2">
        <v>2</v>
      </c>
      <c r="E2946" s="2">
        <v>2</v>
      </c>
      <c r="F2946" s="2" t="s">
        <v>5</v>
      </c>
      <c r="G2946" s="2">
        <v>451.20000000018501</v>
      </c>
      <c r="H2946" s="2" t="s">
        <v>16</v>
      </c>
      <c r="I2946" s="2">
        <v>413190.00000001403</v>
      </c>
      <c r="J2946" s="2">
        <v>1000</v>
      </c>
      <c r="K2946" s="2">
        <v>700</v>
      </c>
      <c r="L2946" s="2">
        <v>0</v>
      </c>
      <c r="M2946" s="2">
        <v>784427.61</v>
      </c>
      <c r="N2946">
        <f t="shared" si="60"/>
        <v>1198068.8100000143</v>
      </c>
      <c r="O2946" s="2" t="s">
        <v>4</v>
      </c>
    </row>
    <row r="2947" spans="1:15" x14ac:dyDescent="0.2">
      <c r="A2947">
        <v>84</v>
      </c>
      <c r="B2947">
        <v>6</v>
      </c>
      <c r="C2947">
        <v>10</v>
      </c>
      <c r="D2947" s="2">
        <v>2</v>
      </c>
      <c r="E2947" s="2">
        <v>2</v>
      </c>
      <c r="F2947" s="2" t="s">
        <v>5</v>
      </c>
      <c r="G2947" s="2">
        <v>503.80000000060897</v>
      </c>
      <c r="H2947" s="2" t="s">
        <v>16</v>
      </c>
      <c r="I2947" s="2">
        <v>474711.999999983</v>
      </c>
      <c r="J2947" s="2">
        <v>1000</v>
      </c>
      <c r="K2947" s="2">
        <v>700</v>
      </c>
      <c r="L2947" s="2">
        <v>0</v>
      </c>
      <c r="M2947" s="2">
        <v>817827.61</v>
      </c>
      <c r="N2947">
        <f t="shared" si="60"/>
        <v>1293043.4099999836</v>
      </c>
      <c r="O2947" s="2" t="s">
        <v>4</v>
      </c>
    </row>
    <row r="2948" spans="1:15" x14ac:dyDescent="0.2">
      <c r="A2948">
        <v>85</v>
      </c>
      <c r="B2948">
        <v>6</v>
      </c>
      <c r="C2948">
        <v>8</v>
      </c>
      <c r="D2948" s="2">
        <v>2</v>
      </c>
      <c r="E2948" s="2">
        <v>2</v>
      </c>
      <c r="F2948" s="2" t="s">
        <v>5</v>
      </c>
      <c r="G2948" s="2">
        <v>348.000000000326</v>
      </c>
      <c r="H2948" s="2" t="s">
        <v>16</v>
      </c>
      <c r="I2948" s="2">
        <v>608902.00000000105</v>
      </c>
      <c r="J2948" s="2">
        <v>1000</v>
      </c>
      <c r="K2948" s="2">
        <v>700</v>
      </c>
      <c r="L2948" s="2">
        <v>0</v>
      </c>
      <c r="M2948" s="2">
        <v>813988.01</v>
      </c>
      <c r="N2948">
        <f t="shared" si="60"/>
        <v>1423238.0100000014</v>
      </c>
      <c r="O2948" s="2" t="s">
        <v>4</v>
      </c>
    </row>
    <row r="2949" spans="1:15" x14ac:dyDescent="0.2">
      <c r="A2949">
        <v>86</v>
      </c>
      <c r="B2949">
        <v>6</v>
      </c>
      <c r="C2949">
        <v>10</v>
      </c>
      <c r="D2949" s="2">
        <v>3</v>
      </c>
      <c r="E2949" s="2">
        <v>2</v>
      </c>
      <c r="F2949" s="2" t="s">
        <v>5</v>
      </c>
      <c r="G2949" s="2">
        <v>468.00000000004599</v>
      </c>
      <c r="H2949" s="2" t="s">
        <v>16</v>
      </c>
      <c r="I2949" s="2">
        <v>645299.00000002305</v>
      </c>
      <c r="J2949" s="2">
        <v>1000</v>
      </c>
      <c r="K2949" s="2">
        <v>700</v>
      </c>
      <c r="L2949" s="2">
        <v>0</v>
      </c>
      <c r="M2949" s="2">
        <v>790706.81</v>
      </c>
      <c r="N2949">
        <f t="shared" si="60"/>
        <v>1436473.8100000231</v>
      </c>
      <c r="O2949" s="2" t="s">
        <v>4</v>
      </c>
    </row>
    <row r="2950" spans="1:15" x14ac:dyDescent="0.2">
      <c r="A2950">
        <v>87</v>
      </c>
      <c r="B2950">
        <v>6</v>
      </c>
      <c r="C2950">
        <v>10</v>
      </c>
      <c r="D2950" s="2">
        <v>2</v>
      </c>
      <c r="E2950" s="2">
        <v>2</v>
      </c>
      <c r="F2950" s="2" t="s">
        <v>5</v>
      </c>
      <c r="G2950" s="2">
        <v>451.39999999968001</v>
      </c>
      <c r="H2950" s="2" t="s">
        <v>16</v>
      </c>
      <c r="I2950" s="2">
        <v>401485.00000000797</v>
      </c>
      <c r="J2950" s="2">
        <v>1000</v>
      </c>
      <c r="K2950" s="2">
        <v>700</v>
      </c>
      <c r="L2950" s="2">
        <v>0</v>
      </c>
      <c r="M2950" s="2">
        <v>818066.81</v>
      </c>
      <c r="N2950">
        <f t="shared" si="60"/>
        <v>1220003.2100000076</v>
      </c>
      <c r="O2950" s="2" t="s">
        <v>4</v>
      </c>
    </row>
    <row r="2951" spans="1:15" x14ac:dyDescent="0.2">
      <c r="A2951">
        <v>88</v>
      </c>
      <c r="B2951">
        <v>6</v>
      </c>
      <c r="C2951">
        <v>10</v>
      </c>
      <c r="D2951" s="2">
        <v>3</v>
      </c>
      <c r="E2951" s="2">
        <v>2</v>
      </c>
      <c r="F2951" s="2" t="s">
        <v>5</v>
      </c>
      <c r="G2951" s="2">
        <v>490.20000000048498</v>
      </c>
      <c r="H2951" s="2" t="s">
        <v>16</v>
      </c>
      <c r="I2951" s="2">
        <v>672093.99999998696</v>
      </c>
      <c r="J2951" s="2">
        <v>1000</v>
      </c>
      <c r="K2951" s="2">
        <v>700</v>
      </c>
      <c r="L2951" s="2">
        <v>0</v>
      </c>
      <c r="M2951" s="2">
        <v>785428.01</v>
      </c>
      <c r="N2951">
        <f t="shared" si="60"/>
        <v>1458012.2099999874</v>
      </c>
      <c r="O2951" s="2" t="s">
        <v>4</v>
      </c>
    </row>
    <row r="2952" spans="1:15" x14ac:dyDescent="0.2">
      <c r="A2952">
        <v>89</v>
      </c>
      <c r="B2952">
        <v>6</v>
      </c>
      <c r="C2952">
        <v>7</v>
      </c>
      <c r="D2952" s="2">
        <v>3</v>
      </c>
      <c r="E2952" s="2">
        <v>2</v>
      </c>
      <c r="F2952" s="2" t="s">
        <v>5</v>
      </c>
      <c r="G2952" s="2">
        <v>266.39999999993302</v>
      </c>
      <c r="H2952" s="2" t="s">
        <v>16</v>
      </c>
      <c r="I2952" s="2">
        <v>186243.000000019</v>
      </c>
      <c r="J2952" s="2">
        <v>1000</v>
      </c>
      <c r="K2952" s="2">
        <v>700</v>
      </c>
      <c r="L2952" s="2">
        <v>0</v>
      </c>
      <c r="M2952" s="2">
        <v>780788.41</v>
      </c>
      <c r="N2952">
        <f t="shared" si="60"/>
        <v>967297.81000001892</v>
      </c>
      <c r="O2952" s="2" t="s">
        <v>4</v>
      </c>
    </row>
    <row r="2953" spans="1:15" x14ac:dyDescent="0.2">
      <c r="A2953">
        <v>90</v>
      </c>
      <c r="B2953">
        <v>6</v>
      </c>
      <c r="C2953">
        <v>8</v>
      </c>
      <c r="D2953" s="2">
        <v>2</v>
      </c>
      <c r="E2953" s="2">
        <v>2</v>
      </c>
      <c r="F2953" s="2" t="s">
        <v>5</v>
      </c>
      <c r="G2953" s="2">
        <v>335.79999999986399</v>
      </c>
      <c r="H2953" s="2" t="s">
        <v>16</v>
      </c>
      <c r="I2953" s="2">
        <v>399008.00000000902</v>
      </c>
      <c r="J2953" s="2">
        <v>1000</v>
      </c>
      <c r="K2953" s="2">
        <v>700</v>
      </c>
      <c r="L2953" s="2">
        <v>0</v>
      </c>
      <c r="M2953" s="2">
        <v>810308.41</v>
      </c>
      <c r="N2953">
        <f t="shared" si="60"/>
        <v>1209652.2100000088</v>
      </c>
      <c r="O2953" s="2" t="s">
        <v>4</v>
      </c>
    </row>
    <row r="2954" spans="1:15" x14ac:dyDescent="0.2">
      <c r="A2954">
        <v>91</v>
      </c>
      <c r="B2954">
        <v>6</v>
      </c>
      <c r="C2954">
        <v>8</v>
      </c>
      <c r="D2954" s="2">
        <v>3</v>
      </c>
      <c r="E2954" s="2">
        <v>2</v>
      </c>
      <c r="F2954" s="2" t="s">
        <v>5</v>
      </c>
      <c r="G2954" s="2">
        <v>335.59999999930301</v>
      </c>
      <c r="H2954" s="2" t="s">
        <v>16</v>
      </c>
      <c r="I2954" s="2">
        <v>151079.00000001001</v>
      </c>
      <c r="J2954" s="2">
        <v>1000</v>
      </c>
      <c r="K2954" s="2">
        <v>700</v>
      </c>
      <c r="L2954" s="2">
        <v>0</v>
      </c>
      <c r="M2954" s="2">
        <v>781466.81</v>
      </c>
      <c r="N2954">
        <f t="shared" si="60"/>
        <v>932881.41000000935</v>
      </c>
      <c r="O2954" s="2" t="s">
        <v>4</v>
      </c>
    </row>
    <row r="2955" spans="1:15" x14ac:dyDescent="0.2">
      <c r="A2955">
        <v>92</v>
      </c>
      <c r="B2955">
        <v>6</v>
      </c>
      <c r="C2955">
        <v>8</v>
      </c>
      <c r="D2955" s="2">
        <v>3</v>
      </c>
      <c r="E2955" s="2">
        <v>2</v>
      </c>
      <c r="F2955" s="2" t="s">
        <v>5</v>
      </c>
      <c r="G2955" s="2">
        <v>306.40000000019501</v>
      </c>
      <c r="H2955" s="2" t="s">
        <v>16</v>
      </c>
      <c r="I2955" s="2">
        <v>288912.000000011</v>
      </c>
      <c r="J2955" s="2">
        <v>1000</v>
      </c>
      <c r="K2955" s="2">
        <v>700</v>
      </c>
      <c r="L2955" s="2">
        <v>0</v>
      </c>
      <c r="M2955" s="2">
        <v>815467.21</v>
      </c>
      <c r="N2955">
        <f t="shared" si="60"/>
        <v>1104685.610000011</v>
      </c>
      <c r="O2955" s="2" t="s">
        <v>4</v>
      </c>
    </row>
    <row r="2956" spans="1:15" x14ac:dyDescent="0.2">
      <c r="A2956">
        <v>93</v>
      </c>
      <c r="B2956">
        <v>6</v>
      </c>
      <c r="C2956">
        <v>11</v>
      </c>
      <c r="D2956" s="2">
        <v>3</v>
      </c>
      <c r="E2956" s="2">
        <v>2</v>
      </c>
      <c r="F2956" s="2" t="s">
        <v>5</v>
      </c>
      <c r="G2956" s="2">
        <v>515.79999999979998</v>
      </c>
      <c r="H2956" s="2" t="s">
        <v>16</v>
      </c>
      <c r="I2956" s="2">
        <v>1416861.00000001</v>
      </c>
      <c r="J2956" s="2">
        <v>1000</v>
      </c>
      <c r="K2956" s="2">
        <v>700</v>
      </c>
      <c r="L2956" s="2">
        <v>0</v>
      </c>
      <c r="M2956" s="2">
        <v>798308.01</v>
      </c>
      <c r="N2956">
        <f t="shared" si="60"/>
        <v>2215684.8100000098</v>
      </c>
      <c r="O2956" s="2" t="s">
        <v>4</v>
      </c>
    </row>
    <row r="2957" spans="1:15" x14ac:dyDescent="0.2">
      <c r="A2957">
        <v>94</v>
      </c>
      <c r="B2957">
        <v>6</v>
      </c>
      <c r="C2957">
        <v>10</v>
      </c>
      <c r="D2957" s="2">
        <v>2</v>
      </c>
      <c r="E2957" s="2">
        <v>2</v>
      </c>
      <c r="F2957" s="2" t="s">
        <v>5</v>
      </c>
      <c r="G2957" s="2">
        <v>446.600000000075</v>
      </c>
      <c r="H2957" s="2" t="s">
        <v>16</v>
      </c>
      <c r="I2957" s="2">
        <v>711301.00000002002</v>
      </c>
      <c r="J2957" s="2">
        <v>1000</v>
      </c>
      <c r="K2957" s="2">
        <v>700</v>
      </c>
      <c r="L2957" s="2">
        <v>0</v>
      </c>
      <c r="M2957" s="2">
        <v>784827.21</v>
      </c>
      <c r="N2957">
        <f t="shared" si="60"/>
        <v>1496574.8100000201</v>
      </c>
      <c r="O2957" s="2" t="s">
        <v>4</v>
      </c>
    </row>
    <row r="2958" spans="1:15" x14ac:dyDescent="0.2">
      <c r="A2958">
        <v>95</v>
      </c>
      <c r="B2958">
        <v>6</v>
      </c>
      <c r="C2958">
        <v>12</v>
      </c>
      <c r="D2958" s="2">
        <v>2</v>
      </c>
      <c r="E2958" s="2">
        <v>2</v>
      </c>
      <c r="F2958" s="2" t="s">
        <v>5</v>
      </c>
      <c r="G2958" s="2">
        <v>605.60000000045</v>
      </c>
      <c r="H2958" s="2" t="s">
        <v>16</v>
      </c>
      <c r="I2958" s="2">
        <v>1174435.99999999</v>
      </c>
      <c r="J2958" s="2">
        <v>1000</v>
      </c>
      <c r="K2958" s="2">
        <v>700</v>
      </c>
      <c r="L2958" s="2">
        <v>0</v>
      </c>
      <c r="M2958" s="2">
        <v>818988.81</v>
      </c>
      <c r="N2958">
        <f t="shared" si="60"/>
        <v>1994030.4099999906</v>
      </c>
      <c r="O2958" s="2" t="s">
        <v>4</v>
      </c>
    </row>
    <row r="2959" spans="1:15" x14ac:dyDescent="0.2">
      <c r="A2959">
        <v>96</v>
      </c>
      <c r="B2959">
        <v>6</v>
      </c>
      <c r="C2959">
        <v>8</v>
      </c>
      <c r="D2959" s="2">
        <v>3</v>
      </c>
      <c r="E2959" s="2">
        <v>2</v>
      </c>
      <c r="F2959" s="2" t="s">
        <v>5</v>
      </c>
      <c r="G2959" s="2">
        <v>301.39999999967398</v>
      </c>
      <c r="H2959" s="2" t="s">
        <v>16</v>
      </c>
      <c r="I2959" s="2">
        <v>267707.00000000099</v>
      </c>
      <c r="J2959" s="2">
        <v>1000</v>
      </c>
      <c r="K2959" s="2">
        <v>700</v>
      </c>
      <c r="L2959" s="2">
        <v>0</v>
      </c>
      <c r="M2959" s="2">
        <v>812547.61</v>
      </c>
      <c r="N2959">
        <f t="shared" si="60"/>
        <v>1080556.0100000007</v>
      </c>
      <c r="O2959" s="2" t="s">
        <v>4</v>
      </c>
    </row>
    <row r="2960" spans="1:15" x14ac:dyDescent="0.2">
      <c r="A2960">
        <v>97</v>
      </c>
      <c r="B2960">
        <v>6</v>
      </c>
      <c r="C2960">
        <v>9</v>
      </c>
      <c r="D2960" s="2">
        <v>3</v>
      </c>
      <c r="E2960" s="2">
        <v>2</v>
      </c>
      <c r="F2960" s="2" t="s">
        <v>5</v>
      </c>
      <c r="G2960" s="2">
        <v>374.59999999995802</v>
      </c>
      <c r="H2960" s="2" t="s">
        <v>16</v>
      </c>
      <c r="I2960" s="2">
        <v>460260.00000000501</v>
      </c>
      <c r="J2960" s="2">
        <v>1000</v>
      </c>
      <c r="K2960" s="2">
        <v>700</v>
      </c>
      <c r="L2960" s="2">
        <v>0</v>
      </c>
      <c r="M2960" s="2">
        <v>780986.81</v>
      </c>
      <c r="N2960">
        <f t="shared" si="60"/>
        <v>1241621.410000005</v>
      </c>
      <c r="O2960" s="2" t="s">
        <v>4</v>
      </c>
    </row>
    <row r="2961" spans="1:15" x14ac:dyDescent="0.2">
      <c r="A2961">
        <v>98</v>
      </c>
      <c r="B2961">
        <v>6</v>
      </c>
      <c r="C2961">
        <v>10</v>
      </c>
      <c r="D2961" s="2">
        <v>3</v>
      </c>
      <c r="E2961" s="2">
        <v>2</v>
      </c>
      <c r="F2961" s="2" t="s">
        <v>5</v>
      </c>
      <c r="G2961" s="2">
        <v>496.19999999990199</v>
      </c>
      <c r="H2961" s="2" t="s">
        <v>16</v>
      </c>
      <c r="I2961" s="2">
        <v>385244</v>
      </c>
      <c r="J2961" s="2">
        <v>1000</v>
      </c>
      <c r="K2961" s="2">
        <v>700</v>
      </c>
      <c r="L2961" s="2">
        <v>0</v>
      </c>
      <c r="M2961" s="2">
        <v>809786.41</v>
      </c>
      <c r="N2961">
        <f t="shared" si="60"/>
        <v>1195526.6099999999</v>
      </c>
      <c r="O2961" s="2" t="s">
        <v>4</v>
      </c>
    </row>
    <row r="2962" spans="1:15" x14ac:dyDescent="0.2">
      <c r="A2962">
        <v>99</v>
      </c>
      <c r="B2962">
        <v>6</v>
      </c>
      <c r="C2962">
        <v>11</v>
      </c>
      <c r="D2962" s="2">
        <v>2</v>
      </c>
      <c r="E2962" s="2">
        <v>2</v>
      </c>
      <c r="F2962" s="2" t="s">
        <v>5</v>
      </c>
      <c r="G2962" s="2">
        <v>500.59999999980698</v>
      </c>
      <c r="H2962" s="2" t="s">
        <v>16</v>
      </c>
      <c r="I2962" s="2">
        <v>2095169</v>
      </c>
      <c r="J2962" s="2">
        <v>1000</v>
      </c>
      <c r="K2962" s="2">
        <v>700</v>
      </c>
      <c r="L2962" s="2">
        <v>0</v>
      </c>
      <c r="M2962" s="2">
        <v>784828.41</v>
      </c>
      <c r="N2962">
        <f t="shared" si="60"/>
        <v>2880498.01</v>
      </c>
      <c r="O2962" s="2" t="s">
        <v>4</v>
      </c>
    </row>
    <row r="2963" spans="1:15" x14ac:dyDescent="0.2">
      <c r="A2963">
        <v>70</v>
      </c>
      <c r="B2963">
        <v>6</v>
      </c>
      <c r="C2963">
        <v>6</v>
      </c>
      <c r="D2963" s="2">
        <v>3</v>
      </c>
      <c r="E2963" s="2">
        <v>2</v>
      </c>
      <c r="F2963" s="2" t="s">
        <v>5</v>
      </c>
      <c r="G2963" s="2">
        <v>916.60000000004504</v>
      </c>
      <c r="H2963" s="2" t="s">
        <v>16</v>
      </c>
      <c r="I2963" s="2">
        <v>68301.999999988504</v>
      </c>
      <c r="J2963" s="2">
        <v>2000</v>
      </c>
      <c r="K2963" s="2">
        <v>20</v>
      </c>
      <c r="L2963" s="2">
        <v>0</v>
      </c>
      <c r="M2963" s="2">
        <v>270028.01</v>
      </c>
      <c r="N2963">
        <f t="shared" si="53"/>
        <v>339246.60999998858</v>
      </c>
      <c r="O2963" s="2" t="s">
        <v>4</v>
      </c>
    </row>
    <row r="2964" spans="1:15" x14ac:dyDescent="0.2">
      <c r="A2964">
        <v>71</v>
      </c>
      <c r="B2964">
        <v>6</v>
      </c>
      <c r="C2964">
        <v>7</v>
      </c>
      <c r="D2964" s="2">
        <v>2</v>
      </c>
      <c r="E2964" s="2">
        <v>2</v>
      </c>
      <c r="F2964" s="2" t="s">
        <v>5</v>
      </c>
      <c r="G2964" s="2">
        <v>840.79999999993095</v>
      </c>
      <c r="H2964" s="2" t="s">
        <v>16</v>
      </c>
      <c r="I2964" s="2">
        <v>212421.000000006</v>
      </c>
      <c r="J2964" s="2">
        <v>2000</v>
      </c>
      <c r="K2964" s="2">
        <v>20</v>
      </c>
      <c r="L2964" s="2">
        <v>0</v>
      </c>
      <c r="M2964" s="2">
        <v>311070.01</v>
      </c>
      <c r="N2964">
        <f t="shared" si="53"/>
        <v>524331.81000000588</v>
      </c>
      <c r="O2964" s="2" t="s">
        <v>4</v>
      </c>
    </row>
    <row r="2965" spans="1:15" x14ac:dyDescent="0.2">
      <c r="A2965">
        <v>72</v>
      </c>
      <c r="B2965">
        <v>6</v>
      </c>
      <c r="C2965">
        <v>7</v>
      </c>
      <c r="D2965" s="2">
        <v>2</v>
      </c>
      <c r="E2965" s="2">
        <v>2</v>
      </c>
      <c r="F2965" s="2" t="s">
        <v>5</v>
      </c>
      <c r="G2965" s="2">
        <v>686.80000000043196</v>
      </c>
      <c r="H2965" s="2" t="s">
        <v>16</v>
      </c>
      <c r="I2965" s="2">
        <v>262078.00000000201</v>
      </c>
      <c r="J2965" s="2">
        <v>2000</v>
      </c>
      <c r="K2965" s="2">
        <v>20</v>
      </c>
      <c r="L2965" s="2">
        <v>0</v>
      </c>
      <c r="M2965" s="2">
        <v>369268.01</v>
      </c>
      <c r="N2965">
        <f t="shared" si="53"/>
        <v>632032.81000000238</v>
      </c>
      <c r="O2965" s="2" t="s">
        <v>4</v>
      </c>
    </row>
    <row r="2966" spans="1:15" x14ac:dyDescent="0.2">
      <c r="A2966">
        <v>73</v>
      </c>
      <c r="B2966">
        <v>6</v>
      </c>
      <c r="C2966">
        <v>7</v>
      </c>
      <c r="D2966" s="2">
        <v>3</v>
      </c>
      <c r="E2966" s="2">
        <v>2</v>
      </c>
      <c r="F2966" s="2" t="s">
        <v>5</v>
      </c>
      <c r="G2966" s="2">
        <v>696.99999999990303</v>
      </c>
      <c r="H2966" s="2" t="s">
        <v>16</v>
      </c>
      <c r="I2966" s="2">
        <v>220828.999999981</v>
      </c>
      <c r="J2966" s="2">
        <v>2000</v>
      </c>
      <c r="K2966" s="2">
        <v>20</v>
      </c>
      <c r="L2966" s="2">
        <v>0</v>
      </c>
      <c r="M2966" s="2">
        <v>272188.40999999997</v>
      </c>
      <c r="N2966">
        <f t="shared" si="53"/>
        <v>493714.40999998088</v>
      </c>
      <c r="O2966" s="2" t="s">
        <v>4</v>
      </c>
    </row>
    <row r="2967" spans="1:15" x14ac:dyDescent="0.2">
      <c r="A2967">
        <v>74</v>
      </c>
      <c r="B2967">
        <v>6</v>
      </c>
      <c r="C2967">
        <v>9</v>
      </c>
      <c r="D2967" s="2">
        <v>3</v>
      </c>
      <c r="E2967" s="2">
        <v>2</v>
      </c>
      <c r="F2967" s="2" t="s">
        <v>5</v>
      </c>
      <c r="G2967" s="2">
        <v>767.00000000009504</v>
      </c>
      <c r="H2967" s="2" t="s">
        <v>16</v>
      </c>
      <c r="I2967" s="2">
        <v>641922.99999999104</v>
      </c>
      <c r="J2967" s="2">
        <v>2000</v>
      </c>
      <c r="K2967" s="2">
        <v>20</v>
      </c>
      <c r="L2967" s="2">
        <v>0</v>
      </c>
      <c r="M2967" s="2">
        <v>349468.81</v>
      </c>
      <c r="N2967">
        <f t="shared" si="53"/>
        <v>992158.80999999121</v>
      </c>
      <c r="O2967" s="2" t="s">
        <v>4</v>
      </c>
    </row>
    <row r="2968" spans="1:15" x14ac:dyDescent="0.2">
      <c r="A2968">
        <v>75</v>
      </c>
      <c r="B2968">
        <v>6</v>
      </c>
      <c r="C2968">
        <v>7</v>
      </c>
      <c r="D2968" s="2">
        <v>3</v>
      </c>
      <c r="E2968" s="2">
        <v>2</v>
      </c>
      <c r="F2968" s="2" t="s">
        <v>5</v>
      </c>
      <c r="G2968" s="2">
        <v>442.80000000007601</v>
      </c>
      <c r="H2968" s="2" t="s">
        <v>16</v>
      </c>
      <c r="I2968" s="2">
        <v>188826.000000006</v>
      </c>
      <c r="J2968" s="2">
        <v>2000</v>
      </c>
      <c r="K2968" s="2">
        <v>20</v>
      </c>
      <c r="L2968" s="2">
        <v>0</v>
      </c>
      <c r="M2968" s="2">
        <v>352229.21</v>
      </c>
      <c r="N2968">
        <f t="shared" si="53"/>
        <v>541498.01000000606</v>
      </c>
      <c r="O2968" s="2" t="s">
        <v>5</v>
      </c>
    </row>
    <row r="2969" spans="1:15" x14ac:dyDescent="0.2">
      <c r="A2969">
        <v>76</v>
      </c>
      <c r="B2969">
        <v>6</v>
      </c>
      <c r="C2969">
        <v>8</v>
      </c>
      <c r="D2969" s="2">
        <v>3</v>
      </c>
      <c r="E2969" s="2">
        <v>2</v>
      </c>
      <c r="F2969" s="2" t="s">
        <v>5</v>
      </c>
      <c r="G2969" s="2">
        <v>657.20000000020195</v>
      </c>
      <c r="H2969" s="2" t="s">
        <v>16</v>
      </c>
      <c r="I2969" s="2">
        <v>207245</v>
      </c>
      <c r="J2969" s="2">
        <v>2000</v>
      </c>
      <c r="K2969" s="2">
        <v>20</v>
      </c>
      <c r="L2969" s="2">
        <v>0</v>
      </c>
      <c r="M2969" s="2">
        <v>279028.81</v>
      </c>
      <c r="N2969">
        <f t="shared" si="53"/>
        <v>486931.01000000024</v>
      </c>
      <c r="O2969" s="2" t="s">
        <v>4</v>
      </c>
    </row>
    <row r="2970" spans="1:15" x14ac:dyDescent="0.2">
      <c r="A2970">
        <v>77</v>
      </c>
      <c r="B2970">
        <v>6</v>
      </c>
      <c r="C2970">
        <v>8</v>
      </c>
      <c r="D2970" s="2">
        <v>3</v>
      </c>
      <c r="E2970" s="2">
        <v>2</v>
      </c>
      <c r="F2970" s="2" t="s">
        <v>5</v>
      </c>
      <c r="G2970" s="2">
        <v>517.59999999951799</v>
      </c>
      <c r="H2970" s="2" t="s">
        <v>16</v>
      </c>
      <c r="I2970" s="2">
        <v>554278.99999997998</v>
      </c>
      <c r="J2970" s="2">
        <v>2000</v>
      </c>
      <c r="K2970" s="2">
        <v>20</v>
      </c>
      <c r="L2970" s="2">
        <v>0</v>
      </c>
      <c r="M2970" s="2">
        <v>270388.01</v>
      </c>
      <c r="N2970">
        <f t="shared" si="53"/>
        <v>825184.6099999795</v>
      </c>
      <c r="O2970" s="2" t="s">
        <v>4</v>
      </c>
    </row>
    <row r="2971" spans="1:15" x14ac:dyDescent="0.2">
      <c r="A2971">
        <v>78</v>
      </c>
      <c r="B2971">
        <v>6</v>
      </c>
      <c r="C2971">
        <v>8</v>
      </c>
      <c r="D2971" s="2">
        <v>3</v>
      </c>
      <c r="E2971" s="2">
        <v>2</v>
      </c>
      <c r="F2971" s="2" t="s">
        <v>5</v>
      </c>
      <c r="G2971" s="2">
        <v>411.19999999992302</v>
      </c>
      <c r="H2971" s="2" t="s">
        <v>16</v>
      </c>
      <c r="I2971" s="2">
        <v>251448.000000011</v>
      </c>
      <c r="J2971" s="2">
        <v>2000</v>
      </c>
      <c r="K2971" s="2">
        <v>20</v>
      </c>
      <c r="L2971" s="2">
        <v>0</v>
      </c>
      <c r="M2971" s="2">
        <v>352108.81</v>
      </c>
      <c r="N2971">
        <f t="shared" si="53"/>
        <v>603968.01000001095</v>
      </c>
      <c r="O2971" s="2" t="s">
        <v>4</v>
      </c>
    </row>
    <row r="2972" spans="1:15" x14ac:dyDescent="0.2">
      <c r="A2972">
        <v>79</v>
      </c>
      <c r="B2972">
        <v>6</v>
      </c>
      <c r="C2972">
        <v>8</v>
      </c>
      <c r="D2972" s="2">
        <v>3</v>
      </c>
      <c r="E2972" s="2">
        <v>2</v>
      </c>
      <c r="F2972" s="2" t="s">
        <v>5</v>
      </c>
      <c r="G2972" s="2">
        <v>394.20000000021099</v>
      </c>
      <c r="H2972" s="2" t="s">
        <v>16</v>
      </c>
      <c r="I2972" s="2">
        <v>178140.00000001301</v>
      </c>
      <c r="J2972" s="2">
        <v>2000</v>
      </c>
      <c r="K2972" s="2">
        <v>20</v>
      </c>
      <c r="L2972" s="2">
        <v>0</v>
      </c>
      <c r="M2972" s="2">
        <v>330988.01</v>
      </c>
      <c r="N2972">
        <f t="shared" si="53"/>
        <v>509522.21000001323</v>
      </c>
      <c r="O2972" s="2" t="s">
        <v>4</v>
      </c>
    </row>
    <row r="2973" spans="1:15" x14ac:dyDescent="0.2">
      <c r="A2973">
        <v>80</v>
      </c>
      <c r="B2973">
        <v>6</v>
      </c>
      <c r="C2973">
        <v>7</v>
      </c>
      <c r="D2973" s="2">
        <v>3</v>
      </c>
      <c r="E2973" s="2">
        <v>2</v>
      </c>
      <c r="F2973" s="2" t="s">
        <v>5</v>
      </c>
      <c r="G2973" s="2">
        <v>306.60000000004601</v>
      </c>
      <c r="H2973" s="2" t="s">
        <v>16</v>
      </c>
      <c r="I2973" s="2">
        <v>148730</v>
      </c>
      <c r="J2973" s="2">
        <v>2000</v>
      </c>
      <c r="K2973" s="2">
        <v>20</v>
      </c>
      <c r="L2973" s="2">
        <v>0</v>
      </c>
      <c r="M2973" s="2">
        <v>358708.01</v>
      </c>
      <c r="N2973">
        <f t="shared" si="53"/>
        <v>507744.61000000004</v>
      </c>
      <c r="O2973" s="2" t="s">
        <v>4</v>
      </c>
    </row>
    <row r="2974" spans="1:15" x14ac:dyDescent="0.2">
      <c r="A2974">
        <v>81</v>
      </c>
      <c r="B2974">
        <v>6</v>
      </c>
      <c r="C2974">
        <v>8</v>
      </c>
      <c r="D2974" s="2">
        <v>3</v>
      </c>
      <c r="E2974" s="2">
        <v>2</v>
      </c>
      <c r="F2974" s="2" t="s">
        <v>5</v>
      </c>
      <c r="G2974" s="2">
        <v>372.600000000389</v>
      </c>
      <c r="H2974" s="2" t="s">
        <v>16</v>
      </c>
      <c r="I2974" s="2">
        <v>307187.99999999598</v>
      </c>
      <c r="J2974" s="2">
        <v>2000</v>
      </c>
      <c r="K2974" s="2">
        <v>20</v>
      </c>
      <c r="L2974" s="2">
        <v>0</v>
      </c>
      <c r="M2974" s="2">
        <v>272188.40999999997</v>
      </c>
      <c r="N2974">
        <f t="shared" si="53"/>
        <v>579749.00999999628</v>
      </c>
      <c r="O2974" s="2" t="s">
        <v>4</v>
      </c>
    </row>
    <row r="2975" spans="1:15" x14ac:dyDescent="0.2">
      <c r="A2975">
        <v>82</v>
      </c>
      <c r="B2975">
        <v>6</v>
      </c>
      <c r="C2975">
        <v>8</v>
      </c>
      <c r="D2975" s="2">
        <v>2</v>
      </c>
      <c r="E2975" s="2">
        <v>2</v>
      </c>
      <c r="F2975" s="2" t="s">
        <v>5</v>
      </c>
      <c r="G2975" s="2">
        <v>377.99999999990098</v>
      </c>
      <c r="H2975" s="2" t="s">
        <v>16</v>
      </c>
      <c r="I2975" s="2">
        <v>516832.99999999098</v>
      </c>
      <c r="J2975" s="2">
        <v>2000</v>
      </c>
      <c r="K2975" s="2">
        <v>20</v>
      </c>
      <c r="L2975" s="2">
        <v>0</v>
      </c>
      <c r="M2975" s="2">
        <v>359787.61</v>
      </c>
      <c r="N2975">
        <f t="shared" si="53"/>
        <v>876998.60999999079</v>
      </c>
      <c r="O2975" s="2" t="s">
        <v>4</v>
      </c>
    </row>
    <row r="2976" spans="1:15" x14ac:dyDescent="0.2">
      <c r="A2976">
        <v>83</v>
      </c>
      <c r="B2976">
        <v>6</v>
      </c>
      <c r="C2976">
        <v>9</v>
      </c>
      <c r="D2976" s="2">
        <v>2</v>
      </c>
      <c r="E2976" s="2">
        <v>2</v>
      </c>
      <c r="F2976" s="2" t="s">
        <v>5</v>
      </c>
      <c r="G2976" s="2">
        <v>451.20000000018501</v>
      </c>
      <c r="H2976" s="2" t="s">
        <v>16</v>
      </c>
      <c r="I2976" s="2">
        <v>413190.00000001403</v>
      </c>
      <c r="J2976" s="2">
        <v>2000</v>
      </c>
      <c r="K2976" s="2">
        <v>20</v>
      </c>
      <c r="L2976" s="2">
        <v>0</v>
      </c>
      <c r="M2976" s="2">
        <v>274828.01</v>
      </c>
      <c r="N2976">
        <f t="shared" si="53"/>
        <v>688469.21000001417</v>
      </c>
      <c r="O2976" s="2" t="s">
        <v>4</v>
      </c>
    </row>
    <row r="2977" spans="1:15" x14ac:dyDescent="0.2">
      <c r="A2977">
        <v>84</v>
      </c>
      <c r="B2977">
        <v>6</v>
      </c>
      <c r="C2977">
        <v>10</v>
      </c>
      <c r="D2977" s="2">
        <v>2</v>
      </c>
      <c r="E2977" s="2">
        <v>2</v>
      </c>
      <c r="F2977" s="2" t="s">
        <v>5</v>
      </c>
      <c r="G2977" s="2">
        <v>503.80000000060897</v>
      </c>
      <c r="H2977" s="2" t="s">
        <v>16</v>
      </c>
      <c r="I2977" s="2">
        <v>474711.999999983</v>
      </c>
      <c r="J2977" s="2">
        <v>2000</v>
      </c>
      <c r="K2977" s="2">
        <v>20</v>
      </c>
      <c r="L2977" s="2">
        <v>0</v>
      </c>
      <c r="M2977" s="2">
        <v>375028.01</v>
      </c>
      <c r="N2977">
        <f t="shared" si="53"/>
        <v>850243.80999998364</v>
      </c>
      <c r="O2977" s="2" t="s">
        <v>4</v>
      </c>
    </row>
    <row r="2978" spans="1:15" x14ac:dyDescent="0.2">
      <c r="A2978">
        <v>85</v>
      </c>
      <c r="B2978">
        <v>6</v>
      </c>
      <c r="C2978">
        <v>8</v>
      </c>
      <c r="D2978" s="2">
        <v>2</v>
      </c>
      <c r="E2978" s="2">
        <v>2</v>
      </c>
      <c r="F2978" s="2" t="s">
        <v>5</v>
      </c>
      <c r="G2978" s="2">
        <v>348.000000000326</v>
      </c>
      <c r="H2978" s="2" t="s">
        <v>16</v>
      </c>
      <c r="I2978" s="2">
        <v>608902.00000000105</v>
      </c>
      <c r="J2978" s="2">
        <v>2000</v>
      </c>
      <c r="K2978" s="2">
        <v>20</v>
      </c>
      <c r="L2978" s="2">
        <v>0</v>
      </c>
      <c r="M2978" s="2">
        <v>363508.41</v>
      </c>
      <c r="N2978">
        <f t="shared" si="53"/>
        <v>972758.41000000131</v>
      </c>
      <c r="O2978" s="2" t="s">
        <v>4</v>
      </c>
    </row>
    <row r="2979" spans="1:15" x14ac:dyDescent="0.2">
      <c r="A2979">
        <v>86</v>
      </c>
      <c r="B2979">
        <v>6</v>
      </c>
      <c r="C2979">
        <v>10</v>
      </c>
      <c r="D2979" s="2">
        <v>3</v>
      </c>
      <c r="E2979" s="2">
        <v>2</v>
      </c>
      <c r="F2979" s="2" t="s">
        <v>5</v>
      </c>
      <c r="G2979" s="2">
        <v>468.00000000004599</v>
      </c>
      <c r="H2979" s="2" t="s">
        <v>16</v>
      </c>
      <c r="I2979" s="2">
        <v>645299.00000002305</v>
      </c>
      <c r="J2979" s="2">
        <v>2000</v>
      </c>
      <c r="K2979" s="2">
        <v>20</v>
      </c>
      <c r="L2979" s="2">
        <v>0</v>
      </c>
      <c r="M2979" s="2">
        <v>293667.21000000002</v>
      </c>
      <c r="N2979">
        <f t="shared" si="53"/>
        <v>939434.21000002301</v>
      </c>
      <c r="O2979" s="2" t="s">
        <v>4</v>
      </c>
    </row>
    <row r="2980" spans="1:15" x14ac:dyDescent="0.2">
      <c r="A2980">
        <v>87</v>
      </c>
      <c r="B2980">
        <v>6</v>
      </c>
      <c r="C2980">
        <v>10</v>
      </c>
      <c r="D2980" s="2">
        <v>2</v>
      </c>
      <c r="E2980" s="2">
        <v>2</v>
      </c>
      <c r="F2980" s="2" t="s">
        <v>5</v>
      </c>
      <c r="G2980" s="2">
        <v>451.39999999968001</v>
      </c>
      <c r="H2980" s="2" t="s">
        <v>16</v>
      </c>
      <c r="I2980" s="2">
        <v>401485.00000000797</v>
      </c>
      <c r="J2980" s="2">
        <v>2000</v>
      </c>
      <c r="K2980" s="2">
        <v>20</v>
      </c>
      <c r="L2980" s="2">
        <v>0</v>
      </c>
      <c r="M2980" s="2">
        <v>375747.21</v>
      </c>
      <c r="N2980">
        <f t="shared" si="53"/>
        <v>777683.61000000767</v>
      </c>
      <c r="O2980" s="2" t="s">
        <v>4</v>
      </c>
    </row>
    <row r="2981" spans="1:15" x14ac:dyDescent="0.2">
      <c r="A2981">
        <v>88</v>
      </c>
      <c r="B2981">
        <v>6</v>
      </c>
      <c r="C2981">
        <v>10</v>
      </c>
      <c r="D2981" s="2">
        <v>3</v>
      </c>
      <c r="E2981" s="2">
        <v>2</v>
      </c>
      <c r="F2981" s="2" t="s">
        <v>5</v>
      </c>
      <c r="G2981" s="2">
        <v>490.20000000048498</v>
      </c>
      <c r="H2981" s="2" t="s">
        <v>16</v>
      </c>
      <c r="I2981" s="2">
        <v>672093.99999998696</v>
      </c>
      <c r="J2981" s="2">
        <v>2000</v>
      </c>
      <c r="K2981" s="2">
        <v>20</v>
      </c>
      <c r="L2981" s="2">
        <v>0</v>
      </c>
      <c r="M2981" s="2">
        <v>277828.40999999997</v>
      </c>
      <c r="N2981">
        <f t="shared" si="53"/>
        <v>950412.60999998753</v>
      </c>
      <c r="O2981" s="2" t="s">
        <v>4</v>
      </c>
    </row>
    <row r="2982" spans="1:15" x14ac:dyDescent="0.2">
      <c r="A2982">
        <v>89</v>
      </c>
      <c r="B2982">
        <v>6</v>
      </c>
      <c r="C2982">
        <v>7</v>
      </c>
      <c r="D2982" s="2">
        <v>3</v>
      </c>
      <c r="E2982" s="2">
        <v>2</v>
      </c>
      <c r="F2982" s="2" t="s">
        <v>5</v>
      </c>
      <c r="G2982" s="2">
        <v>266.39999999993302</v>
      </c>
      <c r="H2982" s="2" t="s">
        <v>16</v>
      </c>
      <c r="I2982" s="2">
        <v>186243.000000019</v>
      </c>
      <c r="J2982" s="2">
        <v>2000</v>
      </c>
      <c r="K2982" s="2">
        <v>20</v>
      </c>
      <c r="L2982" s="2">
        <v>0</v>
      </c>
      <c r="M2982" s="2">
        <v>263908.40999999997</v>
      </c>
      <c r="N2982">
        <f t="shared" si="53"/>
        <v>450417.81000001892</v>
      </c>
      <c r="O2982" s="2" t="s">
        <v>4</v>
      </c>
    </row>
    <row r="2983" spans="1:15" x14ac:dyDescent="0.2">
      <c r="A2983">
        <v>90</v>
      </c>
      <c r="B2983">
        <v>6</v>
      </c>
      <c r="C2983">
        <v>8</v>
      </c>
      <c r="D2983" s="2">
        <v>2</v>
      </c>
      <c r="E2983" s="2">
        <v>2</v>
      </c>
      <c r="F2983" s="2" t="s">
        <v>5</v>
      </c>
      <c r="G2983" s="2">
        <v>335.79999999986399</v>
      </c>
      <c r="H2983" s="2" t="s">
        <v>16</v>
      </c>
      <c r="I2983" s="2">
        <v>399008.00000000902</v>
      </c>
      <c r="J2983" s="2">
        <v>2000</v>
      </c>
      <c r="K2983" s="2">
        <v>20</v>
      </c>
      <c r="L2983" s="2">
        <v>0</v>
      </c>
      <c r="M2983" s="2">
        <v>352468.81</v>
      </c>
      <c r="N2983">
        <f t="shared" si="53"/>
        <v>751812.61000000895</v>
      </c>
      <c r="O2983" s="2" t="s">
        <v>4</v>
      </c>
    </row>
    <row r="2984" spans="1:15" x14ac:dyDescent="0.2">
      <c r="A2984">
        <v>91</v>
      </c>
      <c r="B2984">
        <v>6</v>
      </c>
      <c r="C2984">
        <v>8</v>
      </c>
      <c r="D2984" s="2">
        <v>3</v>
      </c>
      <c r="E2984" s="2">
        <v>2</v>
      </c>
      <c r="F2984" s="2" t="s">
        <v>5</v>
      </c>
      <c r="G2984" s="2">
        <v>335.59999999930301</v>
      </c>
      <c r="H2984" s="2" t="s">
        <v>16</v>
      </c>
      <c r="I2984" s="2">
        <v>151079.00000001001</v>
      </c>
      <c r="J2984" s="2">
        <v>2000</v>
      </c>
      <c r="K2984" s="2">
        <v>20</v>
      </c>
      <c r="L2984" s="2">
        <v>0</v>
      </c>
      <c r="M2984" s="2">
        <v>265947.61</v>
      </c>
      <c r="N2984">
        <f t="shared" si="53"/>
        <v>417362.21000000928</v>
      </c>
      <c r="O2984" s="2" t="s">
        <v>4</v>
      </c>
    </row>
    <row r="2985" spans="1:15" x14ac:dyDescent="0.2">
      <c r="A2985">
        <v>92</v>
      </c>
      <c r="B2985">
        <v>6</v>
      </c>
      <c r="C2985">
        <v>8</v>
      </c>
      <c r="D2985" s="2">
        <v>3</v>
      </c>
      <c r="E2985" s="2">
        <v>2</v>
      </c>
      <c r="F2985" s="2" t="s">
        <v>5</v>
      </c>
      <c r="G2985" s="2">
        <v>306.40000000019501</v>
      </c>
      <c r="H2985" s="2" t="s">
        <v>16</v>
      </c>
      <c r="I2985" s="2">
        <v>288912.000000011</v>
      </c>
      <c r="J2985" s="2">
        <v>2000</v>
      </c>
      <c r="K2985" s="2">
        <v>20</v>
      </c>
      <c r="L2985" s="2">
        <v>0</v>
      </c>
      <c r="M2985" s="2">
        <v>367947.61</v>
      </c>
      <c r="N2985">
        <f t="shared" si="53"/>
        <v>657166.01000001119</v>
      </c>
      <c r="O2985" s="2" t="s">
        <v>4</v>
      </c>
    </row>
    <row r="2986" spans="1:15" x14ac:dyDescent="0.2">
      <c r="A2986">
        <v>93</v>
      </c>
      <c r="B2986">
        <v>6</v>
      </c>
      <c r="C2986">
        <v>11</v>
      </c>
      <c r="D2986" s="2">
        <v>3</v>
      </c>
      <c r="E2986" s="2">
        <v>2</v>
      </c>
      <c r="F2986" s="2" t="s">
        <v>5</v>
      </c>
      <c r="G2986" s="2">
        <v>515.79999999979998</v>
      </c>
      <c r="H2986" s="2" t="s">
        <v>16</v>
      </c>
      <c r="I2986" s="2">
        <v>1416861.00000001</v>
      </c>
      <c r="J2986" s="2">
        <v>2000</v>
      </c>
      <c r="K2986" s="2">
        <v>20</v>
      </c>
      <c r="L2986" s="2">
        <v>0</v>
      </c>
      <c r="M2986" s="2">
        <v>316468.40999999997</v>
      </c>
      <c r="N2986">
        <f t="shared" si="53"/>
        <v>1733845.2100000097</v>
      </c>
      <c r="O2986" s="2" t="s">
        <v>4</v>
      </c>
    </row>
    <row r="2987" spans="1:15" x14ac:dyDescent="0.2">
      <c r="A2987">
        <v>94</v>
      </c>
      <c r="B2987">
        <v>6</v>
      </c>
      <c r="C2987">
        <v>10</v>
      </c>
      <c r="D2987" s="2">
        <v>2</v>
      </c>
      <c r="E2987" s="2">
        <v>2</v>
      </c>
      <c r="F2987" s="2" t="s">
        <v>5</v>
      </c>
      <c r="G2987" s="2">
        <v>446.600000000075</v>
      </c>
      <c r="H2987" s="2" t="s">
        <v>16</v>
      </c>
      <c r="I2987" s="2">
        <v>711301.00000002002</v>
      </c>
      <c r="J2987" s="2">
        <v>2000</v>
      </c>
      <c r="K2987" s="2">
        <v>20</v>
      </c>
      <c r="L2987" s="2">
        <v>0</v>
      </c>
      <c r="M2987" s="2">
        <v>276027.61</v>
      </c>
      <c r="N2987">
        <f t="shared" si="53"/>
        <v>987775.2100000201</v>
      </c>
      <c r="O2987" s="2" t="s">
        <v>4</v>
      </c>
    </row>
    <row r="2988" spans="1:15" x14ac:dyDescent="0.2">
      <c r="A2988">
        <v>95</v>
      </c>
      <c r="B2988">
        <v>6</v>
      </c>
      <c r="C2988">
        <v>12</v>
      </c>
      <c r="D2988" s="2">
        <v>2</v>
      </c>
      <c r="E2988" s="2">
        <v>2</v>
      </c>
      <c r="F2988" s="2" t="s">
        <v>5</v>
      </c>
      <c r="G2988" s="2">
        <v>605.60000000045</v>
      </c>
      <c r="H2988" s="2" t="s">
        <v>16</v>
      </c>
      <c r="I2988" s="2">
        <v>1174435.99999999</v>
      </c>
      <c r="J2988" s="2">
        <v>2000</v>
      </c>
      <c r="K2988" s="2">
        <v>20</v>
      </c>
      <c r="L2988" s="2">
        <v>0</v>
      </c>
      <c r="M2988" s="2">
        <v>378508.81</v>
      </c>
      <c r="N2988">
        <f t="shared" si="53"/>
        <v>1553550.4099999906</v>
      </c>
      <c r="O2988" s="2" t="s">
        <v>4</v>
      </c>
    </row>
    <row r="2989" spans="1:15" x14ac:dyDescent="0.2">
      <c r="A2989">
        <v>96</v>
      </c>
      <c r="B2989">
        <v>6</v>
      </c>
      <c r="C2989">
        <v>8</v>
      </c>
      <c r="D2989" s="2">
        <v>3</v>
      </c>
      <c r="E2989" s="2">
        <v>2</v>
      </c>
      <c r="F2989" s="2" t="s">
        <v>5</v>
      </c>
      <c r="G2989" s="2">
        <v>301.39999999967398</v>
      </c>
      <c r="H2989" s="2" t="s">
        <v>16</v>
      </c>
      <c r="I2989" s="2">
        <v>267707.00000000099</v>
      </c>
      <c r="J2989" s="2">
        <v>2000</v>
      </c>
      <c r="K2989" s="2">
        <v>20</v>
      </c>
      <c r="L2989" s="2">
        <v>0</v>
      </c>
      <c r="M2989" s="2">
        <v>359188.01</v>
      </c>
      <c r="N2989">
        <f t="shared" si="53"/>
        <v>627196.41000000061</v>
      </c>
      <c r="O2989" s="2" t="s">
        <v>4</v>
      </c>
    </row>
    <row r="2990" spans="1:15" x14ac:dyDescent="0.2">
      <c r="A2990">
        <v>97</v>
      </c>
      <c r="B2990">
        <v>6</v>
      </c>
      <c r="C2990">
        <v>9</v>
      </c>
      <c r="D2990" s="2">
        <v>3</v>
      </c>
      <c r="E2990" s="2">
        <v>2</v>
      </c>
      <c r="F2990" s="2" t="s">
        <v>5</v>
      </c>
      <c r="G2990" s="2">
        <v>374.59999999995802</v>
      </c>
      <c r="H2990" s="2" t="s">
        <v>16</v>
      </c>
      <c r="I2990" s="2">
        <v>460260.00000000501</v>
      </c>
      <c r="J2990" s="2">
        <v>2000</v>
      </c>
      <c r="K2990" s="2">
        <v>20</v>
      </c>
      <c r="L2990" s="2">
        <v>0</v>
      </c>
      <c r="M2990" s="2">
        <v>264507.21000000002</v>
      </c>
      <c r="N2990">
        <f t="shared" si="53"/>
        <v>725141.81000000495</v>
      </c>
      <c r="O2990" s="2" t="s">
        <v>4</v>
      </c>
    </row>
    <row r="2991" spans="1:15" x14ac:dyDescent="0.2">
      <c r="A2991">
        <v>98</v>
      </c>
      <c r="B2991">
        <v>6</v>
      </c>
      <c r="C2991">
        <v>10</v>
      </c>
      <c r="D2991" s="2">
        <v>3</v>
      </c>
      <c r="E2991" s="2">
        <v>2</v>
      </c>
      <c r="F2991" s="2" t="s">
        <v>5</v>
      </c>
      <c r="G2991" s="2">
        <v>496.19999999990199</v>
      </c>
      <c r="H2991" s="2" t="s">
        <v>16</v>
      </c>
      <c r="I2991" s="2">
        <v>385244</v>
      </c>
      <c r="J2991" s="2">
        <v>2000</v>
      </c>
      <c r="K2991" s="2">
        <v>20</v>
      </c>
      <c r="L2991" s="2">
        <v>0</v>
      </c>
      <c r="M2991" s="2">
        <v>350907.21</v>
      </c>
      <c r="N2991">
        <f t="shared" si="53"/>
        <v>736647.40999999992</v>
      </c>
      <c r="O2991" s="2" t="s">
        <v>4</v>
      </c>
    </row>
    <row r="2992" spans="1:15" x14ac:dyDescent="0.2">
      <c r="A2992">
        <v>99</v>
      </c>
      <c r="B2992">
        <v>6</v>
      </c>
      <c r="C2992">
        <v>11</v>
      </c>
      <c r="D2992" s="2">
        <v>2</v>
      </c>
      <c r="E2992" s="2">
        <v>2</v>
      </c>
      <c r="F2992" s="2" t="s">
        <v>5</v>
      </c>
      <c r="G2992" s="2">
        <v>500.59999999980698</v>
      </c>
      <c r="H2992" s="2" t="s">
        <v>16</v>
      </c>
      <c r="I2992" s="2">
        <v>2095169</v>
      </c>
      <c r="J2992" s="2">
        <v>2000</v>
      </c>
      <c r="K2992" s="2">
        <v>20</v>
      </c>
      <c r="L2992" s="2">
        <v>0</v>
      </c>
      <c r="M2992" s="2">
        <v>276028.81</v>
      </c>
      <c r="N2992">
        <f t="shared" si="53"/>
        <v>2371698.4099999997</v>
      </c>
      <c r="O2992" s="2" t="s">
        <v>4</v>
      </c>
    </row>
    <row r="2993" spans="1:15" x14ac:dyDescent="0.2">
      <c r="A2993">
        <v>70</v>
      </c>
      <c r="B2993">
        <v>6</v>
      </c>
      <c r="C2993">
        <v>6</v>
      </c>
      <c r="D2993" s="2">
        <v>3</v>
      </c>
      <c r="E2993" s="2">
        <v>2</v>
      </c>
      <c r="F2993" s="2" t="s">
        <v>5</v>
      </c>
      <c r="G2993" s="2">
        <v>916.60000000004504</v>
      </c>
      <c r="H2993" s="2" t="s">
        <v>16</v>
      </c>
      <c r="I2993" s="2">
        <v>68301.999999988504</v>
      </c>
      <c r="J2993" s="2">
        <v>2000</v>
      </c>
      <c r="K2993" s="2">
        <v>100</v>
      </c>
      <c r="L2993" s="2">
        <v>0</v>
      </c>
      <c r="M2993" s="2">
        <v>346427.61</v>
      </c>
      <c r="N2993">
        <f t="shared" ref="N2993:N3022" si="61">G2993+I2993+M2993</f>
        <v>415646.20999998855</v>
      </c>
      <c r="O2993" s="2" t="s">
        <v>5</v>
      </c>
    </row>
    <row r="2994" spans="1:15" x14ac:dyDescent="0.2">
      <c r="A2994">
        <v>71</v>
      </c>
      <c r="B2994">
        <v>6</v>
      </c>
      <c r="C2994">
        <v>7</v>
      </c>
      <c r="D2994" s="2">
        <v>2</v>
      </c>
      <c r="E2994" s="2">
        <v>2</v>
      </c>
      <c r="F2994" s="2" t="s">
        <v>5</v>
      </c>
      <c r="G2994" s="2">
        <v>840.79999999993095</v>
      </c>
      <c r="H2994" s="2" t="s">
        <v>16</v>
      </c>
      <c r="I2994" s="2">
        <v>212421.000000006</v>
      </c>
      <c r="J2994" s="2">
        <v>2000</v>
      </c>
      <c r="K2994" s="2">
        <v>100</v>
      </c>
      <c r="L2994" s="2">
        <v>0</v>
      </c>
      <c r="M2994" s="2">
        <v>373789.61</v>
      </c>
      <c r="N2994">
        <f t="shared" si="61"/>
        <v>587051.41000000597</v>
      </c>
      <c r="O2994" s="2" t="s">
        <v>4</v>
      </c>
    </row>
    <row r="2995" spans="1:15" x14ac:dyDescent="0.2">
      <c r="A2995">
        <v>72</v>
      </c>
      <c r="B2995">
        <v>6</v>
      </c>
      <c r="C2995">
        <v>7</v>
      </c>
      <c r="D2995" s="2">
        <v>2</v>
      </c>
      <c r="E2995" s="2">
        <v>2</v>
      </c>
      <c r="F2995" s="2" t="s">
        <v>5</v>
      </c>
      <c r="G2995" s="2">
        <v>686.80000000043196</v>
      </c>
      <c r="H2995" s="2" t="s">
        <v>16</v>
      </c>
      <c r="I2995" s="2">
        <v>262078.00000000201</v>
      </c>
      <c r="J2995" s="2">
        <v>2000</v>
      </c>
      <c r="K2995" s="2">
        <v>100</v>
      </c>
      <c r="L2995" s="2">
        <v>0</v>
      </c>
      <c r="M2995" s="2">
        <v>412587.61</v>
      </c>
      <c r="N2995">
        <f t="shared" si="61"/>
        <v>675352.41000000248</v>
      </c>
      <c r="O2995" s="2" t="s">
        <v>4</v>
      </c>
    </row>
    <row r="2996" spans="1:15" x14ac:dyDescent="0.2">
      <c r="A2996">
        <v>73</v>
      </c>
      <c r="B2996">
        <v>6</v>
      </c>
      <c r="C2996">
        <v>7</v>
      </c>
      <c r="D2996" s="2">
        <v>3</v>
      </c>
      <c r="E2996" s="2">
        <v>2</v>
      </c>
      <c r="F2996" s="2" t="s">
        <v>5</v>
      </c>
      <c r="G2996" s="2">
        <v>696.99999999990303</v>
      </c>
      <c r="H2996" s="2" t="s">
        <v>16</v>
      </c>
      <c r="I2996" s="2">
        <v>220828.999999981</v>
      </c>
      <c r="J2996" s="2">
        <v>2000</v>
      </c>
      <c r="K2996" s="2">
        <v>100</v>
      </c>
      <c r="L2996" s="2">
        <v>0</v>
      </c>
      <c r="M2996" s="2">
        <v>347868.01</v>
      </c>
      <c r="N2996">
        <f t="shared" si="61"/>
        <v>569394.00999998092</v>
      </c>
      <c r="O2996" s="2" t="s">
        <v>4</v>
      </c>
    </row>
    <row r="2997" spans="1:15" x14ac:dyDescent="0.2">
      <c r="A2997">
        <v>74</v>
      </c>
      <c r="B2997">
        <v>6</v>
      </c>
      <c r="C2997">
        <v>9</v>
      </c>
      <c r="D2997" s="2">
        <v>3</v>
      </c>
      <c r="E2997" s="2">
        <v>2</v>
      </c>
      <c r="F2997" s="2" t="s">
        <v>5</v>
      </c>
      <c r="G2997" s="2">
        <v>767.00000000009504</v>
      </c>
      <c r="H2997" s="2" t="s">
        <v>16</v>
      </c>
      <c r="I2997" s="2">
        <v>641922.99999999104</v>
      </c>
      <c r="J2997" s="2">
        <v>2000</v>
      </c>
      <c r="K2997" s="2">
        <v>100</v>
      </c>
      <c r="L2997" s="2">
        <v>0</v>
      </c>
      <c r="M2997" s="2">
        <v>399388.41</v>
      </c>
      <c r="N2997">
        <f t="shared" si="61"/>
        <v>1042078.4099999911</v>
      </c>
      <c r="O2997" s="2" t="s">
        <v>4</v>
      </c>
    </row>
    <row r="2998" spans="1:15" x14ac:dyDescent="0.2">
      <c r="A2998">
        <v>75</v>
      </c>
      <c r="B2998">
        <v>6</v>
      </c>
      <c r="C2998">
        <v>7</v>
      </c>
      <c r="D2998" s="2">
        <v>3</v>
      </c>
      <c r="E2998" s="2">
        <v>2</v>
      </c>
      <c r="F2998" s="2" t="s">
        <v>5</v>
      </c>
      <c r="G2998" s="2">
        <v>442.80000000007601</v>
      </c>
      <c r="H2998" s="2" t="s">
        <v>16</v>
      </c>
      <c r="I2998" s="2">
        <v>188826.000000006</v>
      </c>
      <c r="J2998" s="2">
        <v>2000</v>
      </c>
      <c r="K2998" s="2">
        <v>100</v>
      </c>
      <c r="L2998" s="2">
        <v>0</v>
      </c>
      <c r="M2998" s="2">
        <v>401228.81</v>
      </c>
      <c r="N2998">
        <f t="shared" si="61"/>
        <v>590497.61000000604</v>
      </c>
      <c r="O2998" s="2" t="s">
        <v>4</v>
      </c>
    </row>
    <row r="2999" spans="1:15" x14ac:dyDescent="0.2">
      <c r="A2999">
        <v>76</v>
      </c>
      <c r="B2999">
        <v>6</v>
      </c>
      <c r="C2999">
        <v>8</v>
      </c>
      <c r="D2999" s="2">
        <v>3</v>
      </c>
      <c r="E2999" s="2">
        <v>2</v>
      </c>
      <c r="F2999" s="2" t="s">
        <v>5</v>
      </c>
      <c r="G2999" s="2">
        <v>657.20000000020195</v>
      </c>
      <c r="H2999" s="2" t="s">
        <v>16</v>
      </c>
      <c r="I2999" s="2">
        <v>207245</v>
      </c>
      <c r="J2999" s="2">
        <v>2000</v>
      </c>
      <c r="K2999" s="2">
        <v>100</v>
      </c>
      <c r="L2999" s="2">
        <v>0</v>
      </c>
      <c r="M2999" s="2">
        <v>352428.41</v>
      </c>
      <c r="N2999">
        <f t="shared" si="61"/>
        <v>560330.61000000022</v>
      </c>
      <c r="O2999" s="2" t="s">
        <v>4</v>
      </c>
    </row>
    <row r="3000" spans="1:15" x14ac:dyDescent="0.2">
      <c r="A3000">
        <v>77</v>
      </c>
      <c r="B3000">
        <v>6</v>
      </c>
      <c r="C3000">
        <v>8</v>
      </c>
      <c r="D3000" s="2">
        <v>3</v>
      </c>
      <c r="E3000" s="2">
        <v>2</v>
      </c>
      <c r="F3000" s="2" t="s">
        <v>5</v>
      </c>
      <c r="G3000" s="2">
        <v>517.59999999951799</v>
      </c>
      <c r="H3000" s="2" t="s">
        <v>16</v>
      </c>
      <c r="I3000" s="2">
        <v>554278.99999997998</v>
      </c>
      <c r="J3000" s="2">
        <v>2000</v>
      </c>
      <c r="K3000" s="2">
        <v>100</v>
      </c>
      <c r="L3000" s="2">
        <v>0</v>
      </c>
      <c r="M3000" s="2">
        <v>346667.61</v>
      </c>
      <c r="N3000">
        <f t="shared" si="61"/>
        <v>901464.20999997947</v>
      </c>
      <c r="O3000" s="2" t="s">
        <v>4</v>
      </c>
    </row>
    <row r="3001" spans="1:15" x14ac:dyDescent="0.2">
      <c r="A3001">
        <v>78</v>
      </c>
      <c r="B3001">
        <v>6</v>
      </c>
      <c r="C3001">
        <v>8</v>
      </c>
      <c r="D3001" s="2">
        <v>3</v>
      </c>
      <c r="E3001" s="2">
        <v>2</v>
      </c>
      <c r="F3001" s="2" t="s">
        <v>5</v>
      </c>
      <c r="G3001" s="2">
        <v>411.19999999992302</v>
      </c>
      <c r="H3001" s="2" t="s">
        <v>16</v>
      </c>
      <c r="I3001" s="2">
        <v>251448.000000011</v>
      </c>
      <c r="J3001" s="2">
        <v>2000</v>
      </c>
      <c r="K3001" s="2">
        <v>100</v>
      </c>
      <c r="L3001" s="2">
        <v>0</v>
      </c>
      <c r="M3001" s="2">
        <v>401148.41</v>
      </c>
      <c r="N3001">
        <f t="shared" si="61"/>
        <v>653007.61000001093</v>
      </c>
      <c r="O3001" s="2" t="s">
        <v>4</v>
      </c>
    </row>
    <row r="3002" spans="1:15" x14ac:dyDescent="0.2">
      <c r="A3002">
        <v>79</v>
      </c>
      <c r="B3002">
        <v>6</v>
      </c>
      <c r="C3002">
        <v>8</v>
      </c>
      <c r="D3002" s="2">
        <v>3</v>
      </c>
      <c r="E3002" s="2">
        <v>2</v>
      </c>
      <c r="F3002" s="2" t="s">
        <v>5</v>
      </c>
      <c r="G3002" s="2">
        <v>394.20000000021099</v>
      </c>
      <c r="H3002" s="2" t="s">
        <v>16</v>
      </c>
      <c r="I3002" s="2">
        <v>178140.00000001301</v>
      </c>
      <c r="J3002" s="2">
        <v>2000</v>
      </c>
      <c r="K3002" s="2">
        <v>100</v>
      </c>
      <c r="L3002" s="2">
        <v>0</v>
      </c>
      <c r="M3002" s="2">
        <v>387067.61</v>
      </c>
      <c r="N3002">
        <f t="shared" si="61"/>
        <v>565601.81000001321</v>
      </c>
      <c r="O3002" s="2" t="s">
        <v>4</v>
      </c>
    </row>
    <row r="3003" spans="1:15" x14ac:dyDescent="0.2">
      <c r="A3003">
        <v>80</v>
      </c>
      <c r="B3003">
        <v>6</v>
      </c>
      <c r="C3003">
        <v>7</v>
      </c>
      <c r="D3003" s="2">
        <v>3</v>
      </c>
      <c r="E3003" s="2">
        <v>2</v>
      </c>
      <c r="F3003" s="2" t="s">
        <v>5</v>
      </c>
      <c r="G3003" s="2">
        <v>306.60000000004601</v>
      </c>
      <c r="H3003" s="2" t="s">
        <v>16</v>
      </c>
      <c r="I3003" s="2">
        <v>148730</v>
      </c>
      <c r="J3003" s="2">
        <v>2000</v>
      </c>
      <c r="K3003" s="2">
        <v>100</v>
      </c>
      <c r="L3003" s="2">
        <v>0</v>
      </c>
      <c r="M3003" s="2">
        <v>405547.61</v>
      </c>
      <c r="N3003">
        <f t="shared" si="61"/>
        <v>554584.21</v>
      </c>
      <c r="O3003" s="2" t="s">
        <v>4</v>
      </c>
    </row>
    <row r="3004" spans="1:15" x14ac:dyDescent="0.2">
      <c r="A3004">
        <v>81</v>
      </c>
      <c r="B3004">
        <v>6</v>
      </c>
      <c r="C3004">
        <v>8</v>
      </c>
      <c r="D3004" s="2">
        <v>3</v>
      </c>
      <c r="E3004" s="2">
        <v>2</v>
      </c>
      <c r="F3004" s="2" t="s">
        <v>5</v>
      </c>
      <c r="G3004" s="2">
        <v>372.600000000389</v>
      </c>
      <c r="H3004" s="2" t="s">
        <v>16</v>
      </c>
      <c r="I3004" s="2">
        <v>307187.99999999598</v>
      </c>
      <c r="J3004" s="2">
        <v>2000</v>
      </c>
      <c r="K3004" s="2">
        <v>100</v>
      </c>
      <c r="L3004" s="2">
        <v>0</v>
      </c>
      <c r="M3004" s="2">
        <v>347868.01</v>
      </c>
      <c r="N3004">
        <f t="shared" si="61"/>
        <v>655428.60999999638</v>
      </c>
      <c r="O3004" s="2" t="s">
        <v>4</v>
      </c>
    </row>
    <row r="3005" spans="1:15" x14ac:dyDescent="0.2">
      <c r="A3005">
        <v>82</v>
      </c>
      <c r="B3005">
        <v>6</v>
      </c>
      <c r="C3005">
        <v>8</v>
      </c>
      <c r="D3005" s="2">
        <v>2</v>
      </c>
      <c r="E3005" s="2">
        <v>2</v>
      </c>
      <c r="F3005" s="2" t="s">
        <v>5</v>
      </c>
      <c r="G3005" s="2">
        <v>377.99999999990098</v>
      </c>
      <c r="H3005" s="2" t="s">
        <v>16</v>
      </c>
      <c r="I3005" s="2">
        <v>516832.99999999098</v>
      </c>
      <c r="J3005" s="2">
        <v>2000</v>
      </c>
      <c r="K3005" s="2">
        <v>100</v>
      </c>
      <c r="L3005" s="2">
        <v>0</v>
      </c>
      <c r="M3005" s="2">
        <v>406267.21</v>
      </c>
      <c r="N3005">
        <f t="shared" si="61"/>
        <v>923478.20999999088</v>
      </c>
      <c r="O3005" s="2" t="s">
        <v>4</v>
      </c>
    </row>
    <row r="3006" spans="1:15" x14ac:dyDescent="0.2">
      <c r="A3006">
        <v>83</v>
      </c>
      <c r="B3006">
        <v>6</v>
      </c>
      <c r="C3006">
        <v>9</v>
      </c>
      <c r="D3006" s="2">
        <v>2</v>
      </c>
      <c r="E3006" s="2">
        <v>2</v>
      </c>
      <c r="F3006" s="2" t="s">
        <v>5</v>
      </c>
      <c r="G3006" s="2">
        <v>451.20000000018501</v>
      </c>
      <c r="H3006" s="2" t="s">
        <v>16</v>
      </c>
      <c r="I3006" s="2">
        <v>413190.00000001403</v>
      </c>
      <c r="J3006" s="2">
        <v>2000</v>
      </c>
      <c r="K3006" s="2">
        <v>100</v>
      </c>
      <c r="L3006" s="2">
        <v>0</v>
      </c>
      <c r="M3006" s="2">
        <v>349627.61</v>
      </c>
      <c r="N3006">
        <f t="shared" si="61"/>
        <v>763268.81000001426</v>
      </c>
      <c r="O3006" s="2" t="s">
        <v>4</v>
      </c>
    </row>
    <row r="3007" spans="1:15" x14ac:dyDescent="0.2">
      <c r="A3007">
        <v>84</v>
      </c>
      <c r="B3007">
        <v>6</v>
      </c>
      <c r="C3007">
        <v>10</v>
      </c>
      <c r="D3007" s="2">
        <v>2</v>
      </c>
      <c r="E3007" s="2">
        <v>2</v>
      </c>
      <c r="F3007" s="2" t="s">
        <v>5</v>
      </c>
      <c r="G3007" s="2">
        <v>503.80000000060897</v>
      </c>
      <c r="H3007" s="2" t="s">
        <v>16</v>
      </c>
      <c r="I3007" s="2">
        <v>474711.999999983</v>
      </c>
      <c r="J3007" s="2">
        <v>2000</v>
      </c>
      <c r="K3007" s="2">
        <v>100</v>
      </c>
      <c r="L3007" s="2">
        <v>0</v>
      </c>
      <c r="M3007" s="2">
        <v>416427.61</v>
      </c>
      <c r="N3007">
        <f t="shared" si="61"/>
        <v>891643.40999998362</v>
      </c>
      <c r="O3007" s="2" t="s">
        <v>4</v>
      </c>
    </row>
    <row r="3008" spans="1:15" x14ac:dyDescent="0.2">
      <c r="A3008">
        <v>85</v>
      </c>
      <c r="B3008">
        <v>6</v>
      </c>
      <c r="C3008">
        <v>8</v>
      </c>
      <c r="D3008" s="2">
        <v>2</v>
      </c>
      <c r="E3008" s="2">
        <v>2</v>
      </c>
      <c r="F3008" s="2" t="s">
        <v>5</v>
      </c>
      <c r="G3008" s="2">
        <v>348.000000000326</v>
      </c>
      <c r="H3008" s="2" t="s">
        <v>16</v>
      </c>
      <c r="I3008" s="2">
        <v>608902.00000000105</v>
      </c>
      <c r="J3008" s="2">
        <v>2000</v>
      </c>
      <c r="K3008" s="2">
        <v>100</v>
      </c>
      <c r="L3008" s="2">
        <v>0</v>
      </c>
      <c r="M3008" s="2">
        <v>408748.01</v>
      </c>
      <c r="N3008">
        <f t="shared" si="61"/>
        <v>1017998.0100000014</v>
      </c>
      <c r="O3008" s="2" t="s">
        <v>4</v>
      </c>
    </row>
    <row r="3009" spans="1:15" x14ac:dyDescent="0.2">
      <c r="A3009">
        <v>86</v>
      </c>
      <c r="B3009">
        <v>6</v>
      </c>
      <c r="C3009">
        <v>10</v>
      </c>
      <c r="D3009" s="2">
        <v>3</v>
      </c>
      <c r="E3009" s="2">
        <v>2</v>
      </c>
      <c r="F3009" s="2" t="s">
        <v>5</v>
      </c>
      <c r="G3009" s="2">
        <v>468.00000000004599</v>
      </c>
      <c r="H3009" s="2" t="s">
        <v>16</v>
      </c>
      <c r="I3009" s="2">
        <v>645299.00000002305</v>
      </c>
      <c r="J3009" s="2">
        <v>2000</v>
      </c>
      <c r="K3009" s="2">
        <v>100</v>
      </c>
      <c r="L3009" s="2">
        <v>0</v>
      </c>
      <c r="M3009" s="2">
        <v>362186.81</v>
      </c>
      <c r="N3009">
        <f t="shared" si="61"/>
        <v>1007953.8100000231</v>
      </c>
      <c r="O3009" s="2" t="s">
        <v>4</v>
      </c>
    </row>
    <row r="3010" spans="1:15" x14ac:dyDescent="0.2">
      <c r="A3010">
        <v>87</v>
      </c>
      <c r="B3010">
        <v>6</v>
      </c>
      <c r="C3010">
        <v>10</v>
      </c>
      <c r="D3010" s="2">
        <v>2</v>
      </c>
      <c r="E3010" s="2">
        <v>2</v>
      </c>
      <c r="F3010" s="2" t="s">
        <v>5</v>
      </c>
      <c r="G3010" s="2">
        <v>451.39999999968001</v>
      </c>
      <c r="H3010" s="2" t="s">
        <v>16</v>
      </c>
      <c r="I3010" s="2">
        <v>401485.00000000797</v>
      </c>
      <c r="J3010" s="2">
        <v>2000</v>
      </c>
      <c r="K3010" s="2">
        <v>100</v>
      </c>
      <c r="L3010" s="2">
        <v>0</v>
      </c>
      <c r="M3010" s="2">
        <v>416906.81</v>
      </c>
      <c r="N3010">
        <f t="shared" si="61"/>
        <v>818843.21000000765</v>
      </c>
      <c r="O3010" s="2" t="s">
        <v>4</v>
      </c>
    </row>
    <row r="3011" spans="1:15" x14ac:dyDescent="0.2">
      <c r="A3011">
        <v>88</v>
      </c>
      <c r="B3011">
        <v>6</v>
      </c>
      <c r="C3011">
        <v>10</v>
      </c>
      <c r="D3011" s="2">
        <v>3</v>
      </c>
      <c r="E3011" s="2">
        <v>2</v>
      </c>
      <c r="F3011" s="2" t="s">
        <v>5</v>
      </c>
      <c r="G3011" s="2">
        <v>490.20000000048498</v>
      </c>
      <c r="H3011" s="2" t="s">
        <v>16</v>
      </c>
      <c r="I3011" s="2">
        <v>672093.99999998696</v>
      </c>
      <c r="J3011" s="2">
        <v>2000</v>
      </c>
      <c r="K3011" s="2">
        <v>100</v>
      </c>
      <c r="L3011" s="2">
        <v>0</v>
      </c>
      <c r="M3011" s="2">
        <v>351628.01</v>
      </c>
      <c r="N3011">
        <f t="shared" si="61"/>
        <v>1024212.2099999875</v>
      </c>
      <c r="O3011" s="2" t="s">
        <v>4</v>
      </c>
    </row>
    <row r="3012" spans="1:15" x14ac:dyDescent="0.2">
      <c r="A3012">
        <v>89</v>
      </c>
      <c r="B3012">
        <v>6</v>
      </c>
      <c r="C3012">
        <v>7</v>
      </c>
      <c r="D3012" s="2">
        <v>3</v>
      </c>
      <c r="E3012" s="2">
        <v>2</v>
      </c>
      <c r="F3012" s="2" t="s">
        <v>5</v>
      </c>
      <c r="G3012" s="2">
        <v>266.39999999993302</v>
      </c>
      <c r="H3012" s="2" t="s">
        <v>16</v>
      </c>
      <c r="I3012" s="2">
        <v>186243.000000019</v>
      </c>
      <c r="J3012" s="2">
        <v>2000</v>
      </c>
      <c r="K3012" s="2">
        <v>100</v>
      </c>
      <c r="L3012" s="2">
        <v>0</v>
      </c>
      <c r="M3012" s="2">
        <v>342348.41</v>
      </c>
      <c r="N3012">
        <f t="shared" si="61"/>
        <v>528857.81000001892</v>
      </c>
      <c r="O3012" s="2" t="s">
        <v>4</v>
      </c>
    </row>
    <row r="3013" spans="1:15" x14ac:dyDescent="0.2">
      <c r="A3013">
        <v>90</v>
      </c>
      <c r="B3013">
        <v>6</v>
      </c>
      <c r="C3013">
        <v>8</v>
      </c>
      <c r="D3013" s="2">
        <v>2</v>
      </c>
      <c r="E3013" s="2">
        <v>2</v>
      </c>
      <c r="F3013" s="2" t="s">
        <v>5</v>
      </c>
      <c r="G3013" s="2">
        <v>335.79999999986399</v>
      </c>
      <c r="H3013" s="2" t="s">
        <v>16</v>
      </c>
      <c r="I3013" s="2">
        <v>399008.00000000902</v>
      </c>
      <c r="J3013" s="2">
        <v>2000</v>
      </c>
      <c r="K3013" s="2">
        <v>100</v>
      </c>
      <c r="L3013" s="2">
        <v>0</v>
      </c>
      <c r="M3013" s="2">
        <v>401388.41</v>
      </c>
      <c r="N3013">
        <f t="shared" si="61"/>
        <v>800732.21000000881</v>
      </c>
      <c r="O3013" s="2" t="s">
        <v>4</v>
      </c>
    </row>
    <row r="3014" spans="1:15" x14ac:dyDescent="0.2">
      <c r="A3014">
        <v>91</v>
      </c>
      <c r="B3014">
        <v>6</v>
      </c>
      <c r="C3014">
        <v>8</v>
      </c>
      <c r="D3014" s="2">
        <v>3</v>
      </c>
      <c r="E3014" s="2">
        <v>2</v>
      </c>
      <c r="F3014" s="2" t="s">
        <v>5</v>
      </c>
      <c r="G3014" s="2">
        <v>335.59999999930301</v>
      </c>
      <c r="H3014" s="2" t="s">
        <v>16</v>
      </c>
      <c r="I3014" s="2">
        <v>151079.00000001001</v>
      </c>
      <c r="J3014" s="2">
        <v>2000</v>
      </c>
      <c r="K3014" s="2">
        <v>100</v>
      </c>
      <c r="L3014" s="2">
        <v>0</v>
      </c>
      <c r="M3014" s="2">
        <v>343706.81</v>
      </c>
      <c r="N3014">
        <f t="shared" si="61"/>
        <v>495121.41000000935</v>
      </c>
      <c r="O3014" s="2" t="s">
        <v>4</v>
      </c>
    </row>
    <row r="3015" spans="1:15" x14ac:dyDescent="0.2">
      <c r="A3015">
        <v>92</v>
      </c>
      <c r="B3015">
        <v>6</v>
      </c>
      <c r="C3015">
        <v>8</v>
      </c>
      <c r="D3015" s="2">
        <v>3</v>
      </c>
      <c r="E3015" s="2">
        <v>2</v>
      </c>
      <c r="F3015" s="2" t="s">
        <v>5</v>
      </c>
      <c r="G3015" s="2">
        <v>306.40000000019501</v>
      </c>
      <c r="H3015" s="2" t="s">
        <v>16</v>
      </c>
      <c r="I3015" s="2">
        <v>288912.000000011</v>
      </c>
      <c r="J3015" s="2">
        <v>2000</v>
      </c>
      <c r="K3015" s="2">
        <v>100</v>
      </c>
      <c r="L3015" s="2">
        <v>0</v>
      </c>
      <c r="M3015" s="2">
        <v>411707.21</v>
      </c>
      <c r="N3015">
        <f t="shared" si="61"/>
        <v>700925.61000001128</v>
      </c>
      <c r="O3015" s="2" t="s">
        <v>4</v>
      </c>
    </row>
    <row r="3016" spans="1:15" x14ac:dyDescent="0.2">
      <c r="A3016">
        <v>93</v>
      </c>
      <c r="B3016">
        <v>6</v>
      </c>
      <c r="C3016">
        <v>11</v>
      </c>
      <c r="D3016" s="2">
        <v>3</v>
      </c>
      <c r="E3016" s="2">
        <v>2</v>
      </c>
      <c r="F3016" s="2" t="s">
        <v>5</v>
      </c>
      <c r="G3016" s="2">
        <v>515.79999999979998</v>
      </c>
      <c r="H3016" s="2" t="s">
        <v>16</v>
      </c>
      <c r="I3016" s="2">
        <v>1416861.00000001</v>
      </c>
      <c r="J3016" s="2">
        <v>2000</v>
      </c>
      <c r="K3016" s="2">
        <v>100</v>
      </c>
      <c r="L3016" s="2">
        <v>0</v>
      </c>
      <c r="M3016" s="2">
        <v>377388.01</v>
      </c>
      <c r="N3016">
        <f t="shared" si="61"/>
        <v>1794764.8100000098</v>
      </c>
      <c r="O3016" s="2" t="s">
        <v>4</v>
      </c>
    </row>
    <row r="3017" spans="1:15" x14ac:dyDescent="0.2">
      <c r="A3017">
        <v>94</v>
      </c>
      <c r="B3017">
        <v>6</v>
      </c>
      <c r="C3017">
        <v>10</v>
      </c>
      <c r="D3017" s="2">
        <v>2</v>
      </c>
      <c r="E3017" s="2">
        <v>2</v>
      </c>
      <c r="F3017" s="2" t="s">
        <v>5</v>
      </c>
      <c r="G3017" s="2">
        <v>446.600000000075</v>
      </c>
      <c r="H3017" s="2" t="s">
        <v>16</v>
      </c>
      <c r="I3017" s="2">
        <v>711301.00000002002</v>
      </c>
      <c r="J3017" s="2">
        <v>2000</v>
      </c>
      <c r="K3017" s="2">
        <v>100</v>
      </c>
      <c r="L3017" s="2">
        <v>0</v>
      </c>
      <c r="M3017" s="2">
        <v>350427.21</v>
      </c>
      <c r="N3017">
        <f t="shared" si="61"/>
        <v>1062174.8100000201</v>
      </c>
      <c r="O3017" s="2" t="s">
        <v>4</v>
      </c>
    </row>
    <row r="3018" spans="1:15" x14ac:dyDescent="0.2">
      <c r="A3018">
        <v>95</v>
      </c>
      <c r="B3018">
        <v>6</v>
      </c>
      <c r="C3018">
        <v>12</v>
      </c>
      <c r="D3018" s="2">
        <v>2</v>
      </c>
      <c r="E3018" s="2">
        <v>2</v>
      </c>
      <c r="F3018" s="2" t="s">
        <v>5</v>
      </c>
      <c r="G3018" s="2">
        <v>605.60000000045</v>
      </c>
      <c r="H3018" s="2" t="s">
        <v>16</v>
      </c>
      <c r="I3018" s="2">
        <v>1174435.99999999</v>
      </c>
      <c r="J3018" s="2">
        <v>2000</v>
      </c>
      <c r="K3018" s="2">
        <v>100</v>
      </c>
      <c r="L3018" s="2">
        <v>0</v>
      </c>
      <c r="M3018" s="2">
        <v>418748.41</v>
      </c>
      <c r="N3018">
        <f t="shared" si="61"/>
        <v>1593790.0099999905</v>
      </c>
      <c r="O3018" s="2" t="s">
        <v>4</v>
      </c>
    </row>
    <row r="3019" spans="1:15" x14ac:dyDescent="0.2">
      <c r="A3019">
        <v>96</v>
      </c>
      <c r="B3019">
        <v>6</v>
      </c>
      <c r="C3019">
        <v>8</v>
      </c>
      <c r="D3019" s="2">
        <v>3</v>
      </c>
      <c r="E3019" s="2">
        <v>2</v>
      </c>
      <c r="F3019" s="2" t="s">
        <v>5</v>
      </c>
      <c r="G3019" s="2">
        <v>301.39999999967398</v>
      </c>
      <c r="H3019" s="2" t="s">
        <v>16</v>
      </c>
      <c r="I3019" s="2">
        <v>267707.00000000099</v>
      </c>
      <c r="J3019" s="2">
        <v>2000</v>
      </c>
      <c r="K3019" s="2">
        <v>100</v>
      </c>
      <c r="L3019" s="2">
        <v>0</v>
      </c>
      <c r="M3019" s="2">
        <v>405867.61</v>
      </c>
      <c r="N3019">
        <f t="shared" si="61"/>
        <v>673876.01000000071</v>
      </c>
      <c r="O3019" s="2" t="s">
        <v>4</v>
      </c>
    </row>
    <row r="3020" spans="1:15" x14ac:dyDescent="0.2">
      <c r="A3020">
        <v>97</v>
      </c>
      <c r="B3020">
        <v>6</v>
      </c>
      <c r="C3020">
        <v>9</v>
      </c>
      <c r="D3020" s="2">
        <v>3</v>
      </c>
      <c r="E3020" s="2">
        <v>2</v>
      </c>
      <c r="F3020" s="2" t="s">
        <v>5</v>
      </c>
      <c r="G3020" s="2">
        <v>374.59999999995802</v>
      </c>
      <c r="H3020" s="2" t="s">
        <v>16</v>
      </c>
      <c r="I3020" s="2">
        <v>460260.00000000501</v>
      </c>
      <c r="J3020" s="2">
        <v>2000</v>
      </c>
      <c r="K3020" s="2">
        <v>100</v>
      </c>
      <c r="L3020" s="2">
        <v>0</v>
      </c>
      <c r="M3020" s="2">
        <v>342746.81</v>
      </c>
      <c r="N3020">
        <f t="shared" si="61"/>
        <v>803381.41000000504</v>
      </c>
      <c r="O3020" s="2" t="s">
        <v>4</v>
      </c>
    </row>
    <row r="3021" spans="1:15" x14ac:dyDescent="0.2">
      <c r="A3021">
        <v>98</v>
      </c>
      <c r="B3021">
        <v>6</v>
      </c>
      <c r="C3021">
        <v>10</v>
      </c>
      <c r="D3021" s="2">
        <v>3</v>
      </c>
      <c r="E3021" s="2">
        <v>2</v>
      </c>
      <c r="F3021" s="2" t="s">
        <v>5</v>
      </c>
      <c r="G3021" s="2">
        <v>496.19999999990199</v>
      </c>
      <c r="H3021" s="2" t="s">
        <v>16</v>
      </c>
      <c r="I3021" s="2">
        <v>385244</v>
      </c>
      <c r="J3021" s="2">
        <v>2000</v>
      </c>
      <c r="K3021" s="2">
        <v>100</v>
      </c>
      <c r="L3021" s="2">
        <v>0</v>
      </c>
      <c r="M3021" s="2">
        <v>400346.81</v>
      </c>
      <c r="N3021">
        <f t="shared" si="61"/>
        <v>786087.00999999989</v>
      </c>
      <c r="O3021" s="2" t="s">
        <v>4</v>
      </c>
    </row>
    <row r="3022" spans="1:15" x14ac:dyDescent="0.2">
      <c r="A3022">
        <v>99</v>
      </c>
      <c r="B3022">
        <v>6</v>
      </c>
      <c r="C3022">
        <v>11</v>
      </c>
      <c r="D3022" s="2">
        <v>2</v>
      </c>
      <c r="E3022" s="2">
        <v>2</v>
      </c>
      <c r="F3022" s="2" t="s">
        <v>5</v>
      </c>
      <c r="G3022" s="2">
        <v>500.59999999980698</v>
      </c>
      <c r="H3022" s="2" t="s">
        <v>16</v>
      </c>
      <c r="I3022" s="2">
        <v>2095169</v>
      </c>
      <c r="J3022" s="2">
        <v>2000</v>
      </c>
      <c r="K3022" s="2">
        <v>100</v>
      </c>
      <c r="L3022" s="2">
        <v>0</v>
      </c>
      <c r="M3022" s="2">
        <v>350428.41</v>
      </c>
      <c r="N3022">
        <f t="shared" si="61"/>
        <v>2446098.0099999998</v>
      </c>
      <c r="O3022" s="2" t="s">
        <v>4</v>
      </c>
    </row>
    <row r="3023" spans="1:15" x14ac:dyDescent="0.2">
      <c r="A3023">
        <v>70</v>
      </c>
      <c r="B3023">
        <v>6</v>
      </c>
      <c r="C3023">
        <v>6</v>
      </c>
      <c r="D3023" s="2">
        <v>3</v>
      </c>
      <c r="E3023" s="2">
        <v>2</v>
      </c>
      <c r="F3023" s="2" t="s">
        <v>5</v>
      </c>
      <c r="G3023" s="2">
        <v>916.60000000004504</v>
      </c>
      <c r="H3023" s="2" t="s">
        <v>16</v>
      </c>
      <c r="I3023" s="2">
        <v>68301.999999988504</v>
      </c>
      <c r="J3023" s="2">
        <v>2000</v>
      </c>
      <c r="K3023" s="2">
        <v>200</v>
      </c>
      <c r="L3023" s="2">
        <v>0</v>
      </c>
      <c r="M3023" s="2">
        <v>546427.61</v>
      </c>
      <c r="N3023">
        <f t="shared" ref="N3023:N3052" si="62">G3023+I3023+M3023</f>
        <v>615646.20999998855</v>
      </c>
      <c r="O3023" s="2" t="s">
        <v>4</v>
      </c>
    </row>
    <row r="3024" spans="1:15" x14ac:dyDescent="0.2">
      <c r="A3024">
        <v>71</v>
      </c>
      <c r="B3024">
        <v>6</v>
      </c>
      <c r="C3024">
        <v>7</v>
      </c>
      <c r="D3024" s="2">
        <v>2</v>
      </c>
      <c r="E3024" s="2">
        <v>2</v>
      </c>
      <c r="F3024" s="2" t="s">
        <v>5</v>
      </c>
      <c r="G3024" s="2">
        <v>840.79999999993095</v>
      </c>
      <c r="H3024" s="2" t="s">
        <v>16</v>
      </c>
      <c r="I3024" s="2">
        <v>212421.000000006</v>
      </c>
      <c r="J3024" s="2">
        <v>2000</v>
      </c>
      <c r="K3024" s="2">
        <v>200</v>
      </c>
      <c r="L3024" s="2">
        <v>0</v>
      </c>
      <c r="M3024" s="2">
        <v>573789.61</v>
      </c>
      <c r="N3024">
        <f t="shared" si="62"/>
        <v>787051.41000000597</v>
      </c>
      <c r="O3024" s="2" t="s">
        <v>4</v>
      </c>
    </row>
    <row r="3025" spans="1:15" x14ac:dyDescent="0.2">
      <c r="A3025">
        <v>72</v>
      </c>
      <c r="B3025">
        <v>6</v>
      </c>
      <c r="C3025">
        <v>7</v>
      </c>
      <c r="D3025" s="2">
        <v>2</v>
      </c>
      <c r="E3025" s="2">
        <v>2</v>
      </c>
      <c r="F3025" s="2" t="s">
        <v>5</v>
      </c>
      <c r="G3025" s="2">
        <v>686.80000000043196</v>
      </c>
      <c r="H3025" s="2" t="s">
        <v>16</v>
      </c>
      <c r="I3025" s="2">
        <v>262078.00000000201</v>
      </c>
      <c r="J3025" s="2">
        <v>2000</v>
      </c>
      <c r="K3025" s="2">
        <v>200</v>
      </c>
      <c r="L3025" s="2">
        <v>0</v>
      </c>
      <c r="M3025" s="2">
        <v>612587.61</v>
      </c>
      <c r="N3025">
        <f t="shared" si="62"/>
        <v>875352.41000000248</v>
      </c>
      <c r="O3025" s="2" t="s">
        <v>4</v>
      </c>
    </row>
    <row r="3026" spans="1:15" x14ac:dyDescent="0.2">
      <c r="A3026">
        <v>73</v>
      </c>
      <c r="B3026">
        <v>6</v>
      </c>
      <c r="C3026">
        <v>7</v>
      </c>
      <c r="D3026" s="2">
        <v>3</v>
      </c>
      <c r="E3026" s="2">
        <v>2</v>
      </c>
      <c r="F3026" s="2" t="s">
        <v>5</v>
      </c>
      <c r="G3026" s="2">
        <v>696.99999999990303</v>
      </c>
      <c r="H3026" s="2" t="s">
        <v>16</v>
      </c>
      <c r="I3026" s="2">
        <v>220828.999999981</v>
      </c>
      <c r="J3026" s="2">
        <v>2000</v>
      </c>
      <c r="K3026" s="2">
        <v>200</v>
      </c>
      <c r="L3026" s="2">
        <v>0</v>
      </c>
      <c r="M3026" s="2">
        <v>547868.01</v>
      </c>
      <c r="N3026">
        <f t="shared" si="62"/>
        <v>769394.00999998092</v>
      </c>
      <c r="O3026" s="2" t="s">
        <v>4</v>
      </c>
    </row>
    <row r="3027" spans="1:15" x14ac:dyDescent="0.2">
      <c r="A3027">
        <v>74</v>
      </c>
      <c r="B3027">
        <v>6</v>
      </c>
      <c r="C3027">
        <v>9</v>
      </c>
      <c r="D3027" s="2">
        <v>3</v>
      </c>
      <c r="E3027" s="2">
        <v>2</v>
      </c>
      <c r="F3027" s="2" t="s">
        <v>5</v>
      </c>
      <c r="G3027" s="2">
        <v>767.00000000009504</v>
      </c>
      <c r="H3027" s="2" t="s">
        <v>16</v>
      </c>
      <c r="I3027" s="2">
        <v>641922.99999999104</v>
      </c>
      <c r="J3027" s="2">
        <v>2000</v>
      </c>
      <c r="K3027" s="2">
        <v>200</v>
      </c>
      <c r="L3027" s="2">
        <v>0</v>
      </c>
      <c r="M3027" s="2">
        <v>599388.41</v>
      </c>
      <c r="N3027">
        <f t="shared" si="62"/>
        <v>1242078.4099999913</v>
      </c>
      <c r="O3027" s="2" t="s">
        <v>4</v>
      </c>
    </row>
    <row r="3028" spans="1:15" x14ac:dyDescent="0.2">
      <c r="A3028">
        <v>75</v>
      </c>
      <c r="B3028">
        <v>6</v>
      </c>
      <c r="C3028">
        <v>7</v>
      </c>
      <c r="D3028" s="2">
        <v>3</v>
      </c>
      <c r="E3028" s="2">
        <v>2</v>
      </c>
      <c r="F3028" s="2" t="s">
        <v>5</v>
      </c>
      <c r="G3028" s="2">
        <v>442.80000000007601</v>
      </c>
      <c r="H3028" s="2" t="s">
        <v>16</v>
      </c>
      <c r="I3028" s="2">
        <v>188826.000000006</v>
      </c>
      <c r="J3028" s="2">
        <v>2000</v>
      </c>
      <c r="K3028" s="2">
        <v>200</v>
      </c>
      <c r="L3028" s="2">
        <v>0</v>
      </c>
      <c r="M3028" s="2">
        <v>601228.81000000006</v>
      </c>
      <c r="N3028">
        <f t="shared" si="62"/>
        <v>790497.61000000616</v>
      </c>
      <c r="O3028" s="2" t="s">
        <v>4</v>
      </c>
    </row>
    <row r="3029" spans="1:15" x14ac:dyDescent="0.2">
      <c r="A3029">
        <v>76</v>
      </c>
      <c r="B3029">
        <v>6</v>
      </c>
      <c r="C3029">
        <v>8</v>
      </c>
      <c r="D3029" s="2">
        <v>3</v>
      </c>
      <c r="E3029" s="2">
        <v>2</v>
      </c>
      <c r="F3029" s="2" t="s">
        <v>5</v>
      </c>
      <c r="G3029" s="2">
        <v>657.20000000020195</v>
      </c>
      <c r="H3029" s="2" t="s">
        <v>16</v>
      </c>
      <c r="I3029" s="2">
        <v>207245</v>
      </c>
      <c r="J3029" s="2">
        <v>2000</v>
      </c>
      <c r="K3029" s="2">
        <v>200</v>
      </c>
      <c r="L3029" s="2">
        <v>0</v>
      </c>
      <c r="M3029" s="2">
        <v>552428.41</v>
      </c>
      <c r="N3029">
        <f t="shared" si="62"/>
        <v>760330.61000000022</v>
      </c>
      <c r="O3029" s="2" t="s">
        <v>4</v>
      </c>
    </row>
    <row r="3030" spans="1:15" x14ac:dyDescent="0.2">
      <c r="A3030">
        <v>77</v>
      </c>
      <c r="B3030">
        <v>6</v>
      </c>
      <c r="C3030">
        <v>8</v>
      </c>
      <c r="D3030" s="2">
        <v>3</v>
      </c>
      <c r="E3030" s="2">
        <v>2</v>
      </c>
      <c r="F3030" s="2" t="s">
        <v>5</v>
      </c>
      <c r="G3030" s="2">
        <v>517.59999999951799</v>
      </c>
      <c r="H3030" s="2" t="s">
        <v>16</v>
      </c>
      <c r="I3030" s="2">
        <v>554278.99999997998</v>
      </c>
      <c r="J3030" s="2">
        <v>2000</v>
      </c>
      <c r="K3030" s="2">
        <v>200</v>
      </c>
      <c r="L3030" s="2">
        <v>0</v>
      </c>
      <c r="M3030" s="2">
        <v>546667.61</v>
      </c>
      <c r="N3030">
        <f t="shared" si="62"/>
        <v>1101464.2099999795</v>
      </c>
      <c r="O3030" s="2" t="s">
        <v>4</v>
      </c>
    </row>
    <row r="3031" spans="1:15" x14ac:dyDescent="0.2">
      <c r="A3031">
        <v>78</v>
      </c>
      <c r="B3031">
        <v>6</v>
      </c>
      <c r="C3031">
        <v>8</v>
      </c>
      <c r="D3031" s="2">
        <v>3</v>
      </c>
      <c r="E3031" s="2">
        <v>2</v>
      </c>
      <c r="F3031" s="2" t="s">
        <v>5</v>
      </c>
      <c r="G3031" s="2">
        <v>411.19999999992302</v>
      </c>
      <c r="H3031" s="2" t="s">
        <v>16</v>
      </c>
      <c r="I3031" s="2">
        <v>251448.000000011</v>
      </c>
      <c r="J3031" s="2">
        <v>2000</v>
      </c>
      <c r="K3031" s="2">
        <v>200</v>
      </c>
      <c r="L3031" s="2">
        <v>0</v>
      </c>
      <c r="M3031" s="2">
        <v>601148.41</v>
      </c>
      <c r="N3031">
        <f t="shared" si="62"/>
        <v>853007.61000001093</v>
      </c>
      <c r="O3031" s="2" t="s">
        <v>4</v>
      </c>
    </row>
    <row r="3032" spans="1:15" x14ac:dyDescent="0.2">
      <c r="A3032">
        <v>79</v>
      </c>
      <c r="B3032">
        <v>6</v>
      </c>
      <c r="C3032">
        <v>8</v>
      </c>
      <c r="D3032" s="2">
        <v>3</v>
      </c>
      <c r="E3032" s="2">
        <v>2</v>
      </c>
      <c r="F3032" s="2" t="s">
        <v>5</v>
      </c>
      <c r="G3032" s="2">
        <v>394.20000000021099</v>
      </c>
      <c r="H3032" s="2" t="s">
        <v>16</v>
      </c>
      <c r="I3032" s="2">
        <v>178140.00000001301</v>
      </c>
      <c r="J3032" s="2">
        <v>2000</v>
      </c>
      <c r="K3032" s="2">
        <v>200</v>
      </c>
      <c r="L3032" s="2">
        <v>0</v>
      </c>
      <c r="M3032" s="2">
        <v>587067.61</v>
      </c>
      <c r="N3032">
        <f t="shared" si="62"/>
        <v>765601.81000001321</v>
      </c>
      <c r="O3032" s="2" t="s">
        <v>5</v>
      </c>
    </row>
    <row r="3033" spans="1:15" x14ac:dyDescent="0.2">
      <c r="A3033">
        <v>80</v>
      </c>
      <c r="B3033">
        <v>6</v>
      </c>
      <c r="C3033">
        <v>7</v>
      </c>
      <c r="D3033" s="2">
        <v>3</v>
      </c>
      <c r="E3033" s="2">
        <v>2</v>
      </c>
      <c r="F3033" s="2" t="s">
        <v>5</v>
      </c>
      <c r="G3033" s="2">
        <v>306.60000000004601</v>
      </c>
      <c r="H3033" s="2" t="s">
        <v>16</v>
      </c>
      <c r="I3033" s="2">
        <v>148730</v>
      </c>
      <c r="J3033" s="2">
        <v>2000</v>
      </c>
      <c r="K3033" s="2">
        <v>200</v>
      </c>
      <c r="L3033" s="2">
        <v>0</v>
      </c>
      <c r="M3033" s="2">
        <v>605547.61</v>
      </c>
      <c r="N3033">
        <f t="shared" si="62"/>
        <v>754584.21</v>
      </c>
      <c r="O3033" s="2" t="s">
        <v>4</v>
      </c>
    </row>
    <row r="3034" spans="1:15" x14ac:dyDescent="0.2">
      <c r="A3034">
        <v>81</v>
      </c>
      <c r="B3034">
        <v>6</v>
      </c>
      <c r="C3034">
        <v>8</v>
      </c>
      <c r="D3034" s="2">
        <v>3</v>
      </c>
      <c r="E3034" s="2">
        <v>2</v>
      </c>
      <c r="F3034" s="2" t="s">
        <v>5</v>
      </c>
      <c r="G3034" s="2">
        <v>372.600000000389</v>
      </c>
      <c r="H3034" s="2" t="s">
        <v>16</v>
      </c>
      <c r="I3034" s="2">
        <v>307187.99999999598</v>
      </c>
      <c r="J3034" s="2">
        <v>2000</v>
      </c>
      <c r="K3034" s="2">
        <v>200</v>
      </c>
      <c r="L3034" s="2">
        <v>0</v>
      </c>
      <c r="M3034" s="2">
        <v>547868.01</v>
      </c>
      <c r="N3034">
        <f t="shared" si="62"/>
        <v>855428.60999999638</v>
      </c>
      <c r="O3034" s="2" t="s">
        <v>4</v>
      </c>
    </row>
    <row r="3035" spans="1:15" x14ac:dyDescent="0.2">
      <c r="A3035">
        <v>82</v>
      </c>
      <c r="B3035">
        <v>6</v>
      </c>
      <c r="C3035">
        <v>8</v>
      </c>
      <c r="D3035" s="2">
        <v>2</v>
      </c>
      <c r="E3035" s="2">
        <v>2</v>
      </c>
      <c r="F3035" s="2" t="s">
        <v>5</v>
      </c>
      <c r="G3035" s="2">
        <v>377.99999999990098</v>
      </c>
      <c r="H3035" s="2" t="s">
        <v>16</v>
      </c>
      <c r="I3035" s="2">
        <v>516832.99999999098</v>
      </c>
      <c r="J3035" s="2">
        <v>2000</v>
      </c>
      <c r="K3035" s="2">
        <v>200</v>
      </c>
      <c r="L3035" s="2">
        <v>0</v>
      </c>
      <c r="M3035" s="2">
        <v>606267.21</v>
      </c>
      <c r="N3035">
        <f t="shared" si="62"/>
        <v>1123478.2099999909</v>
      </c>
      <c r="O3035" s="2" t="s">
        <v>4</v>
      </c>
    </row>
    <row r="3036" spans="1:15" x14ac:dyDescent="0.2">
      <c r="A3036">
        <v>83</v>
      </c>
      <c r="B3036">
        <v>6</v>
      </c>
      <c r="C3036">
        <v>9</v>
      </c>
      <c r="D3036" s="2">
        <v>2</v>
      </c>
      <c r="E3036" s="2">
        <v>2</v>
      </c>
      <c r="F3036" s="2" t="s">
        <v>5</v>
      </c>
      <c r="G3036" s="2">
        <v>451.20000000018501</v>
      </c>
      <c r="H3036" s="2" t="s">
        <v>16</v>
      </c>
      <c r="I3036" s="2">
        <v>413190.00000001403</v>
      </c>
      <c r="J3036" s="2">
        <v>2000</v>
      </c>
      <c r="K3036" s="2">
        <v>200</v>
      </c>
      <c r="L3036" s="2">
        <v>0</v>
      </c>
      <c r="M3036" s="2">
        <v>549627.61</v>
      </c>
      <c r="N3036">
        <f t="shared" si="62"/>
        <v>963268.81000001426</v>
      </c>
      <c r="O3036" s="2" t="s">
        <v>4</v>
      </c>
    </row>
    <row r="3037" spans="1:15" x14ac:dyDescent="0.2">
      <c r="A3037">
        <v>84</v>
      </c>
      <c r="B3037">
        <v>6</v>
      </c>
      <c r="C3037">
        <v>10</v>
      </c>
      <c r="D3037" s="2">
        <v>2</v>
      </c>
      <c r="E3037" s="2">
        <v>2</v>
      </c>
      <c r="F3037" s="2" t="s">
        <v>5</v>
      </c>
      <c r="G3037" s="2">
        <v>503.80000000060897</v>
      </c>
      <c r="H3037" s="2" t="s">
        <v>16</v>
      </c>
      <c r="I3037" s="2">
        <v>474711.999999983</v>
      </c>
      <c r="J3037" s="2">
        <v>2000</v>
      </c>
      <c r="K3037" s="2">
        <v>200</v>
      </c>
      <c r="L3037" s="2">
        <v>0</v>
      </c>
      <c r="M3037" s="2">
        <v>616427.61</v>
      </c>
      <c r="N3037">
        <f t="shared" si="62"/>
        <v>1091643.4099999836</v>
      </c>
      <c r="O3037" s="2" t="s">
        <v>4</v>
      </c>
    </row>
    <row r="3038" spans="1:15" x14ac:dyDescent="0.2">
      <c r="A3038">
        <v>85</v>
      </c>
      <c r="B3038">
        <v>6</v>
      </c>
      <c r="C3038">
        <v>8</v>
      </c>
      <c r="D3038" s="2">
        <v>2</v>
      </c>
      <c r="E3038" s="2">
        <v>2</v>
      </c>
      <c r="F3038" s="2" t="s">
        <v>5</v>
      </c>
      <c r="G3038" s="2">
        <v>348.000000000326</v>
      </c>
      <c r="H3038" s="2" t="s">
        <v>16</v>
      </c>
      <c r="I3038" s="2">
        <v>608902.00000000105</v>
      </c>
      <c r="J3038" s="2">
        <v>2000</v>
      </c>
      <c r="K3038" s="2">
        <v>200</v>
      </c>
      <c r="L3038" s="2">
        <v>0</v>
      </c>
      <c r="M3038" s="2">
        <v>608748.01</v>
      </c>
      <c r="N3038">
        <f t="shared" si="62"/>
        <v>1217998.0100000014</v>
      </c>
      <c r="O3038" s="2" t="s">
        <v>4</v>
      </c>
    </row>
    <row r="3039" spans="1:15" x14ac:dyDescent="0.2">
      <c r="A3039">
        <v>86</v>
      </c>
      <c r="B3039">
        <v>6</v>
      </c>
      <c r="C3039">
        <v>10</v>
      </c>
      <c r="D3039" s="2">
        <v>3</v>
      </c>
      <c r="E3039" s="2">
        <v>2</v>
      </c>
      <c r="F3039" s="2" t="s">
        <v>5</v>
      </c>
      <c r="G3039" s="2">
        <v>468.00000000004599</v>
      </c>
      <c r="H3039" s="2" t="s">
        <v>16</v>
      </c>
      <c r="I3039" s="2">
        <v>645299.00000002305</v>
      </c>
      <c r="J3039" s="2">
        <v>2000</v>
      </c>
      <c r="K3039" s="2">
        <v>200</v>
      </c>
      <c r="L3039" s="2">
        <v>0</v>
      </c>
      <c r="M3039" s="2">
        <v>562186.81000000006</v>
      </c>
      <c r="N3039">
        <f t="shared" si="62"/>
        <v>1207953.8100000231</v>
      </c>
      <c r="O3039" s="2" t="s">
        <v>4</v>
      </c>
    </row>
    <row r="3040" spans="1:15" x14ac:dyDescent="0.2">
      <c r="A3040">
        <v>87</v>
      </c>
      <c r="B3040">
        <v>6</v>
      </c>
      <c r="C3040">
        <v>10</v>
      </c>
      <c r="D3040" s="2">
        <v>2</v>
      </c>
      <c r="E3040" s="2">
        <v>2</v>
      </c>
      <c r="F3040" s="2" t="s">
        <v>5</v>
      </c>
      <c r="G3040" s="2">
        <v>451.39999999968001</v>
      </c>
      <c r="H3040" s="2" t="s">
        <v>16</v>
      </c>
      <c r="I3040" s="2">
        <v>401485.00000000797</v>
      </c>
      <c r="J3040" s="2">
        <v>2000</v>
      </c>
      <c r="K3040" s="2">
        <v>200</v>
      </c>
      <c r="L3040" s="2">
        <v>0</v>
      </c>
      <c r="M3040" s="2">
        <v>616906.81000000006</v>
      </c>
      <c r="N3040">
        <f t="shared" si="62"/>
        <v>1018843.2100000076</v>
      </c>
      <c r="O3040" s="2" t="s">
        <v>4</v>
      </c>
    </row>
    <row r="3041" spans="1:15" x14ac:dyDescent="0.2">
      <c r="A3041">
        <v>88</v>
      </c>
      <c r="B3041">
        <v>6</v>
      </c>
      <c r="C3041">
        <v>10</v>
      </c>
      <c r="D3041" s="2">
        <v>3</v>
      </c>
      <c r="E3041" s="2">
        <v>2</v>
      </c>
      <c r="F3041" s="2" t="s">
        <v>5</v>
      </c>
      <c r="G3041" s="2">
        <v>490.20000000048498</v>
      </c>
      <c r="H3041" s="2" t="s">
        <v>16</v>
      </c>
      <c r="I3041" s="2">
        <v>672093.99999998696</v>
      </c>
      <c r="J3041" s="2">
        <v>2000</v>
      </c>
      <c r="K3041" s="2">
        <v>200</v>
      </c>
      <c r="L3041" s="2">
        <v>0</v>
      </c>
      <c r="M3041" s="2">
        <v>551628.01</v>
      </c>
      <c r="N3041">
        <f t="shared" si="62"/>
        <v>1224212.2099999874</v>
      </c>
      <c r="O3041" s="2" t="s">
        <v>4</v>
      </c>
    </row>
    <row r="3042" spans="1:15" x14ac:dyDescent="0.2">
      <c r="A3042">
        <v>89</v>
      </c>
      <c r="B3042">
        <v>6</v>
      </c>
      <c r="C3042">
        <v>7</v>
      </c>
      <c r="D3042" s="2">
        <v>3</v>
      </c>
      <c r="E3042" s="2">
        <v>2</v>
      </c>
      <c r="F3042" s="2" t="s">
        <v>5</v>
      </c>
      <c r="G3042" s="2">
        <v>266.39999999993302</v>
      </c>
      <c r="H3042" s="2" t="s">
        <v>16</v>
      </c>
      <c r="I3042" s="2">
        <v>186243.000000019</v>
      </c>
      <c r="J3042" s="2">
        <v>2000</v>
      </c>
      <c r="K3042" s="2">
        <v>200</v>
      </c>
      <c r="L3042" s="2">
        <v>0</v>
      </c>
      <c r="M3042" s="2">
        <v>542348.41</v>
      </c>
      <c r="N3042">
        <f t="shared" si="62"/>
        <v>728857.81000001892</v>
      </c>
      <c r="O3042" s="2" t="s">
        <v>4</v>
      </c>
    </row>
    <row r="3043" spans="1:15" x14ac:dyDescent="0.2">
      <c r="A3043">
        <v>90</v>
      </c>
      <c r="B3043">
        <v>6</v>
      </c>
      <c r="C3043">
        <v>8</v>
      </c>
      <c r="D3043" s="2">
        <v>2</v>
      </c>
      <c r="E3043" s="2">
        <v>2</v>
      </c>
      <c r="F3043" s="2" t="s">
        <v>5</v>
      </c>
      <c r="G3043" s="2">
        <v>335.79999999986399</v>
      </c>
      <c r="H3043" s="2" t="s">
        <v>16</v>
      </c>
      <c r="I3043" s="2">
        <v>399008.00000000902</v>
      </c>
      <c r="J3043" s="2">
        <v>2000</v>
      </c>
      <c r="K3043" s="2">
        <v>200</v>
      </c>
      <c r="L3043" s="2">
        <v>0</v>
      </c>
      <c r="M3043" s="2">
        <v>601388.41</v>
      </c>
      <c r="N3043">
        <f t="shared" si="62"/>
        <v>1000732.2100000089</v>
      </c>
      <c r="O3043" s="2" t="s">
        <v>4</v>
      </c>
    </row>
    <row r="3044" spans="1:15" x14ac:dyDescent="0.2">
      <c r="A3044">
        <v>91</v>
      </c>
      <c r="B3044">
        <v>6</v>
      </c>
      <c r="C3044">
        <v>8</v>
      </c>
      <c r="D3044" s="2">
        <v>3</v>
      </c>
      <c r="E3044" s="2">
        <v>2</v>
      </c>
      <c r="F3044" s="2" t="s">
        <v>5</v>
      </c>
      <c r="G3044" s="2">
        <v>335.59999999930301</v>
      </c>
      <c r="H3044" s="2" t="s">
        <v>16</v>
      </c>
      <c r="I3044" s="2">
        <v>151079.00000001001</v>
      </c>
      <c r="J3044" s="2">
        <v>2000</v>
      </c>
      <c r="K3044" s="2">
        <v>200</v>
      </c>
      <c r="L3044" s="2">
        <v>0</v>
      </c>
      <c r="M3044" s="2">
        <v>543706.81000000006</v>
      </c>
      <c r="N3044">
        <f t="shared" si="62"/>
        <v>695121.41000000935</v>
      </c>
      <c r="O3044" s="2" t="s">
        <v>4</v>
      </c>
    </row>
    <row r="3045" spans="1:15" x14ac:dyDescent="0.2">
      <c r="A3045">
        <v>92</v>
      </c>
      <c r="B3045">
        <v>6</v>
      </c>
      <c r="C3045">
        <v>8</v>
      </c>
      <c r="D3045" s="2">
        <v>3</v>
      </c>
      <c r="E3045" s="2">
        <v>2</v>
      </c>
      <c r="F3045" s="2" t="s">
        <v>5</v>
      </c>
      <c r="G3045" s="2">
        <v>306.40000000019501</v>
      </c>
      <c r="H3045" s="2" t="s">
        <v>16</v>
      </c>
      <c r="I3045" s="2">
        <v>288912.000000011</v>
      </c>
      <c r="J3045" s="2">
        <v>2000</v>
      </c>
      <c r="K3045" s="2">
        <v>200</v>
      </c>
      <c r="L3045" s="2">
        <v>0</v>
      </c>
      <c r="M3045" s="2">
        <v>611707.21</v>
      </c>
      <c r="N3045">
        <f t="shared" si="62"/>
        <v>900925.61000001116</v>
      </c>
      <c r="O3045" s="2" t="s">
        <v>4</v>
      </c>
    </row>
    <row r="3046" spans="1:15" x14ac:dyDescent="0.2">
      <c r="A3046">
        <v>93</v>
      </c>
      <c r="B3046">
        <v>6</v>
      </c>
      <c r="C3046">
        <v>11</v>
      </c>
      <c r="D3046" s="2">
        <v>3</v>
      </c>
      <c r="E3046" s="2">
        <v>2</v>
      </c>
      <c r="F3046" s="2" t="s">
        <v>5</v>
      </c>
      <c r="G3046" s="2">
        <v>515.79999999979998</v>
      </c>
      <c r="H3046" s="2" t="s">
        <v>16</v>
      </c>
      <c r="I3046" s="2">
        <v>1416861.00000001</v>
      </c>
      <c r="J3046" s="2">
        <v>2000</v>
      </c>
      <c r="K3046" s="2">
        <v>200</v>
      </c>
      <c r="L3046" s="2">
        <v>0</v>
      </c>
      <c r="M3046" s="2">
        <v>577388.01</v>
      </c>
      <c r="N3046">
        <f t="shared" si="62"/>
        <v>1994764.8100000098</v>
      </c>
      <c r="O3046" s="2" t="s">
        <v>4</v>
      </c>
    </row>
    <row r="3047" spans="1:15" x14ac:dyDescent="0.2">
      <c r="A3047">
        <v>94</v>
      </c>
      <c r="B3047">
        <v>6</v>
      </c>
      <c r="C3047">
        <v>10</v>
      </c>
      <c r="D3047" s="2">
        <v>2</v>
      </c>
      <c r="E3047" s="2">
        <v>2</v>
      </c>
      <c r="F3047" s="2" t="s">
        <v>5</v>
      </c>
      <c r="G3047" s="2">
        <v>446.600000000075</v>
      </c>
      <c r="H3047" s="2" t="s">
        <v>16</v>
      </c>
      <c r="I3047" s="2">
        <v>711301.00000002002</v>
      </c>
      <c r="J3047" s="2">
        <v>2000</v>
      </c>
      <c r="K3047" s="2">
        <v>200</v>
      </c>
      <c r="L3047" s="2">
        <v>0</v>
      </c>
      <c r="M3047" s="2">
        <v>550427.21</v>
      </c>
      <c r="N3047">
        <f t="shared" si="62"/>
        <v>1262174.8100000201</v>
      </c>
      <c r="O3047" s="2" t="s">
        <v>4</v>
      </c>
    </row>
    <row r="3048" spans="1:15" x14ac:dyDescent="0.2">
      <c r="A3048">
        <v>95</v>
      </c>
      <c r="B3048">
        <v>6</v>
      </c>
      <c r="C3048">
        <v>12</v>
      </c>
      <c r="D3048" s="2">
        <v>2</v>
      </c>
      <c r="E3048" s="2">
        <v>2</v>
      </c>
      <c r="F3048" s="2" t="s">
        <v>5</v>
      </c>
      <c r="G3048" s="2">
        <v>605.60000000045</v>
      </c>
      <c r="H3048" s="2" t="s">
        <v>16</v>
      </c>
      <c r="I3048" s="2">
        <v>1174435.99999999</v>
      </c>
      <c r="J3048" s="2">
        <v>2000</v>
      </c>
      <c r="K3048" s="2">
        <v>200</v>
      </c>
      <c r="L3048" s="2">
        <v>0</v>
      </c>
      <c r="M3048" s="2">
        <v>618748.81000000006</v>
      </c>
      <c r="N3048">
        <f t="shared" si="62"/>
        <v>1793790.4099999906</v>
      </c>
      <c r="O3048" s="2" t="s">
        <v>4</v>
      </c>
    </row>
    <row r="3049" spans="1:15" x14ac:dyDescent="0.2">
      <c r="A3049">
        <v>96</v>
      </c>
      <c r="B3049">
        <v>6</v>
      </c>
      <c r="C3049">
        <v>8</v>
      </c>
      <c r="D3049" s="2">
        <v>3</v>
      </c>
      <c r="E3049" s="2">
        <v>2</v>
      </c>
      <c r="F3049" s="2" t="s">
        <v>5</v>
      </c>
      <c r="G3049" s="2">
        <v>301.39999999967398</v>
      </c>
      <c r="H3049" s="2" t="s">
        <v>16</v>
      </c>
      <c r="I3049" s="2">
        <v>267707.00000000099</v>
      </c>
      <c r="J3049" s="2">
        <v>2000</v>
      </c>
      <c r="K3049" s="2">
        <v>200</v>
      </c>
      <c r="L3049" s="2">
        <v>0</v>
      </c>
      <c r="M3049" s="2">
        <v>605867.61</v>
      </c>
      <c r="N3049">
        <f t="shared" si="62"/>
        <v>873876.01000000071</v>
      </c>
      <c r="O3049" s="2" t="s">
        <v>4</v>
      </c>
    </row>
    <row r="3050" spans="1:15" x14ac:dyDescent="0.2">
      <c r="A3050">
        <v>97</v>
      </c>
      <c r="B3050">
        <v>6</v>
      </c>
      <c r="C3050">
        <v>9</v>
      </c>
      <c r="D3050" s="2">
        <v>3</v>
      </c>
      <c r="E3050" s="2">
        <v>2</v>
      </c>
      <c r="F3050" s="2" t="s">
        <v>5</v>
      </c>
      <c r="G3050" s="2">
        <v>374.59999999995802</v>
      </c>
      <c r="H3050" s="2" t="s">
        <v>16</v>
      </c>
      <c r="I3050" s="2">
        <v>460260.00000000501</v>
      </c>
      <c r="J3050" s="2">
        <v>2000</v>
      </c>
      <c r="K3050" s="2">
        <v>200</v>
      </c>
      <c r="L3050" s="2">
        <v>0</v>
      </c>
      <c r="M3050" s="2">
        <v>542746.81000000006</v>
      </c>
      <c r="N3050">
        <f t="shared" si="62"/>
        <v>1003381.410000005</v>
      </c>
      <c r="O3050" s="2" t="s">
        <v>4</v>
      </c>
    </row>
    <row r="3051" spans="1:15" x14ac:dyDescent="0.2">
      <c r="A3051">
        <v>98</v>
      </c>
      <c r="B3051">
        <v>6</v>
      </c>
      <c r="C3051">
        <v>10</v>
      </c>
      <c r="D3051" s="2">
        <v>3</v>
      </c>
      <c r="E3051" s="2">
        <v>2</v>
      </c>
      <c r="F3051" s="2" t="s">
        <v>5</v>
      </c>
      <c r="G3051" s="2">
        <v>496.19999999990199</v>
      </c>
      <c r="H3051" s="2" t="s">
        <v>16</v>
      </c>
      <c r="I3051" s="2">
        <v>385244</v>
      </c>
      <c r="J3051" s="2">
        <v>2000</v>
      </c>
      <c r="K3051" s="2">
        <v>200</v>
      </c>
      <c r="L3051" s="2">
        <v>0</v>
      </c>
      <c r="M3051" s="2">
        <v>600346.41</v>
      </c>
      <c r="N3051">
        <f t="shared" si="62"/>
        <v>986086.60999999987</v>
      </c>
      <c r="O3051" s="2" t="s">
        <v>4</v>
      </c>
    </row>
    <row r="3052" spans="1:15" x14ac:dyDescent="0.2">
      <c r="A3052">
        <v>99</v>
      </c>
      <c r="B3052">
        <v>6</v>
      </c>
      <c r="C3052">
        <v>11</v>
      </c>
      <c r="D3052" s="2">
        <v>2</v>
      </c>
      <c r="E3052" s="2">
        <v>2</v>
      </c>
      <c r="F3052" s="2" t="s">
        <v>5</v>
      </c>
      <c r="G3052" s="2">
        <v>500.59999999980698</v>
      </c>
      <c r="H3052" s="2" t="s">
        <v>16</v>
      </c>
      <c r="I3052" s="2">
        <v>2095169</v>
      </c>
      <c r="J3052" s="2">
        <v>2000</v>
      </c>
      <c r="K3052" s="2">
        <v>200</v>
      </c>
      <c r="L3052" s="2">
        <v>0</v>
      </c>
      <c r="M3052" s="2">
        <v>550428.41</v>
      </c>
      <c r="N3052">
        <f t="shared" si="62"/>
        <v>2646098.0099999998</v>
      </c>
      <c r="O3052" s="2" t="s">
        <v>4</v>
      </c>
    </row>
    <row r="3053" spans="1:15" x14ac:dyDescent="0.2">
      <c r="A3053">
        <v>70</v>
      </c>
      <c r="B3053">
        <v>6</v>
      </c>
      <c r="C3053">
        <v>6</v>
      </c>
      <c r="D3053" s="2">
        <v>3</v>
      </c>
      <c r="E3053" s="2">
        <v>2</v>
      </c>
      <c r="F3053" s="2" t="s">
        <v>5</v>
      </c>
      <c r="G3053" s="2">
        <v>916.60000000004504</v>
      </c>
      <c r="H3053" s="2" t="s">
        <v>16</v>
      </c>
      <c r="I3053" s="2">
        <v>68301.999999988504</v>
      </c>
      <c r="J3053" s="2">
        <v>3000</v>
      </c>
      <c r="K3053" s="2">
        <v>20</v>
      </c>
      <c r="L3053" s="2">
        <v>0</v>
      </c>
      <c r="M3053" s="2">
        <v>270028.01</v>
      </c>
      <c r="N3053">
        <f t="shared" si="53"/>
        <v>339246.60999998858</v>
      </c>
      <c r="O3053" s="9" t="s">
        <v>5</v>
      </c>
    </row>
    <row r="3054" spans="1:15" x14ac:dyDescent="0.2">
      <c r="A3054">
        <v>71</v>
      </c>
      <c r="B3054">
        <v>6</v>
      </c>
      <c r="C3054">
        <v>7</v>
      </c>
      <c r="D3054" s="2">
        <v>2</v>
      </c>
      <c r="E3054" s="2">
        <v>2</v>
      </c>
      <c r="F3054" s="2" t="s">
        <v>5</v>
      </c>
      <c r="G3054" s="2">
        <v>840.79999999993095</v>
      </c>
      <c r="H3054" s="2" t="s">
        <v>16</v>
      </c>
      <c r="I3054" s="2">
        <v>212421.000000006</v>
      </c>
      <c r="J3054" s="2">
        <v>3000</v>
      </c>
      <c r="K3054" s="2">
        <v>20</v>
      </c>
      <c r="L3054" s="2">
        <v>0</v>
      </c>
      <c r="M3054" s="2">
        <v>311070.01</v>
      </c>
      <c r="N3054">
        <f t="shared" si="53"/>
        <v>524331.81000000588</v>
      </c>
      <c r="O3054" s="9" t="s">
        <v>4</v>
      </c>
    </row>
    <row r="3055" spans="1:15" x14ac:dyDescent="0.2">
      <c r="A3055">
        <v>72</v>
      </c>
      <c r="B3055">
        <v>6</v>
      </c>
      <c r="C3055">
        <v>7</v>
      </c>
      <c r="D3055" s="2">
        <v>2</v>
      </c>
      <c r="E3055" s="2">
        <v>2</v>
      </c>
      <c r="F3055" s="2" t="s">
        <v>5</v>
      </c>
      <c r="G3055" s="2">
        <v>686.80000000043196</v>
      </c>
      <c r="H3055" s="2" t="s">
        <v>16</v>
      </c>
      <c r="I3055" s="2">
        <v>262078.00000000201</v>
      </c>
      <c r="J3055" s="2">
        <v>3000</v>
      </c>
      <c r="K3055" s="2">
        <v>20</v>
      </c>
      <c r="L3055" s="2">
        <v>0</v>
      </c>
      <c r="M3055" s="2">
        <v>369268.01</v>
      </c>
      <c r="N3055">
        <f t="shared" si="53"/>
        <v>632032.81000000238</v>
      </c>
      <c r="O3055" s="9" t="s">
        <v>4</v>
      </c>
    </row>
    <row r="3056" spans="1:15" x14ac:dyDescent="0.2">
      <c r="A3056">
        <v>73</v>
      </c>
      <c r="B3056">
        <v>6</v>
      </c>
      <c r="C3056">
        <v>7</v>
      </c>
      <c r="D3056" s="2">
        <v>3</v>
      </c>
      <c r="E3056" s="2">
        <v>2</v>
      </c>
      <c r="F3056" s="2" t="s">
        <v>5</v>
      </c>
      <c r="G3056" s="2">
        <v>696.99999999990303</v>
      </c>
      <c r="H3056" s="2" t="s">
        <v>16</v>
      </c>
      <c r="I3056" s="2">
        <v>220828.999999981</v>
      </c>
      <c r="J3056" s="2">
        <v>3000</v>
      </c>
      <c r="K3056" s="2">
        <v>20</v>
      </c>
      <c r="L3056" s="2">
        <v>0</v>
      </c>
      <c r="M3056" s="2">
        <v>272188.40999999997</v>
      </c>
      <c r="N3056">
        <f t="shared" si="53"/>
        <v>493714.40999998088</v>
      </c>
      <c r="O3056" s="9" t="s">
        <v>4</v>
      </c>
    </row>
    <row r="3057" spans="1:15" x14ac:dyDescent="0.2">
      <c r="A3057">
        <v>74</v>
      </c>
      <c r="B3057">
        <v>6</v>
      </c>
      <c r="C3057">
        <v>9</v>
      </c>
      <c r="D3057" s="2">
        <v>3</v>
      </c>
      <c r="E3057" s="2">
        <v>2</v>
      </c>
      <c r="F3057" s="2" t="s">
        <v>5</v>
      </c>
      <c r="G3057" s="2">
        <v>767.00000000009504</v>
      </c>
      <c r="H3057" s="2" t="s">
        <v>16</v>
      </c>
      <c r="I3057" s="2">
        <v>641922.99999999104</v>
      </c>
      <c r="J3057" s="2">
        <v>3000</v>
      </c>
      <c r="K3057" s="2">
        <v>20</v>
      </c>
      <c r="L3057" s="2">
        <v>0</v>
      </c>
      <c r="M3057" s="2">
        <v>349468.81</v>
      </c>
      <c r="N3057">
        <f t="shared" si="53"/>
        <v>992158.80999999121</v>
      </c>
      <c r="O3057" s="9" t="s">
        <v>4</v>
      </c>
    </row>
    <row r="3058" spans="1:15" x14ac:dyDescent="0.2">
      <c r="A3058">
        <v>75</v>
      </c>
      <c r="B3058">
        <v>6</v>
      </c>
      <c r="C3058">
        <v>7</v>
      </c>
      <c r="D3058" s="2">
        <v>3</v>
      </c>
      <c r="E3058" s="2">
        <v>2</v>
      </c>
      <c r="F3058" s="2" t="s">
        <v>5</v>
      </c>
      <c r="G3058" s="2">
        <v>442.80000000007601</v>
      </c>
      <c r="H3058" s="2" t="s">
        <v>16</v>
      </c>
      <c r="I3058" s="2">
        <v>188826.000000006</v>
      </c>
      <c r="J3058" s="2">
        <v>3000</v>
      </c>
      <c r="K3058" s="2">
        <v>20</v>
      </c>
      <c r="L3058" s="2">
        <v>0</v>
      </c>
      <c r="M3058" s="2">
        <v>352229.21</v>
      </c>
      <c r="N3058">
        <f t="shared" si="53"/>
        <v>541498.01000000606</v>
      </c>
      <c r="O3058" s="9" t="s">
        <v>4</v>
      </c>
    </row>
    <row r="3059" spans="1:15" x14ac:dyDescent="0.2">
      <c r="A3059">
        <v>76</v>
      </c>
      <c r="B3059">
        <v>6</v>
      </c>
      <c r="C3059">
        <v>8</v>
      </c>
      <c r="D3059" s="2">
        <v>3</v>
      </c>
      <c r="E3059" s="2">
        <v>2</v>
      </c>
      <c r="F3059" s="2" t="s">
        <v>5</v>
      </c>
      <c r="G3059" s="2">
        <v>657.20000000020195</v>
      </c>
      <c r="H3059" s="2" t="s">
        <v>16</v>
      </c>
      <c r="I3059" s="2">
        <v>207245</v>
      </c>
      <c r="J3059" s="2">
        <v>3000</v>
      </c>
      <c r="K3059" s="2">
        <v>20</v>
      </c>
      <c r="L3059" s="2">
        <v>0</v>
      </c>
      <c r="M3059" s="2">
        <v>279028.81</v>
      </c>
      <c r="N3059">
        <f t="shared" si="53"/>
        <v>486931.01000000024</v>
      </c>
      <c r="O3059" s="9" t="s">
        <v>4</v>
      </c>
    </row>
    <row r="3060" spans="1:15" x14ac:dyDescent="0.2">
      <c r="A3060">
        <v>77</v>
      </c>
      <c r="B3060">
        <v>6</v>
      </c>
      <c r="C3060">
        <v>8</v>
      </c>
      <c r="D3060" s="2">
        <v>3</v>
      </c>
      <c r="E3060" s="2">
        <v>2</v>
      </c>
      <c r="F3060" s="2" t="s">
        <v>5</v>
      </c>
      <c r="G3060" s="2">
        <v>517.59999999951799</v>
      </c>
      <c r="H3060" s="2" t="s">
        <v>16</v>
      </c>
      <c r="I3060" s="2">
        <v>554278.99999997998</v>
      </c>
      <c r="J3060" s="2">
        <v>3000</v>
      </c>
      <c r="K3060" s="2">
        <v>20</v>
      </c>
      <c r="L3060" s="2">
        <v>0</v>
      </c>
      <c r="M3060" s="2">
        <v>270388.01</v>
      </c>
      <c r="N3060">
        <f t="shared" si="53"/>
        <v>825184.6099999795</v>
      </c>
      <c r="O3060" s="9" t="s">
        <v>4</v>
      </c>
    </row>
    <row r="3061" spans="1:15" x14ac:dyDescent="0.2">
      <c r="A3061">
        <v>78</v>
      </c>
      <c r="B3061">
        <v>6</v>
      </c>
      <c r="C3061">
        <v>8</v>
      </c>
      <c r="D3061" s="2">
        <v>3</v>
      </c>
      <c r="E3061" s="2">
        <v>2</v>
      </c>
      <c r="F3061" s="2" t="s">
        <v>5</v>
      </c>
      <c r="G3061" s="2">
        <v>411.19999999992302</v>
      </c>
      <c r="H3061" s="2" t="s">
        <v>16</v>
      </c>
      <c r="I3061" s="2">
        <v>251448.000000011</v>
      </c>
      <c r="J3061" s="2">
        <v>3000</v>
      </c>
      <c r="K3061" s="2">
        <v>20</v>
      </c>
      <c r="L3061" s="2">
        <v>0</v>
      </c>
      <c r="M3061" s="2">
        <v>352108.81</v>
      </c>
      <c r="N3061">
        <f t="shared" si="53"/>
        <v>603968.01000001095</v>
      </c>
      <c r="O3061" s="9" t="s">
        <v>4</v>
      </c>
    </row>
    <row r="3062" spans="1:15" x14ac:dyDescent="0.2">
      <c r="A3062">
        <v>79</v>
      </c>
      <c r="B3062">
        <v>6</v>
      </c>
      <c r="C3062">
        <v>8</v>
      </c>
      <c r="D3062" s="2">
        <v>3</v>
      </c>
      <c r="E3062" s="2">
        <v>2</v>
      </c>
      <c r="F3062" s="2" t="s">
        <v>5</v>
      </c>
      <c r="G3062" s="2">
        <v>394.20000000021099</v>
      </c>
      <c r="H3062" s="2" t="s">
        <v>16</v>
      </c>
      <c r="I3062" s="2">
        <v>178140.00000001301</v>
      </c>
      <c r="J3062" s="2">
        <v>3000</v>
      </c>
      <c r="K3062" s="2">
        <v>20</v>
      </c>
      <c r="L3062" s="2">
        <v>0</v>
      </c>
      <c r="M3062" s="2">
        <v>330988.01</v>
      </c>
      <c r="N3062">
        <f t="shared" ref="N3062:N3076" si="63">G3062+I3062+M3062</f>
        <v>509522.21000001323</v>
      </c>
      <c r="O3062" s="9" t="s">
        <v>5</v>
      </c>
    </row>
    <row r="3063" spans="1:15" x14ac:dyDescent="0.2">
      <c r="A3063">
        <v>80</v>
      </c>
      <c r="B3063">
        <v>6</v>
      </c>
      <c r="C3063">
        <v>7</v>
      </c>
      <c r="D3063" s="2">
        <v>3</v>
      </c>
      <c r="E3063" s="2">
        <v>2</v>
      </c>
      <c r="F3063" s="2" t="s">
        <v>5</v>
      </c>
      <c r="G3063" s="2">
        <v>306.60000000004601</v>
      </c>
      <c r="H3063" s="2" t="s">
        <v>16</v>
      </c>
      <c r="I3063" s="2">
        <v>148730</v>
      </c>
      <c r="J3063" s="2">
        <v>3000</v>
      </c>
      <c r="K3063" s="2">
        <v>20</v>
      </c>
      <c r="L3063" s="2">
        <v>0</v>
      </c>
      <c r="M3063" s="2">
        <v>358708.01</v>
      </c>
      <c r="N3063">
        <f t="shared" si="63"/>
        <v>507744.61000000004</v>
      </c>
      <c r="O3063" s="9" t="s">
        <v>4</v>
      </c>
    </row>
    <row r="3064" spans="1:15" x14ac:dyDescent="0.2">
      <c r="A3064">
        <v>81</v>
      </c>
      <c r="B3064">
        <v>6</v>
      </c>
      <c r="C3064">
        <v>8</v>
      </c>
      <c r="D3064" s="2">
        <v>3</v>
      </c>
      <c r="E3064" s="2">
        <v>2</v>
      </c>
      <c r="F3064" s="2" t="s">
        <v>5</v>
      </c>
      <c r="G3064" s="2">
        <v>372.600000000389</v>
      </c>
      <c r="H3064" s="2" t="s">
        <v>16</v>
      </c>
      <c r="I3064" s="2">
        <v>307187.99999999598</v>
      </c>
      <c r="J3064" s="2">
        <v>3000</v>
      </c>
      <c r="K3064" s="2">
        <v>20</v>
      </c>
      <c r="L3064" s="2">
        <v>0</v>
      </c>
      <c r="M3064" s="2">
        <v>272188.40999999997</v>
      </c>
      <c r="N3064">
        <f t="shared" si="63"/>
        <v>579749.00999999628</v>
      </c>
      <c r="O3064" s="9" t="s">
        <v>4</v>
      </c>
    </row>
    <row r="3065" spans="1:15" x14ac:dyDescent="0.2">
      <c r="A3065">
        <v>82</v>
      </c>
      <c r="B3065">
        <v>6</v>
      </c>
      <c r="C3065">
        <v>8</v>
      </c>
      <c r="D3065" s="2">
        <v>2</v>
      </c>
      <c r="E3065" s="2">
        <v>2</v>
      </c>
      <c r="F3065" s="2" t="s">
        <v>5</v>
      </c>
      <c r="G3065" s="2">
        <v>377.99999999990098</v>
      </c>
      <c r="H3065" s="2" t="s">
        <v>16</v>
      </c>
      <c r="I3065" s="2">
        <v>516832.99999999098</v>
      </c>
      <c r="J3065" s="2">
        <v>3000</v>
      </c>
      <c r="K3065" s="2">
        <v>20</v>
      </c>
      <c r="L3065" s="2">
        <v>0</v>
      </c>
      <c r="M3065" s="2">
        <v>359787.61</v>
      </c>
      <c r="N3065">
        <f t="shared" si="63"/>
        <v>876998.60999999079</v>
      </c>
      <c r="O3065" s="9" t="s">
        <v>4</v>
      </c>
    </row>
    <row r="3066" spans="1:15" x14ac:dyDescent="0.2">
      <c r="A3066">
        <v>83</v>
      </c>
      <c r="B3066">
        <v>6</v>
      </c>
      <c r="C3066">
        <v>9</v>
      </c>
      <c r="D3066" s="2">
        <v>2</v>
      </c>
      <c r="E3066" s="2">
        <v>2</v>
      </c>
      <c r="F3066" s="2" t="s">
        <v>5</v>
      </c>
      <c r="G3066" s="2">
        <v>451.20000000018501</v>
      </c>
      <c r="H3066" s="2" t="s">
        <v>16</v>
      </c>
      <c r="I3066" s="2">
        <v>413190.00000001403</v>
      </c>
      <c r="J3066" s="2">
        <v>3000</v>
      </c>
      <c r="K3066" s="2">
        <v>20</v>
      </c>
      <c r="L3066" s="2">
        <v>0</v>
      </c>
      <c r="M3066" s="2">
        <v>274828.01</v>
      </c>
      <c r="N3066">
        <f t="shared" si="63"/>
        <v>688469.21000001417</v>
      </c>
      <c r="O3066" s="9" t="s">
        <v>4</v>
      </c>
    </row>
    <row r="3067" spans="1:15" x14ac:dyDescent="0.2">
      <c r="A3067">
        <v>84</v>
      </c>
      <c r="B3067">
        <v>6</v>
      </c>
      <c r="C3067">
        <v>10</v>
      </c>
      <c r="D3067" s="2">
        <v>2</v>
      </c>
      <c r="E3067" s="2">
        <v>2</v>
      </c>
      <c r="F3067" s="2" t="s">
        <v>5</v>
      </c>
      <c r="G3067" s="2">
        <v>503.80000000060897</v>
      </c>
      <c r="H3067" s="2" t="s">
        <v>16</v>
      </c>
      <c r="I3067" s="2">
        <v>474711.999999983</v>
      </c>
      <c r="J3067" s="2">
        <v>3000</v>
      </c>
      <c r="K3067" s="2">
        <v>20</v>
      </c>
      <c r="L3067" s="2">
        <v>0</v>
      </c>
      <c r="M3067" s="2">
        <v>375028.01</v>
      </c>
      <c r="N3067">
        <f t="shared" si="63"/>
        <v>850243.80999998364</v>
      </c>
      <c r="O3067" s="9" t="s">
        <v>4</v>
      </c>
    </row>
    <row r="3068" spans="1:15" x14ac:dyDescent="0.2">
      <c r="A3068">
        <v>85</v>
      </c>
      <c r="B3068">
        <v>6</v>
      </c>
      <c r="C3068">
        <v>8</v>
      </c>
      <c r="D3068" s="2">
        <v>2</v>
      </c>
      <c r="E3068" s="2">
        <v>2</v>
      </c>
      <c r="F3068" s="2" t="s">
        <v>5</v>
      </c>
      <c r="G3068" s="2">
        <v>348.000000000326</v>
      </c>
      <c r="H3068" s="2" t="s">
        <v>16</v>
      </c>
      <c r="I3068" s="2">
        <v>608902.00000000105</v>
      </c>
      <c r="J3068" s="2">
        <v>3000</v>
      </c>
      <c r="K3068" s="2">
        <v>20</v>
      </c>
      <c r="L3068" s="2">
        <v>0</v>
      </c>
      <c r="M3068" s="2">
        <v>363508.41</v>
      </c>
      <c r="N3068">
        <f t="shared" si="63"/>
        <v>972758.41000000131</v>
      </c>
      <c r="O3068" s="9" t="s">
        <v>4</v>
      </c>
    </row>
    <row r="3069" spans="1:15" x14ac:dyDescent="0.2">
      <c r="A3069">
        <v>86</v>
      </c>
      <c r="B3069">
        <v>6</v>
      </c>
      <c r="C3069">
        <v>10</v>
      </c>
      <c r="D3069" s="2">
        <v>3</v>
      </c>
      <c r="E3069" s="2">
        <v>2</v>
      </c>
      <c r="F3069" s="2" t="s">
        <v>5</v>
      </c>
      <c r="G3069" s="2">
        <v>468.00000000004599</v>
      </c>
      <c r="H3069" s="2" t="s">
        <v>16</v>
      </c>
      <c r="I3069" s="2">
        <v>645299.00000002305</v>
      </c>
      <c r="J3069" s="2">
        <v>3000</v>
      </c>
      <c r="K3069" s="2">
        <v>20</v>
      </c>
      <c r="L3069" s="2">
        <v>0</v>
      </c>
      <c r="M3069" s="2">
        <v>293667.21000000002</v>
      </c>
      <c r="N3069">
        <f t="shared" si="63"/>
        <v>939434.21000002301</v>
      </c>
      <c r="O3069" s="9" t="s">
        <v>4</v>
      </c>
    </row>
    <row r="3070" spans="1:15" x14ac:dyDescent="0.2">
      <c r="A3070">
        <v>87</v>
      </c>
      <c r="B3070">
        <v>6</v>
      </c>
      <c r="C3070">
        <v>10</v>
      </c>
      <c r="D3070" s="2">
        <v>2</v>
      </c>
      <c r="E3070" s="2">
        <v>2</v>
      </c>
      <c r="F3070" s="2" t="s">
        <v>5</v>
      </c>
      <c r="G3070" s="2">
        <v>451.39999999968001</v>
      </c>
      <c r="H3070" s="2" t="s">
        <v>16</v>
      </c>
      <c r="I3070" s="2">
        <v>401485.00000000797</v>
      </c>
      <c r="J3070" s="2">
        <v>3000</v>
      </c>
      <c r="K3070" s="2">
        <v>20</v>
      </c>
      <c r="L3070" s="2">
        <v>0</v>
      </c>
      <c r="M3070" s="2">
        <v>375747.21</v>
      </c>
      <c r="N3070">
        <f t="shared" si="63"/>
        <v>777683.61000000767</v>
      </c>
      <c r="O3070" s="9" t="s">
        <v>4</v>
      </c>
    </row>
    <row r="3071" spans="1:15" x14ac:dyDescent="0.2">
      <c r="A3071">
        <v>88</v>
      </c>
      <c r="B3071">
        <v>6</v>
      </c>
      <c r="C3071">
        <v>10</v>
      </c>
      <c r="D3071" s="2">
        <v>3</v>
      </c>
      <c r="E3071" s="2">
        <v>2</v>
      </c>
      <c r="F3071" s="2" t="s">
        <v>5</v>
      </c>
      <c r="G3071" s="2">
        <v>490.20000000048498</v>
      </c>
      <c r="H3071" s="2" t="s">
        <v>16</v>
      </c>
      <c r="I3071" s="2">
        <v>672093.99999998696</v>
      </c>
      <c r="J3071" s="2">
        <v>3000</v>
      </c>
      <c r="K3071" s="2">
        <v>20</v>
      </c>
      <c r="L3071" s="2">
        <v>0</v>
      </c>
      <c r="M3071" s="2">
        <v>277828.40999999997</v>
      </c>
      <c r="N3071">
        <f t="shared" si="63"/>
        <v>950412.60999998753</v>
      </c>
      <c r="O3071" s="9" t="s">
        <v>4</v>
      </c>
    </row>
    <row r="3072" spans="1:15" x14ac:dyDescent="0.2">
      <c r="A3072">
        <v>89</v>
      </c>
      <c r="B3072">
        <v>6</v>
      </c>
      <c r="C3072">
        <v>7</v>
      </c>
      <c r="D3072" s="2">
        <v>3</v>
      </c>
      <c r="E3072" s="2">
        <v>2</v>
      </c>
      <c r="F3072" s="2" t="s">
        <v>5</v>
      </c>
      <c r="G3072" s="2">
        <v>266.39999999993302</v>
      </c>
      <c r="H3072" s="2" t="s">
        <v>16</v>
      </c>
      <c r="I3072" s="2">
        <v>186243.000000019</v>
      </c>
      <c r="J3072" s="2">
        <v>3000</v>
      </c>
      <c r="K3072" s="2">
        <v>20</v>
      </c>
      <c r="L3072" s="2">
        <v>0</v>
      </c>
      <c r="M3072" s="2">
        <v>263908.40999999997</v>
      </c>
      <c r="N3072">
        <f t="shared" si="63"/>
        <v>450417.81000001892</v>
      </c>
      <c r="O3072" s="9" t="s">
        <v>4</v>
      </c>
    </row>
    <row r="3073" spans="1:15" x14ac:dyDescent="0.2">
      <c r="A3073">
        <v>90</v>
      </c>
      <c r="B3073">
        <v>6</v>
      </c>
      <c r="C3073">
        <v>8</v>
      </c>
      <c r="D3073" s="2">
        <v>2</v>
      </c>
      <c r="E3073" s="2">
        <v>2</v>
      </c>
      <c r="F3073" s="2" t="s">
        <v>5</v>
      </c>
      <c r="G3073" s="2">
        <v>335.79999999986399</v>
      </c>
      <c r="H3073" s="2" t="s">
        <v>16</v>
      </c>
      <c r="I3073" s="2">
        <v>399008.00000000902</v>
      </c>
      <c r="J3073" s="2">
        <v>3000</v>
      </c>
      <c r="K3073" s="2">
        <v>20</v>
      </c>
      <c r="L3073" s="2">
        <v>0</v>
      </c>
      <c r="M3073" s="2">
        <v>352468.81</v>
      </c>
      <c r="N3073">
        <f t="shared" si="63"/>
        <v>751812.61000000895</v>
      </c>
      <c r="O3073" s="9" t="s">
        <v>4</v>
      </c>
    </row>
    <row r="3074" spans="1:15" x14ac:dyDescent="0.2">
      <c r="A3074">
        <v>91</v>
      </c>
      <c r="B3074">
        <v>6</v>
      </c>
      <c r="C3074">
        <v>8</v>
      </c>
      <c r="D3074" s="2">
        <v>3</v>
      </c>
      <c r="E3074" s="2">
        <v>2</v>
      </c>
      <c r="F3074" s="2" t="s">
        <v>5</v>
      </c>
      <c r="G3074" s="2">
        <v>335.59999999930301</v>
      </c>
      <c r="H3074" s="2" t="s">
        <v>16</v>
      </c>
      <c r="I3074" s="2">
        <v>151079.00000001001</v>
      </c>
      <c r="J3074" s="2">
        <v>3000</v>
      </c>
      <c r="K3074" s="2">
        <v>20</v>
      </c>
      <c r="L3074" s="2">
        <v>0</v>
      </c>
      <c r="M3074" s="2">
        <v>265947.61</v>
      </c>
      <c r="N3074">
        <f t="shared" si="63"/>
        <v>417362.21000000928</v>
      </c>
      <c r="O3074" s="9" t="s">
        <v>4</v>
      </c>
    </row>
    <row r="3075" spans="1:15" x14ac:dyDescent="0.2">
      <c r="A3075">
        <v>92</v>
      </c>
      <c r="B3075">
        <v>6</v>
      </c>
      <c r="C3075">
        <v>8</v>
      </c>
      <c r="D3075" s="2">
        <v>3</v>
      </c>
      <c r="E3075" s="2">
        <v>2</v>
      </c>
      <c r="F3075" s="2" t="s">
        <v>5</v>
      </c>
      <c r="G3075" s="2">
        <v>306.40000000019501</v>
      </c>
      <c r="H3075" s="2" t="s">
        <v>16</v>
      </c>
      <c r="I3075" s="2">
        <v>288912.000000011</v>
      </c>
      <c r="J3075" s="2">
        <v>3000</v>
      </c>
      <c r="K3075" s="2">
        <v>20</v>
      </c>
      <c r="L3075" s="2">
        <v>0</v>
      </c>
      <c r="M3075" s="2">
        <v>367947.61</v>
      </c>
      <c r="N3075">
        <f t="shared" si="63"/>
        <v>657166.01000001119</v>
      </c>
      <c r="O3075" s="9" t="s">
        <v>4</v>
      </c>
    </row>
    <row r="3076" spans="1:15" x14ac:dyDescent="0.2">
      <c r="A3076">
        <v>93</v>
      </c>
      <c r="B3076">
        <v>6</v>
      </c>
      <c r="C3076">
        <v>11</v>
      </c>
      <c r="D3076" s="2">
        <v>3</v>
      </c>
      <c r="E3076" s="2">
        <v>2</v>
      </c>
      <c r="F3076" s="2" t="s">
        <v>5</v>
      </c>
      <c r="G3076" s="2">
        <v>515.79999999979998</v>
      </c>
      <c r="H3076" s="2" t="s">
        <v>16</v>
      </c>
      <c r="I3076" s="2">
        <v>1416861.00000001</v>
      </c>
      <c r="J3076" s="2">
        <v>3000</v>
      </c>
      <c r="K3076" s="2">
        <v>20</v>
      </c>
      <c r="L3076" s="2">
        <v>0</v>
      </c>
      <c r="M3076" s="2">
        <v>316468.40999999997</v>
      </c>
      <c r="N3076">
        <f t="shared" si="63"/>
        <v>1733845.2100000097</v>
      </c>
      <c r="O3076" s="9" t="s">
        <v>4</v>
      </c>
    </row>
    <row r="3077" spans="1:15" x14ac:dyDescent="0.2">
      <c r="A3077">
        <v>94</v>
      </c>
      <c r="B3077">
        <v>6</v>
      </c>
      <c r="C3077">
        <v>10</v>
      </c>
      <c r="D3077" s="2">
        <v>2</v>
      </c>
      <c r="E3077" s="2">
        <v>2</v>
      </c>
      <c r="F3077" s="2" t="s">
        <v>5</v>
      </c>
      <c r="G3077" s="2">
        <v>446.600000000075</v>
      </c>
      <c r="H3077" s="2" t="s">
        <v>16</v>
      </c>
      <c r="I3077" s="2">
        <v>711301.00000002002</v>
      </c>
      <c r="J3077" s="2">
        <v>3000</v>
      </c>
      <c r="K3077" s="2">
        <v>20</v>
      </c>
      <c r="L3077" s="2">
        <v>0</v>
      </c>
      <c r="M3077" s="2">
        <v>276027.61</v>
      </c>
      <c r="N3077">
        <f t="shared" ref="N3077:N3155" si="64">G3077+I3077+M3077</f>
        <v>987775.2100000201</v>
      </c>
      <c r="O3077" s="9" t="s">
        <v>4</v>
      </c>
    </row>
    <row r="3078" spans="1:15" x14ac:dyDescent="0.2">
      <c r="A3078">
        <v>95</v>
      </c>
      <c r="B3078">
        <v>6</v>
      </c>
      <c r="C3078">
        <v>12</v>
      </c>
      <c r="D3078" s="2">
        <v>2</v>
      </c>
      <c r="E3078" s="2">
        <v>2</v>
      </c>
      <c r="F3078" s="2" t="s">
        <v>5</v>
      </c>
      <c r="G3078" s="2">
        <v>605.60000000045</v>
      </c>
      <c r="H3078" s="2" t="s">
        <v>16</v>
      </c>
      <c r="I3078" s="2">
        <v>1174435.99999999</v>
      </c>
      <c r="J3078" s="2">
        <v>3000</v>
      </c>
      <c r="K3078" s="2">
        <v>20</v>
      </c>
      <c r="L3078" s="2">
        <v>0</v>
      </c>
      <c r="M3078" s="2">
        <v>378508.81</v>
      </c>
      <c r="N3078">
        <f t="shared" si="64"/>
        <v>1553550.4099999906</v>
      </c>
      <c r="O3078" s="9" t="s">
        <v>4</v>
      </c>
    </row>
    <row r="3079" spans="1:15" x14ac:dyDescent="0.2">
      <c r="A3079">
        <v>96</v>
      </c>
      <c r="B3079">
        <v>6</v>
      </c>
      <c r="C3079">
        <v>8</v>
      </c>
      <c r="D3079" s="2">
        <v>3</v>
      </c>
      <c r="E3079" s="2">
        <v>2</v>
      </c>
      <c r="F3079" s="2" t="s">
        <v>5</v>
      </c>
      <c r="G3079" s="2">
        <v>301.39999999967398</v>
      </c>
      <c r="H3079" s="2" t="s">
        <v>16</v>
      </c>
      <c r="I3079" s="2">
        <v>267707.00000000099</v>
      </c>
      <c r="J3079" s="2">
        <v>3000</v>
      </c>
      <c r="K3079" s="2">
        <v>20</v>
      </c>
      <c r="L3079" s="2">
        <v>0</v>
      </c>
      <c r="M3079" s="2">
        <v>359188.01</v>
      </c>
      <c r="N3079">
        <f t="shared" si="64"/>
        <v>627196.41000000061</v>
      </c>
      <c r="O3079" s="9" t="s">
        <v>4</v>
      </c>
    </row>
    <row r="3080" spans="1:15" x14ac:dyDescent="0.2">
      <c r="A3080">
        <v>97</v>
      </c>
      <c r="B3080">
        <v>6</v>
      </c>
      <c r="C3080">
        <v>9</v>
      </c>
      <c r="D3080" s="2">
        <v>3</v>
      </c>
      <c r="E3080" s="2">
        <v>2</v>
      </c>
      <c r="F3080" s="2" t="s">
        <v>5</v>
      </c>
      <c r="G3080" s="2">
        <v>374.59999999995802</v>
      </c>
      <c r="H3080" s="2" t="s">
        <v>16</v>
      </c>
      <c r="I3080" s="2">
        <v>460260.00000000501</v>
      </c>
      <c r="J3080" s="2">
        <v>3000</v>
      </c>
      <c r="K3080" s="2">
        <v>20</v>
      </c>
      <c r="L3080" s="2">
        <v>0</v>
      </c>
      <c r="M3080" s="2">
        <v>264507.21000000002</v>
      </c>
      <c r="N3080">
        <f t="shared" si="64"/>
        <v>725141.81000000495</v>
      </c>
      <c r="O3080" s="9" t="s">
        <v>4</v>
      </c>
    </row>
    <row r="3081" spans="1:15" x14ac:dyDescent="0.2">
      <c r="A3081">
        <v>98</v>
      </c>
      <c r="B3081">
        <v>6</v>
      </c>
      <c r="C3081">
        <v>10</v>
      </c>
      <c r="D3081" s="2">
        <v>3</v>
      </c>
      <c r="E3081" s="2">
        <v>2</v>
      </c>
      <c r="F3081" s="2" t="s">
        <v>5</v>
      </c>
      <c r="G3081" s="2">
        <v>496.19999999990199</v>
      </c>
      <c r="H3081" s="2" t="s">
        <v>16</v>
      </c>
      <c r="I3081" s="2">
        <v>385244</v>
      </c>
      <c r="J3081" s="2">
        <v>3000</v>
      </c>
      <c r="K3081" s="2">
        <v>20</v>
      </c>
      <c r="L3081" s="2">
        <v>0</v>
      </c>
      <c r="M3081" s="2">
        <v>350907.21</v>
      </c>
      <c r="N3081">
        <f t="shared" si="64"/>
        <v>736647.40999999992</v>
      </c>
      <c r="O3081" s="9" t="s">
        <v>4</v>
      </c>
    </row>
    <row r="3082" spans="1:15" x14ac:dyDescent="0.2">
      <c r="A3082">
        <v>99</v>
      </c>
      <c r="B3082">
        <v>6</v>
      </c>
      <c r="C3082">
        <v>11</v>
      </c>
      <c r="D3082" s="2">
        <v>2</v>
      </c>
      <c r="E3082" s="2">
        <v>2</v>
      </c>
      <c r="F3082" s="2" t="s">
        <v>5</v>
      </c>
      <c r="G3082" s="2">
        <v>500.59999999980698</v>
      </c>
      <c r="H3082" s="2" t="s">
        <v>16</v>
      </c>
      <c r="I3082" s="2">
        <v>2095169</v>
      </c>
      <c r="J3082" s="2">
        <v>3000</v>
      </c>
      <c r="K3082" s="2">
        <v>20</v>
      </c>
      <c r="L3082" s="2">
        <v>0</v>
      </c>
      <c r="M3082" s="2">
        <v>276028.81</v>
      </c>
      <c r="N3082">
        <f t="shared" si="64"/>
        <v>2371698.4099999997</v>
      </c>
      <c r="O3082" s="9" t="s">
        <v>4</v>
      </c>
    </row>
    <row r="3083" spans="1:15" x14ac:dyDescent="0.2">
      <c r="A3083">
        <v>70</v>
      </c>
      <c r="B3083">
        <v>6</v>
      </c>
      <c r="C3083">
        <v>6</v>
      </c>
      <c r="D3083" s="2">
        <v>3</v>
      </c>
      <c r="E3083" s="2">
        <v>2</v>
      </c>
      <c r="F3083" s="2" t="s">
        <v>5</v>
      </c>
      <c r="G3083" s="2">
        <v>916.60000000004504</v>
      </c>
      <c r="H3083" s="2" t="s">
        <v>16</v>
      </c>
      <c r="I3083" s="2">
        <v>68301.999999988504</v>
      </c>
      <c r="J3083" s="2">
        <v>3000</v>
      </c>
      <c r="K3083" s="2">
        <v>100</v>
      </c>
      <c r="L3083" s="2">
        <v>0</v>
      </c>
      <c r="M3083" s="2">
        <v>510027.61</v>
      </c>
      <c r="N3083">
        <f t="shared" si="64"/>
        <v>579246.20999998855</v>
      </c>
      <c r="O3083" s="9" t="s">
        <v>4</v>
      </c>
    </row>
    <row r="3084" spans="1:15" x14ac:dyDescent="0.2">
      <c r="A3084">
        <v>71</v>
      </c>
      <c r="B3084">
        <v>6</v>
      </c>
      <c r="C3084">
        <v>7</v>
      </c>
      <c r="D3084" s="2">
        <v>2</v>
      </c>
      <c r="E3084" s="2">
        <v>2</v>
      </c>
      <c r="F3084" s="2" t="s">
        <v>5</v>
      </c>
      <c r="G3084" s="2">
        <v>840.79999999993095</v>
      </c>
      <c r="H3084" s="2" t="s">
        <v>16</v>
      </c>
      <c r="I3084" s="2">
        <v>212421.000000006</v>
      </c>
      <c r="J3084" s="2">
        <v>3000</v>
      </c>
      <c r="K3084" s="2">
        <v>100</v>
      </c>
      <c r="L3084" s="2">
        <v>0</v>
      </c>
      <c r="M3084" s="2">
        <v>551069.61</v>
      </c>
      <c r="N3084">
        <f t="shared" si="64"/>
        <v>764331.41000000597</v>
      </c>
      <c r="O3084" s="9" t="s">
        <v>4</v>
      </c>
    </row>
    <row r="3085" spans="1:15" x14ac:dyDescent="0.2">
      <c r="A3085">
        <v>72</v>
      </c>
      <c r="B3085">
        <v>6</v>
      </c>
      <c r="C3085">
        <v>7</v>
      </c>
      <c r="D3085" s="2">
        <v>2</v>
      </c>
      <c r="E3085" s="2">
        <v>2</v>
      </c>
      <c r="F3085" s="2" t="s">
        <v>5</v>
      </c>
      <c r="G3085" s="2">
        <v>686.80000000043196</v>
      </c>
      <c r="H3085" s="2" t="s">
        <v>16</v>
      </c>
      <c r="I3085" s="2">
        <v>262078.00000000201</v>
      </c>
      <c r="J3085" s="2">
        <v>3000</v>
      </c>
      <c r="K3085" s="2">
        <v>100</v>
      </c>
      <c r="L3085" s="2">
        <v>0</v>
      </c>
      <c r="M3085" s="2">
        <v>609267.61</v>
      </c>
      <c r="N3085">
        <f t="shared" si="64"/>
        <v>872032.41000000248</v>
      </c>
      <c r="O3085" s="9" t="s">
        <v>4</v>
      </c>
    </row>
    <row r="3086" spans="1:15" x14ac:dyDescent="0.2">
      <c r="A3086">
        <v>73</v>
      </c>
      <c r="B3086">
        <v>6</v>
      </c>
      <c r="C3086">
        <v>7</v>
      </c>
      <c r="D3086" s="2">
        <v>3</v>
      </c>
      <c r="E3086" s="2">
        <v>2</v>
      </c>
      <c r="F3086" s="2" t="s">
        <v>5</v>
      </c>
      <c r="G3086" s="2">
        <v>696.99999999990303</v>
      </c>
      <c r="H3086" s="2" t="s">
        <v>16</v>
      </c>
      <c r="I3086" s="2">
        <v>220828.999999981</v>
      </c>
      <c r="J3086" s="2">
        <v>3000</v>
      </c>
      <c r="K3086" s="2">
        <v>100</v>
      </c>
      <c r="L3086" s="2">
        <v>0</v>
      </c>
      <c r="M3086" s="2">
        <v>512188.01</v>
      </c>
      <c r="N3086">
        <f t="shared" si="64"/>
        <v>733714.00999998092</v>
      </c>
      <c r="O3086" s="9" t="s">
        <v>4</v>
      </c>
    </row>
    <row r="3087" spans="1:15" x14ac:dyDescent="0.2">
      <c r="A3087">
        <v>74</v>
      </c>
      <c r="B3087">
        <v>6</v>
      </c>
      <c r="C3087">
        <v>9</v>
      </c>
      <c r="D3087" s="2">
        <v>3</v>
      </c>
      <c r="E3087" s="2">
        <v>2</v>
      </c>
      <c r="F3087" s="2" t="s">
        <v>5</v>
      </c>
      <c r="G3087" s="2">
        <v>767.00000000009504</v>
      </c>
      <c r="H3087" s="2" t="s">
        <v>16</v>
      </c>
      <c r="I3087" s="2">
        <v>641922.99999999104</v>
      </c>
      <c r="J3087" s="2">
        <v>3000</v>
      </c>
      <c r="K3087" s="2">
        <v>100</v>
      </c>
      <c r="L3087" s="2">
        <v>0</v>
      </c>
      <c r="M3087" s="2">
        <v>589468.41</v>
      </c>
      <c r="N3087">
        <f t="shared" si="64"/>
        <v>1232158.4099999913</v>
      </c>
      <c r="O3087" s="9" t="s">
        <v>4</v>
      </c>
    </row>
    <row r="3088" spans="1:15" x14ac:dyDescent="0.2">
      <c r="A3088">
        <v>75</v>
      </c>
      <c r="B3088">
        <v>6</v>
      </c>
      <c r="C3088">
        <v>7</v>
      </c>
      <c r="D3088" s="2">
        <v>3</v>
      </c>
      <c r="E3088" s="2">
        <v>2</v>
      </c>
      <c r="F3088" s="2" t="s">
        <v>5</v>
      </c>
      <c r="G3088" s="2">
        <v>442.80000000007601</v>
      </c>
      <c r="H3088" s="2" t="s">
        <v>16</v>
      </c>
      <c r="I3088" s="2">
        <v>188826.000000006</v>
      </c>
      <c r="J3088" s="2">
        <v>3000</v>
      </c>
      <c r="K3088" s="2">
        <v>100</v>
      </c>
      <c r="L3088" s="2">
        <v>0</v>
      </c>
      <c r="M3088" s="2">
        <v>592228.81000000006</v>
      </c>
      <c r="N3088">
        <f t="shared" si="64"/>
        <v>781497.61000000616</v>
      </c>
      <c r="O3088" s="9" t="s">
        <v>4</v>
      </c>
    </row>
    <row r="3089" spans="1:15" x14ac:dyDescent="0.2">
      <c r="A3089">
        <v>76</v>
      </c>
      <c r="B3089">
        <v>6</v>
      </c>
      <c r="C3089">
        <v>8</v>
      </c>
      <c r="D3089" s="2">
        <v>3</v>
      </c>
      <c r="E3089" s="2">
        <v>2</v>
      </c>
      <c r="F3089" s="2" t="s">
        <v>5</v>
      </c>
      <c r="G3089" s="2">
        <v>657.20000000020195</v>
      </c>
      <c r="H3089" s="2" t="s">
        <v>16</v>
      </c>
      <c r="I3089" s="2">
        <v>207245</v>
      </c>
      <c r="J3089" s="2">
        <v>3000</v>
      </c>
      <c r="K3089" s="2">
        <v>100</v>
      </c>
      <c r="L3089" s="2">
        <v>0</v>
      </c>
      <c r="M3089" s="2">
        <v>519028.41</v>
      </c>
      <c r="N3089">
        <f t="shared" si="64"/>
        <v>726930.61000000022</v>
      </c>
      <c r="O3089" s="9" t="s">
        <v>4</v>
      </c>
    </row>
    <row r="3090" spans="1:15" x14ac:dyDescent="0.2">
      <c r="A3090">
        <v>77</v>
      </c>
      <c r="B3090">
        <v>6</v>
      </c>
      <c r="C3090">
        <v>8</v>
      </c>
      <c r="D3090" s="2">
        <v>3</v>
      </c>
      <c r="E3090" s="2">
        <v>2</v>
      </c>
      <c r="F3090" s="2" t="s">
        <v>5</v>
      </c>
      <c r="G3090" s="2">
        <v>517.59999999951799</v>
      </c>
      <c r="H3090" s="2" t="s">
        <v>16</v>
      </c>
      <c r="I3090" s="2">
        <v>554278.99999997998</v>
      </c>
      <c r="J3090" s="2">
        <v>3000</v>
      </c>
      <c r="K3090" s="2">
        <v>100</v>
      </c>
      <c r="L3090" s="2">
        <v>0</v>
      </c>
      <c r="M3090" s="2">
        <v>510387.61</v>
      </c>
      <c r="N3090">
        <f t="shared" si="64"/>
        <v>1065184.2099999795</v>
      </c>
      <c r="O3090" s="9" t="s">
        <v>4</v>
      </c>
    </row>
    <row r="3091" spans="1:15" x14ac:dyDescent="0.2">
      <c r="A3091">
        <v>78</v>
      </c>
      <c r="B3091">
        <v>6</v>
      </c>
      <c r="C3091">
        <v>8</v>
      </c>
      <c r="D3091" s="2">
        <v>3</v>
      </c>
      <c r="E3091" s="2">
        <v>2</v>
      </c>
      <c r="F3091" s="2" t="s">
        <v>5</v>
      </c>
      <c r="G3091" s="2">
        <v>411.19999999992302</v>
      </c>
      <c r="H3091" s="2" t="s">
        <v>16</v>
      </c>
      <c r="I3091" s="2">
        <v>251448.000000011</v>
      </c>
      <c r="J3091" s="2">
        <v>3000</v>
      </c>
      <c r="K3091" s="2">
        <v>100</v>
      </c>
      <c r="L3091" s="2">
        <v>0</v>
      </c>
      <c r="M3091" s="2">
        <v>592108.41</v>
      </c>
      <c r="N3091">
        <f t="shared" si="64"/>
        <v>843967.61000001093</v>
      </c>
      <c r="O3091" s="9" t="s">
        <v>4</v>
      </c>
    </row>
    <row r="3092" spans="1:15" x14ac:dyDescent="0.2">
      <c r="A3092">
        <v>79</v>
      </c>
      <c r="B3092">
        <v>6</v>
      </c>
      <c r="C3092">
        <v>8</v>
      </c>
      <c r="D3092" s="2">
        <v>3</v>
      </c>
      <c r="E3092" s="2">
        <v>2</v>
      </c>
      <c r="F3092" s="2" t="s">
        <v>5</v>
      </c>
      <c r="G3092" s="2">
        <v>394.20000000021099</v>
      </c>
      <c r="H3092" s="2" t="s">
        <v>16</v>
      </c>
      <c r="I3092" s="2">
        <v>178140.00000001301</v>
      </c>
      <c r="J3092" s="2">
        <v>3000</v>
      </c>
      <c r="K3092" s="2">
        <v>100</v>
      </c>
      <c r="L3092" s="2">
        <v>0</v>
      </c>
      <c r="M3092" s="2">
        <v>570987.61</v>
      </c>
      <c r="N3092">
        <f t="shared" si="64"/>
        <v>749521.81000001321</v>
      </c>
      <c r="O3092" s="9" t="s">
        <v>4</v>
      </c>
    </row>
    <row r="3093" spans="1:15" x14ac:dyDescent="0.2">
      <c r="A3093">
        <v>80</v>
      </c>
      <c r="B3093">
        <v>6</v>
      </c>
      <c r="C3093">
        <v>7</v>
      </c>
      <c r="D3093" s="2">
        <v>3</v>
      </c>
      <c r="E3093" s="2">
        <v>2</v>
      </c>
      <c r="F3093" s="2" t="s">
        <v>5</v>
      </c>
      <c r="G3093" s="2">
        <v>306.60000000004601</v>
      </c>
      <c r="H3093" s="2" t="s">
        <v>16</v>
      </c>
      <c r="I3093" s="2">
        <v>148730</v>
      </c>
      <c r="J3093" s="2">
        <v>3000</v>
      </c>
      <c r="K3093" s="2">
        <v>100</v>
      </c>
      <c r="L3093" s="2">
        <v>0</v>
      </c>
      <c r="M3093" s="2">
        <v>598707.61</v>
      </c>
      <c r="N3093">
        <f t="shared" si="64"/>
        <v>747744.21</v>
      </c>
      <c r="O3093" s="9" t="s">
        <v>4</v>
      </c>
    </row>
    <row r="3094" spans="1:15" x14ac:dyDescent="0.2">
      <c r="A3094">
        <v>81</v>
      </c>
      <c r="B3094">
        <v>6</v>
      </c>
      <c r="C3094">
        <v>8</v>
      </c>
      <c r="D3094" s="2">
        <v>3</v>
      </c>
      <c r="E3094" s="2">
        <v>2</v>
      </c>
      <c r="F3094" s="2" t="s">
        <v>5</v>
      </c>
      <c r="G3094" s="2">
        <v>372.600000000389</v>
      </c>
      <c r="H3094" s="2" t="s">
        <v>16</v>
      </c>
      <c r="I3094" s="2">
        <v>307187.99999999598</v>
      </c>
      <c r="J3094" s="2">
        <v>3000</v>
      </c>
      <c r="K3094" s="2">
        <v>100</v>
      </c>
      <c r="L3094" s="2">
        <v>0</v>
      </c>
      <c r="M3094" s="2">
        <v>512188.01</v>
      </c>
      <c r="N3094">
        <f t="shared" si="64"/>
        <v>819748.60999999638</v>
      </c>
      <c r="O3094" s="9" t="s">
        <v>4</v>
      </c>
    </row>
    <row r="3095" spans="1:15" x14ac:dyDescent="0.2">
      <c r="A3095">
        <v>82</v>
      </c>
      <c r="B3095">
        <v>6</v>
      </c>
      <c r="C3095">
        <v>8</v>
      </c>
      <c r="D3095" s="2">
        <v>2</v>
      </c>
      <c r="E3095" s="2">
        <v>2</v>
      </c>
      <c r="F3095" s="2" t="s">
        <v>5</v>
      </c>
      <c r="G3095" s="2">
        <v>377.99999999990098</v>
      </c>
      <c r="H3095" s="2" t="s">
        <v>16</v>
      </c>
      <c r="I3095" s="2">
        <v>516832.99999999098</v>
      </c>
      <c r="J3095" s="2">
        <v>3000</v>
      </c>
      <c r="K3095" s="2">
        <v>100</v>
      </c>
      <c r="L3095" s="2">
        <v>0</v>
      </c>
      <c r="M3095" s="2">
        <v>599787.21</v>
      </c>
      <c r="N3095">
        <f t="shared" si="64"/>
        <v>1116998.2099999909</v>
      </c>
      <c r="O3095" s="9" t="s">
        <v>4</v>
      </c>
    </row>
    <row r="3096" spans="1:15" x14ac:dyDescent="0.2">
      <c r="A3096">
        <v>83</v>
      </c>
      <c r="B3096">
        <v>6</v>
      </c>
      <c r="C3096">
        <v>9</v>
      </c>
      <c r="D3096" s="2">
        <v>2</v>
      </c>
      <c r="E3096" s="2">
        <v>2</v>
      </c>
      <c r="F3096" s="2" t="s">
        <v>5</v>
      </c>
      <c r="G3096" s="2">
        <v>451.20000000018501</v>
      </c>
      <c r="H3096" s="2" t="s">
        <v>16</v>
      </c>
      <c r="I3096" s="2">
        <v>413190.00000001403</v>
      </c>
      <c r="J3096" s="2">
        <v>3000</v>
      </c>
      <c r="K3096" s="2">
        <v>100</v>
      </c>
      <c r="L3096" s="2">
        <v>0</v>
      </c>
      <c r="M3096" s="2">
        <v>514827.61</v>
      </c>
      <c r="N3096">
        <f t="shared" si="64"/>
        <v>928468.81000001426</v>
      </c>
      <c r="O3096" s="9" t="s">
        <v>4</v>
      </c>
    </row>
    <row r="3097" spans="1:15" x14ac:dyDescent="0.2">
      <c r="A3097">
        <v>84</v>
      </c>
      <c r="B3097">
        <v>6</v>
      </c>
      <c r="C3097">
        <v>10</v>
      </c>
      <c r="D3097" s="2">
        <v>2</v>
      </c>
      <c r="E3097" s="2">
        <v>2</v>
      </c>
      <c r="F3097" s="2" t="s">
        <v>5</v>
      </c>
      <c r="G3097" s="2">
        <v>503.80000000060897</v>
      </c>
      <c r="H3097" s="2" t="s">
        <v>16</v>
      </c>
      <c r="I3097" s="2">
        <v>474711.999999983</v>
      </c>
      <c r="J3097" s="2">
        <v>3000</v>
      </c>
      <c r="K3097" s="2">
        <v>100</v>
      </c>
      <c r="L3097" s="2">
        <v>0</v>
      </c>
      <c r="M3097" s="2">
        <v>615027.61</v>
      </c>
      <c r="N3097">
        <f t="shared" si="64"/>
        <v>1090243.4099999836</v>
      </c>
      <c r="O3097" s="9" t="s">
        <v>4</v>
      </c>
    </row>
    <row r="3098" spans="1:15" x14ac:dyDescent="0.2">
      <c r="A3098">
        <v>85</v>
      </c>
      <c r="B3098">
        <v>6</v>
      </c>
      <c r="C3098">
        <v>8</v>
      </c>
      <c r="D3098" s="2">
        <v>2</v>
      </c>
      <c r="E3098" s="2">
        <v>2</v>
      </c>
      <c r="F3098" s="2" t="s">
        <v>5</v>
      </c>
      <c r="G3098" s="2">
        <v>348.000000000326</v>
      </c>
      <c r="H3098" s="2" t="s">
        <v>16</v>
      </c>
      <c r="I3098" s="2">
        <v>608902.00000000105</v>
      </c>
      <c r="J3098" s="2">
        <v>3000</v>
      </c>
      <c r="K3098" s="2">
        <v>100</v>
      </c>
      <c r="L3098" s="2">
        <v>0</v>
      </c>
      <c r="M3098" s="2">
        <v>603508.01</v>
      </c>
      <c r="N3098">
        <f t="shared" si="64"/>
        <v>1212758.0100000014</v>
      </c>
      <c r="O3098" s="9" t="s">
        <v>4</v>
      </c>
    </row>
    <row r="3099" spans="1:15" x14ac:dyDescent="0.2">
      <c r="A3099">
        <v>86</v>
      </c>
      <c r="B3099">
        <v>6</v>
      </c>
      <c r="C3099">
        <v>10</v>
      </c>
      <c r="D3099" s="2">
        <v>3</v>
      </c>
      <c r="E3099" s="2">
        <v>2</v>
      </c>
      <c r="F3099" s="2" t="s">
        <v>5</v>
      </c>
      <c r="G3099" s="2">
        <v>468.00000000004599</v>
      </c>
      <c r="H3099" s="2" t="s">
        <v>16</v>
      </c>
      <c r="I3099" s="2">
        <v>645299.00000002305</v>
      </c>
      <c r="J3099" s="2">
        <v>3000</v>
      </c>
      <c r="K3099" s="2">
        <v>100</v>
      </c>
      <c r="L3099" s="2">
        <v>0</v>
      </c>
      <c r="M3099" s="2">
        <v>533666.81000000006</v>
      </c>
      <c r="N3099">
        <f t="shared" si="64"/>
        <v>1179433.8100000231</v>
      </c>
      <c r="O3099" s="9" t="s">
        <v>4</v>
      </c>
    </row>
    <row r="3100" spans="1:15" x14ac:dyDescent="0.2">
      <c r="A3100">
        <v>87</v>
      </c>
      <c r="B3100">
        <v>6</v>
      </c>
      <c r="C3100">
        <v>10</v>
      </c>
      <c r="D3100" s="2">
        <v>2</v>
      </c>
      <c r="E3100" s="2">
        <v>2</v>
      </c>
      <c r="F3100" s="2" t="s">
        <v>5</v>
      </c>
      <c r="G3100" s="2">
        <v>451.39999999968001</v>
      </c>
      <c r="H3100" s="2" t="s">
        <v>16</v>
      </c>
      <c r="I3100" s="2">
        <v>401485.00000000797</v>
      </c>
      <c r="J3100" s="2">
        <v>3000</v>
      </c>
      <c r="K3100" s="2">
        <v>100</v>
      </c>
      <c r="L3100" s="2">
        <v>0</v>
      </c>
      <c r="M3100" s="2">
        <v>615746.81000000006</v>
      </c>
      <c r="N3100">
        <f t="shared" si="64"/>
        <v>1017683.2100000076</v>
      </c>
      <c r="O3100" s="9" t="s">
        <v>4</v>
      </c>
    </row>
    <row r="3101" spans="1:15" x14ac:dyDescent="0.2">
      <c r="A3101">
        <v>88</v>
      </c>
      <c r="B3101">
        <v>6</v>
      </c>
      <c r="C3101">
        <v>10</v>
      </c>
      <c r="D3101" s="2">
        <v>3</v>
      </c>
      <c r="E3101" s="2">
        <v>2</v>
      </c>
      <c r="F3101" s="2" t="s">
        <v>5</v>
      </c>
      <c r="G3101" s="2">
        <v>490.20000000048498</v>
      </c>
      <c r="H3101" s="2" t="s">
        <v>16</v>
      </c>
      <c r="I3101" s="2">
        <v>672093.99999998696</v>
      </c>
      <c r="J3101" s="2">
        <v>3000</v>
      </c>
      <c r="K3101" s="2">
        <v>100</v>
      </c>
      <c r="L3101" s="2">
        <v>0</v>
      </c>
      <c r="M3101" s="2">
        <v>517828.01</v>
      </c>
      <c r="N3101">
        <f t="shared" si="64"/>
        <v>1190412.2099999874</v>
      </c>
      <c r="O3101" s="9" t="s">
        <v>4</v>
      </c>
    </row>
    <row r="3102" spans="1:15" x14ac:dyDescent="0.2">
      <c r="A3102">
        <v>89</v>
      </c>
      <c r="B3102">
        <v>6</v>
      </c>
      <c r="C3102">
        <v>7</v>
      </c>
      <c r="D3102" s="2">
        <v>3</v>
      </c>
      <c r="E3102" s="2">
        <v>2</v>
      </c>
      <c r="F3102" s="2" t="s">
        <v>5</v>
      </c>
      <c r="G3102" s="2">
        <v>266.39999999993302</v>
      </c>
      <c r="H3102" s="2" t="s">
        <v>16</v>
      </c>
      <c r="I3102" s="2">
        <v>186243.000000019</v>
      </c>
      <c r="J3102" s="2">
        <v>3000</v>
      </c>
      <c r="K3102" s="2">
        <v>100</v>
      </c>
      <c r="L3102" s="2">
        <v>0</v>
      </c>
      <c r="M3102" s="2">
        <v>503908.41</v>
      </c>
      <c r="N3102">
        <f t="shared" si="64"/>
        <v>690417.81000001892</v>
      </c>
      <c r="O3102" s="9" t="s">
        <v>4</v>
      </c>
    </row>
    <row r="3103" spans="1:15" x14ac:dyDescent="0.2">
      <c r="A3103">
        <v>90</v>
      </c>
      <c r="B3103">
        <v>6</v>
      </c>
      <c r="C3103">
        <v>8</v>
      </c>
      <c r="D3103" s="2">
        <v>2</v>
      </c>
      <c r="E3103" s="2">
        <v>2</v>
      </c>
      <c r="F3103" s="2" t="s">
        <v>5</v>
      </c>
      <c r="G3103" s="2">
        <v>335.79999999986399</v>
      </c>
      <c r="H3103" s="2" t="s">
        <v>16</v>
      </c>
      <c r="I3103" s="2">
        <v>399008.00000000902</v>
      </c>
      <c r="J3103" s="2">
        <v>3000</v>
      </c>
      <c r="K3103" s="2">
        <v>100</v>
      </c>
      <c r="L3103" s="2">
        <v>0</v>
      </c>
      <c r="M3103" s="2">
        <v>592468.41</v>
      </c>
      <c r="N3103">
        <f t="shared" si="64"/>
        <v>991812.21000000893</v>
      </c>
      <c r="O3103" s="9" t="s">
        <v>4</v>
      </c>
    </row>
    <row r="3104" spans="1:15" x14ac:dyDescent="0.2">
      <c r="A3104">
        <v>91</v>
      </c>
      <c r="B3104">
        <v>6</v>
      </c>
      <c r="C3104">
        <v>8</v>
      </c>
      <c r="D3104" s="2">
        <v>3</v>
      </c>
      <c r="E3104" s="2">
        <v>2</v>
      </c>
      <c r="F3104" s="2" t="s">
        <v>5</v>
      </c>
      <c r="G3104" s="2">
        <v>335.59999999930301</v>
      </c>
      <c r="H3104" s="2" t="s">
        <v>16</v>
      </c>
      <c r="I3104" s="2">
        <v>151079.00000001001</v>
      </c>
      <c r="J3104" s="2">
        <v>3000</v>
      </c>
      <c r="K3104" s="2">
        <v>100</v>
      </c>
      <c r="L3104" s="2">
        <v>0</v>
      </c>
      <c r="M3104" s="2">
        <v>505946.81</v>
      </c>
      <c r="N3104">
        <f t="shared" si="64"/>
        <v>657361.41000000935</v>
      </c>
      <c r="O3104" s="9" t="s">
        <v>4</v>
      </c>
    </row>
    <row r="3105" spans="1:15" x14ac:dyDescent="0.2">
      <c r="A3105">
        <v>92</v>
      </c>
      <c r="B3105">
        <v>6</v>
      </c>
      <c r="C3105">
        <v>8</v>
      </c>
      <c r="D3105" s="2">
        <v>3</v>
      </c>
      <c r="E3105" s="2">
        <v>2</v>
      </c>
      <c r="F3105" s="2" t="s">
        <v>5</v>
      </c>
      <c r="G3105" s="2">
        <v>306.40000000019501</v>
      </c>
      <c r="H3105" s="2" t="s">
        <v>16</v>
      </c>
      <c r="I3105" s="2">
        <v>288912.000000011</v>
      </c>
      <c r="J3105" s="2">
        <v>3000</v>
      </c>
      <c r="K3105" s="2">
        <v>100</v>
      </c>
      <c r="L3105" s="2">
        <v>0</v>
      </c>
      <c r="M3105" s="2">
        <v>607947.21</v>
      </c>
      <c r="N3105">
        <f t="shared" si="64"/>
        <v>897165.61000001116</v>
      </c>
      <c r="O3105" s="9" t="s">
        <v>4</v>
      </c>
    </row>
    <row r="3106" spans="1:15" x14ac:dyDescent="0.2">
      <c r="A3106">
        <v>93</v>
      </c>
      <c r="B3106">
        <v>6</v>
      </c>
      <c r="C3106">
        <v>11</v>
      </c>
      <c r="D3106" s="2">
        <v>3</v>
      </c>
      <c r="E3106" s="2">
        <v>2</v>
      </c>
      <c r="F3106" s="2" t="s">
        <v>5</v>
      </c>
      <c r="G3106" s="2">
        <v>515.79999999979998</v>
      </c>
      <c r="H3106" s="2" t="s">
        <v>16</v>
      </c>
      <c r="I3106" s="2">
        <v>1416861.00000001</v>
      </c>
      <c r="J3106" s="2">
        <v>3000</v>
      </c>
      <c r="K3106" s="2">
        <v>100</v>
      </c>
      <c r="L3106" s="2">
        <v>0</v>
      </c>
      <c r="M3106" s="2">
        <v>556468.01</v>
      </c>
      <c r="N3106">
        <f t="shared" si="64"/>
        <v>1973844.8100000098</v>
      </c>
      <c r="O3106" s="9" t="s">
        <v>4</v>
      </c>
    </row>
    <row r="3107" spans="1:15" x14ac:dyDescent="0.2">
      <c r="A3107">
        <v>94</v>
      </c>
      <c r="B3107">
        <v>6</v>
      </c>
      <c r="C3107">
        <v>10</v>
      </c>
      <c r="D3107" s="2">
        <v>2</v>
      </c>
      <c r="E3107" s="2">
        <v>2</v>
      </c>
      <c r="F3107" s="2" t="s">
        <v>5</v>
      </c>
      <c r="G3107" s="2">
        <v>446.600000000075</v>
      </c>
      <c r="H3107" s="2" t="s">
        <v>16</v>
      </c>
      <c r="I3107" s="2">
        <v>711301.00000002002</v>
      </c>
      <c r="J3107" s="2">
        <v>3000</v>
      </c>
      <c r="K3107" s="2">
        <v>100</v>
      </c>
      <c r="L3107" s="2">
        <v>0</v>
      </c>
      <c r="M3107" s="2">
        <v>516027.21</v>
      </c>
      <c r="N3107">
        <f t="shared" ref="N3107:N3112" si="65">G3107+I3107+M3107</f>
        <v>1227774.8100000201</v>
      </c>
      <c r="O3107" s="9" t="s">
        <v>4</v>
      </c>
    </row>
    <row r="3108" spans="1:15" x14ac:dyDescent="0.2">
      <c r="A3108">
        <v>95</v>
      </c>
      <c r="B3108">
        <v>6</v>
      </c>
      <c r="C3108">
        <v>12</v>
      </c>
      <c r="D3108" s="2">
        <v>2</v>
      </c>
      <c r="E3108" s="2">
        <v>2</v>
      </c>
      <c r="F3108" s="2" t="s">
        <v>5</v>
      </c>
      <c r="G3108" s="2">
        <v>605.60000000045</v>
      </c>
      <c r="H3108" s="2" t="s">
        <v>16</v>
      </c>
      <c r="I3108" s="2">
        <v>1174435.99999999</v>
      </c>
      <c r="J3108" s="2">
        <v>3000</v>
      </c>
      <c r="K3108" s="2">
        <v>100</v>
      </c>
      <c r="L3108" s="2">
        <v>0</v>
      </c>
      <c r="M3108" s="2">
        <v>618508.41</v>
      </c>
      <c r="N3108">
        <f t="shared" si="65"/>
        <v>1793550.0099999905</v>
      </c>
      <c r="O3108" s="9" t="s">
        <v>4</v>
      </c>
    </row>
    <row r="3109" spans="1:15" x14ac:dyDescent="0.2">
      <c r="A3109">
        <v>96</v>
      </c>
      <c r="B3109">
        <v>6</v>
      </c>
      <c r="C3109">
        <v>8</v>
      </c>
      <c r="D3109" s="2">
        <v>3</v>
      </c>
      <c r="E3109" s="2">
        <v>2</v>
      </c>
      <c r="F3109" s="2" t="s">
        <v>5</v>
      </c>
      <c r="G3109" s="2">
        <v>301.39999999967398</v>
      </c>
      <c r="H3109" s="2" t="s">
        <v>16</v>
      </c>
      <c r="I3109" s="2">
        <v>267707.00000000099</v>
      </c>
      <c r="J3109" s="2">
        <v>3000</v>
      </c>
      <c r="K3109" s="2">
        <v>100</v>
      </c>
      <c r="L3109" s="2">
        <v>0</v>
      </c>
      <c r="M3109" s="2">
        <v>599187.61</v>
      </c>
      <c r="N3109">
        <f t="shared" si="65"/>
        <v>867196.01000000071</v>
      </c>
      <c r="O3109" s="9" t="s">
        <v>4</v>
      </c>
    </row>
    <row r="3110" spans="1:15" x14ac:dyDescent="0.2">
      <c r="A3110">
        <v>97</v>
      </c>
      <c r="B3110">
        <v>6</v>
      </c>
      <c r="C3110">
        <v>9</v>
      </c>
      <c r="D3110" s="2">
        <v>3</v>
      </c>
      <c r="E3110" s="2">
        <v>2</v>
      </c>
      <c r="F3110" s="2" t="s">
        <v>5</v>
      </c>
      <c r="G3110" s="2">
        <v>374.59999999995802</v>
      </c>
      <c r="H3110" s="2" t="s">
        <v>16</v>
      </c>
      <c r="I3110" s="2">
        <v>460260.00000000501</v>
      </c>
      <c r="J3110" s="2">
        <v>3000</v>
      </c>
      <c r="K3110" s="2">
        <v>100</v>
      </c>
      <c r="L3110" s="2">
        <v>0</v>
      </c>
      <c r="M3110" s="2">
        <v>504506.81</v>
      </c>
      <c r="N3110">
        <f t="shared" si="65"/>
        <v>965141.41000000504</v>
      </c>
      <c r="O3110" s="9" t="s">
        <v>4</v>
      </c>
    </row>
    <row r="3111" spans="1:15" x14ac:dyDescent="0.2">
      <c r="A3111">
        <v>98</v>
      </c>
      <c r="B3111">
        <v>6</v>
      </c>
      <c r="C3111">
        <v>10</v>
      </c>
      <c r="D3111" s="2">
        <v>3</v>
      </c>
      <c r="E3111" s="2">
        <v>2</v>
      </c>
      <c r="F3111" s="2" t="s">
        <v>5</v>
      </c>
      <c r="G3111" s="2">
        <v>496.19999999990199</v>
      </c>
      <c r="H3111" s="2" t="s">
        <v>16</v>
      </c>
      <c r="I3111" s="2">
        <v>385244</v>
      </c>
      <c r="J3111" s="2">
        <v>3000</v>
      </c>
      <c r="K3111" s="2">
        <v>100</v>
      </c>
      <c r="L3111" s="2">
        <v>0</v>
      </c>
      <c r="M3111" s="2">
        <v>590906.81000000006</v>
      </c>
      <c r="N3111">
        <f t="shared" si="65"/>
        <v>976647.01</v>
      </c>
      <c r="O3111" s="9" t="s">
        <v>4</v>
      </c>
    </row>
    <row r="3112" spans="1:15" x14ac:dyDescent="0.2">
      <c r="A3112">
        <v>99</v>
      </c>
      <c r="B3112">
        <v>6</v>
      </c>
      <c r="C3112">
        <v>11</v>
      </c>
      <c r="D3112" s="2">
        <v>2</v>
      </c>
      <c r="E3112" s="2">
        <v>2</v>
      </c>
      <c r="F3112" s="2" t="s">
        <v>5</v>
      </c>
      <c r="G3112" s="2">
        <v>500.59999999980698</v>
      </c>
      <c r="H3112" s="2" t="s">
        <v>16</v>
      </c>
      <c r="I3112" s="2">
        <v>2095169</v>
      </c>
      <c r="J3112" s="2">
        <v>3000</v>
      </c>
      <c r="K3112" s="2">
        <v>100</v>
      </c>
      <c r="L3112" s="2">
        <v>0</v>
      </c>
      <c r="M3112" s="2">
        <v>516028.41</v>
      </c>
      <c r="N3112">
        <f t="shared" si="65"/>
        <v>2611698.0099999998</v>
      </c>
      <c r="O3112" s="9" t="s">
        <v>4</v>
      </c>
    </row>
    <row r="3113" spans="1:15" x14ac:dyDescent="0.2">
      <c r="A3113">
        <v>70</v>
      </c>
      <c r="B3113">
        <v>6</v>
      </c>
      <c r="C3113">
        <v>6</v>
      </c>
      <c r="D3113" s="2">
        <v>3</v>
      </c>
      <c r="E3113" s="2">
        <v>2</v>
      </c>
      <c r="F3113" s="2" t="s">
        <v>5</v>
      </c>
      <c r="G3113" s="2">
        <v>916.60000000004504</v>
      </c>
      <c r="H3113" s="2" t="s">
        <v>16</v>
      </c>
      <c r="I3113" s="2">
        <v>68301.999999988504</v>
      </c>
      <c r="J3113" s="2">
        <v>5000</v>
      </c>
      <c r="K3113" s="2">
        <v>20</v>
      </c>
      <c r="L3113" s="2">
        <v>0</v>
      </c>
      <c r="M3113" s="2">
        <v>437228.01</v>
      </c>
      <c r="N3113">
        <f t="shared" si="64"/>
        <v>506446.60999998858</v>
      </c>
      <c r="O3113" s="9" t="s">
        <v>4</v>
      </c>
    </row>
    <row r="3114" spans="1:15" x14ac:dyDescent="0.2">
      <c r="A3114">
        <v>71</v>
      </c>
      <c r="B3114">
        <v>6</v>
      </c>
      <c r="C3114">
        <v>7</v>
      </c>
      <c r="D3114" s="2">
        <v>2</v>
      </c>
      <c r="E3114" s="2">
        <v>2</v>
      </c>
      <c r="F3114" s="2" t="s">
        <v>5</v>
      </c>
      <c r="G3114" s="2">
        <v>840.79999999993095</v>
      </c>
      <c r="H3114" s="2" t="s">
        <v>16</v>
      </c>
      <c r="I3114" s="2">
        <v>212421.000000006</v>
      </c>
      <c r="J3114" s="2">
        <v>5000</v>
      </c>
      <c r="K3114" s="2">
        <v>20</v>
      </c>
      <c r="L3114" s="2">
        <v>0</v>
      </c>
      <c r="M3114" s="2">
        <v>505630.01</v>
      </c>
      <c r="N3114">
        <f t="shared" si="64"/>
        <v>718891.81000000588</v>
      </c>
      <c r="O3114" s="9" t="s">
        <v>4</v>
      </c>
    </row>
    <row r="3115" spans="1:15" x14ac:dyDescent="0.2">
      <c r="A3115">
        <v>72</v>
      </c>
      <c r="B3115">
        <v>6</v>
      </c>
      <c r="C3115">
        <v>7</v>
      </c>
      <c r="D3115" s="2">
        <v>2</v>
      </c>
      <c r="E3115" s="2">
        <v>2</v>
      </c>
      <c r="F3115" s="2" t="s">
        <v>5</v>
      </c>
      <c r="G3115" s="2">
        <v>686.80000000043196</v>
      </c>
      <c r="H3115" s="2" t="s">
        <v>16</v>
      </c>
      <c r="I3115" s="2">
        <v>262078.00000000201</v>
      </c>
      <c r="J3115" s="2">
        <v>5000</v>
      </c>
      <c r="K3115" s="2">
        <v>20</v>
      </c>
      <c r="L3115" s="2">
        <v>0</v>
      </c>
      <c r="M3115" s="2">
        <v>602628.01</v>
      </c>
      <c r="N3115">
        <f t="shared" si="64"/>
        <v>865392.81000000238</v>
      </c>
      <c r="O3115" s="9" t="s">
        <v>4</v>
      </c>
    </row>
    <row r="3116" spans="1:15" x14ac:dyDescent="0.2">
      <c r="A3116">
        <v>73</v>
      </c>
      <c r="B3116">
        <v>6</v>
      </c>
      <c r="C3116">
        <v>7</v>
      </c>
      <c r="D3116" s="2">
        <v>3</v>
      </c>
      <c r="E3116" s="2">
        <v>2</v>
      </c>
      <c r="F3116" s="2" t="s">
        <v>5</v>
      </c>
      <c r="G3116" s="2">
        <v>696.99999999990303</v>
      </c>
      <c r="H3116" s="2" t="s">
        <v>16</v>
      </c>
      <c r="I3116" s="2">
        <v>220828.999999981</v>
      </c>
      <c r="J3116" s="2">
        <v>5000</v>
      </c>
      <c r="K3116" s="2">
        <v>20</v>
      </c>
      <c r="L3116" s="2">
        <v>0</v>
      </c>
      <c r="M3116" s="2">
        <v>440828.41</v>
      </c>
      <c r="N3116">
        <f t="shared" si="64"/>
        <v>662354.40999998082</v>
      </c>
      <c r="O3116" s="9" t="s">
        <v>4</v>
      </c>
    </row>
    <row r="3117" spans="1:15" x14ac:dyDescent="0.2">
      <c r="A3117">
        <v>74</v>
      </c>
      <c r="B3117">
        <v>6</v>
      </c>
      <c r="C3117">
        <v>9</v>
      </c>
      <c r="D3117" s="2">
        <v>3</v>
      </c>
      <c r="E3117" s="2">
        <v>2</v>
      </c>
      <c r="F3117" s="2" t="s">
        <v>5</v>
      </c>
      <c r="G3117" s="2">
        <v>767.00000000009504</v>
      </c>
      <c r="H3117" s="2" t="s">
        <v>16</v>
      </c>
      <c r="I3117" s="2">
        <v>641922.99999999104</v>
      </c>
      <c r="J3117" s="2">
        <v>5000</v>
      </c>
      <c r="K3117" s="2">
        <v>20</v>
      </c>
      <c r="L3117" s="2">
        <v>0</v>
      </c>
      <c r="M3117" s="2">
        <v>569628.81000000006</v>
      </c>
      <c r="N3117">
        <f t="shared" si="64"/>
        <v>1212318.8099999912</v>
      </c>
      <c r="O3117" s="9" t="s">
        <v>4</v>
      </c>
    </row>
    <row r="3118" spans="1:15" x14ac:dyDescent="0.2">
      <c r="A3118">
        <v>75</v>
      </c>
      <c r="B3118">
        <v>6</v>
      </c>
      <c r="C3118">
        <v>7</v>
      </c>
      <c r="D3118" s="2">
        <v>3</v>
      </c>
      <c r="E3118" s="2">
        <v>2</v>
      </c>
      <c r="F3118" s="2" t="s">
        <v>5</v>
      </c>
      <c r="G3118" s="2">
        <v>442.80000000007601</v>
      </c>
      <c r="H3118" s="2" t="s">
        <v>16</v>
      </c>
      <c r="I3118" s="2">
        <v>188826.000000006</v>
      </c>
      <c r="J3118" s="2">
        <v>5000</v>
      </c>
      <c r="K3118" s="2">
        <v>20</v>
      </c>
      <c r="L3118" s="2">
        <v>0</v>
      </c>
      <c r="M3118" s="2">
        <v>574229.21</v>
      </c>
      <c r="N3118">
        <f t="shared" si="64"/>
        <v>763498.01000000606</v>
      </c>
      <c r="O3118" s="9" t="s">
        <v>4</v>
      </c>
    </row>
    <row r="3119" spans="1:15" x14ac:dyDescent="0.2">
      <c r="A3119">
        <v>76</v>
      </c>
      <c r="B3119">
        <v>6</v>
      </c>
      <c r="C3119">
        <v>8</v>
      </c>
      <c r="D3119" s="2">
        <v>3</v>
      </c>
      <c r="E3119" s="2">
        <v>2</v>
      </c>
      <c r="F3119" s="2" t="s">
        <v>5</v>
      </c>
      <c r="G3119" s="2">
        <v>657.20000000020195</v>
      </c>
      <c r="H3119" s="2" t="s">
        <v>16</v>
      </c>
      <c r="I3119" s="2">
        <v>207245</v>
      </c>
      <c r="J3119" s="2">
        <v>5000</v>
      </c>
      <c r="K3119" s="2">
        <v>20</v>
      </c>
      <c r="L3119" s="2">
        <v>0</v>
      </c>
      <c r="M3119" s="2">
        <v>452228.81</v>
      </c>
      <c r="N3119">
        <f t="shared" si="64"/>
        <v>660131.01000000024</v>
      </c>
      <c r="O3119" s="9" t="s">
        <v>4</v>
      </c>
    </row>
    <row r="3120" spans="1:15" x14ac:dyDescent="0.2">
      <c r="A3120">
        <v>77</v>
      </c>
      <c r="B3120">
        <v>6</v>
      </c>
      <c r="C3120">
        <v>8</v>
      </c>
      <c r="D3120" s="2">
        <v>3</v>
      </c>
      <c r="E3120" s="2">
        <v>2</v>
      </c>
      <c r="F3120" s="2" t="s">
        <v>5</v>
      </c>
      <c r="G3120" s="2">
        <v>517.59999999951799</v>
      </c>
      <c r="H3120" s="2" t="s">
        <v>16</v>
      </c>
      <c r="I3120" s="2">
        <v>554278.99999997998</v>
      </c>
      <c r="J3120" s="2">
        <v>5000</v>
      </c>
      <c r="K3120" s="2">
        <v>20</v>
      </c>
      <c r="L3120" s="2">
        <v>0</v>
      </c>
      <c r="M3120" s="2">
        <v>437828.01</v>
      </c>
      <c r="N3120">
        <f t="shared" si="64"/>
        <v>992624.6099999795</v>
      </c>
      <c r="O3120" s="9" t="s">
        <v>4</v>
      </c>
    </row>
    <row r="3121" spans="1:15" x14ac:dyDescent="0.2">
      <c r="A3121">
        <v>78</v>
      </c>
      <c r="B3121">
        <v>6</v>
      </c>
      <c r="C3121">
        <v>8</v>
      </c>
      <c r="D3121" s="2">
        <v>3</v>
      </c>
      <c r="E3121" s="2">
        <v>2</v>
      </c>
      <c r="F3121" s="2" t="s">
        <v>5</v>
      </c>
      <c r="G3121" s="2">
        <v>411.19999999992302</v>
      </c>
      <c r="H3121" s="2" t="s">
        <v>16</v>
      </c>
      <c r="I3121" s="2">
        <v>251448.000000011</v>
      </c>
      <c r="J3121" s="2">
        <v>5000</v>
      </c>
      <c r="K3121" s="2">
        <v>20</v>
      </c>
      <c r="L3121" s="2">
        <v>0</v>
      </c>
      <c r="M3121" s="2">
        <v>574028.81000000006</v>
      </c>
      <c r="N3121">
        <f t="shared" si="64"/>
        <v>825888.01000001095</v>
      </c>
      <c r="O3121" s="9" t="s">
        <v>4</v>
      </c>
    </row>
    <row r="3122" spans="1:15" x14ac:dyDescent="0.2">
      <c r="A3122">
        <v>79</v>
      </c>
      <c r="B3122">
        <v>6</v>
      </c>
      <c r="C3122">
        <v>8</v>
      </c>
      <c r="D3122" s="2">
        <v>3</v>
      </c>
      <c r="E3122" s="2">
        <v>2</v>
      </c>
      <c r="F3122" s="2" t="s">
        <v>5</v>
      </c>
      <c r="G3122" s="2">
        <v>394.20000000021099</v>
      </c>
      <c r="H3122" s="2" t="s">
        <v>16</v>
      </c>
      <c r="I3122" s="2">
        <v>178140.00000001301</v>
      </c>
      <c r="J3122" s="2">
        <v>5000</v>
      </c>
      <c r="K3122" s="2">
        <v>20</v>
      </c>
      <c r="L3122" s="2">
        <v>0</v>
      </c>
      <c r="M3122" s="2">
        <v>538828.01</v>
      </c>
      <c r="N3122">
        <f t="shared" si="64"/>
        <v>717362.21000001323</v>
      </c>
      <c r="O3122" s="9" t="s">
        <v>4</v>
      </c>
    </row>
    <row r="3123" spans="1:15" x14ac:dyDescent="0.2">
      <c r="A3123">
        <v>80</v>
      </c>
      <c r="B3123">
        <v>6</v>
      </c>
      <c r="C3123">
        <v>7</v>
      </c>
      <c r="D3123" s="2">
        <v>3</v>
      </c>
      <c r="E3123" s="2">
        <v>2</v>
      </c>
      <c r="F3123" s="2" t="s">
        <v>5</v>
      </c>
      <c r="G3123" s="2">
        <v>306.60000000004601</v>
      </c>
      <c r="H3123" s="2" t="s">
        <v>16</v>
      </c>
      <c r="I3123" s="2">
        <v>148730</v>
      </c>
      <c r="J3123" s="2">
        <v>5000</v>
      </c>
      <c r="K3123" s="2">
        <v>20</v>
      </c>
      <c r="L3123" s="2">
        <v>0</v>
      </c>
      <c r="M3123" s="2">
        <v>585028.01</v>
      </c>
      <c r="N3123">
        <f t="shared" si="64"/>
        <v>734064.6100000001</v>
      </c>
      <c r="O3123" s="9" t="s">
        <v>4</v>
      </c>
    </row>
    <row r="3124" spans="1:15" x14ac:dyDescent="0.2">
      <c r="A3124">
        <v>81</v>
      </c>
      <c r="B3124">
        <v>6</v>
      </c>
      <c r="C3124">
        <v>8</v>
      </c>
      <c r="D3124" s="2">
        <v>3</v>
      </c>
      <c r="E3124" s="2">
        <v>2</v>
      </c>
      <c r="F3124" s="2" t="s">
        <v>5</v>
      </c>
      <c r="G3124" s="2">
        <v>372.600000000389</v>
      </c>
      <c r="H3124" s="2" t="s">
        <v>16</v>
      </c>
      <c r="I3124" s="2">
        <v>307187.99999999598</v>
      </c>
      <c r="J3124" s="2">
        <v>5000</v>
      </c>
      <c r="K3124" s="2">
        <v>20</v>
      </c>
      <c r="L3124" s="2">
        <v>0</v>
      </c>
      <c r="M3124" s="2">
        <v>440828.41</v>
      </c>
      <c r="N3124">
        <f t="shared" si="64"/>
        <v>748389.00999999628</v>
      </c>
      <c r="O3124" s="9" t="s">
        <v>4</v>
      </c>
    </row>
    <row r="3125" spans="1:15" x14ac:dyDescent="0.2">
      <c r="A3125">
        <v>82</v>
      </c>
      <c r="B3125">
        <v>6</v>
      </c>
      <c r="C3125">
        <v>8</v>
      </c>
      <c r="D3125" s="2">
        <v>2</v>
      </c>
      <c r="E3125" s="2">
        <v>2</v>
      </c>
      <c r="F3125" s="2" t="s">
        <v>5</v>
      </c>
      <c r="G3125" s="2">
        <v>377.99999999990098</v>
      </c>
      <c r="H3125" s="2" t="s">
        <v>16</v>
      </c>
      <c r="I3125" s="2">
        <v>516832.99999999098</v>
      </c>
      <c r="J3125" s="2">
        <v>5000</v>
      </c>
      <c r="K3125" s="2">
        <v>20</v>
      </c>
      <c r="L3125" s="2">
        <v>0</v>
      </c>
      <c r="M3125" s="2">
        <v>586827.61</v>
      </c>
      <c r="N3125">
        <f t="shared" si="64"/>
        <v>1104038.6099999908</v>
      </c>
      <c r="O3125" s="9" t="s">
        <v>4</v>
      </c>
    </row>
    <row r="3126" spans="1:15" x14ac:dyDescent="0.2">
      <c r="A3126">
        <v>83</v>
      </c>
      <c r="B3126">
        <v>6</v>
      </c>
      <c r="C3126">
        <v>9</v>
      </c>
      <c r="D3126" s="2">
        <v>2</v>
      </c>
      <c r="E3126" s="2">
        <v>2</v>
      </c>
      <c r="F3126" s="2" t="s">
        <v>5</v>
      </c>
      <c r="G3126" s="2">
        <v>451.20000000018501</v>
      </c>
      <c r="H3126" s="2" t="s">
        <v>16</v>
      </c>
      <c r="I3126" s="2">
        <v>413190.00000001403</v>
      </c>
      <c r="J3126" s="2">
        <v>5000</v>
      </c>
      <c r="K3126" s="2">
        <v>20</v>
      </c>
      <c r="L3126" s="2">
        <v>0</v>
      </c>
      <c r="M3126" s="2">
        <v>445228.01</v>
      </c>
      <c r="N3126">
        <f t="shared" si="64"/>
        <v>858869.21000001417</v>
      </c>
      <c r="O3126" s="9" t="s">
        <v>4</v>
      </c>
    </row>
    <row r="3127" spans="1:15" x14ac:dyDescent="0.2">
      <c r="A3127">
        <v>84</v>
      </c>
      <c r="B3127">
        <v>6</v>
      </c>
      <c r="C3127">
        <v>10</v>
      </c>
      <c r="D3127" s="2">
        <v>2</v>
      </c>
      <c r="E3127" s="2">
        <v>2</v>
      </c>
      <c r="F3127" s="2" t="s">
        <v>5</v>
      </c>
      <c r="G3127" s="2">
        <v>503.80000000060897</v>
      </c>
      <c r="H3127" s="2" t="s">
        <v>16</v>
      </c>
      <c r="I3127" s="2">
        <v>474711.999999983</v>
      </c>
      <c r="J3127" s="2">
        <v>5000</v>
      </c>
      <c r="K3127" s="2">
        <v>20</v>
      </c>
      <c r="L3127" s="2">
        <v>0</v>
      </c>
      <c r="M3127" s="2">
        <v>612228.01</v>
      </c>
      <c r="N3127">
        <f t="shared" si="64"/>
        <v>1087443.8099999838</v>
      </c>
      <c r="O3127" s="9" t="s">
        <v>4</v>
      </c>
    </row>
    <row r="3128" spans="1:15" x14ac:dyDescent="0.2">
      <c r="A3128">
        <v>85</v>
      </c>
      <c r="B3128">
        <v>6</v>
      </c>
      <c r="C3128">
        <v>8</v>
      </c>
      <c r="D3128" s="2">
        <v>2</v>
      </c>
      <c r="E3128" s="2">
        <v>2</v>
      </c>
      <c r="F3128" s="2" t="s">
        <v>5</v>
      </c>
      <c r="G3128" s="2">
        <v>348.000000000326</v>
      </c>
      <c r="H3128" s="2" t="s">
        <v>16</v>
      </c>
      <c r="I3128" s="2">
        <v>608902.00000000105</v>
      </c>
      <c r="J3128" s="2">
        <v>5000</v>
      </c>
      <c r="K3128" s="2">
        <v>20</v>
      </c>
      <c r="L3128" s="2">
        <v>0</v>
      </c>
      <c r="M3128" s="2">
        <v>593028.41</v>
      </c>
      <c r="N3128">
        <f t="shared" si="64"/>
        <v>1202278.4100000015</v>
      </c>
      <c r="O3128" s="9" t="s">
        <v>4</v>
      </c>
    </row>
    <row r="3129" spans="1:15" x14ac:dyDescent="0.2">
      <c r="A3129">
        <v>86</v>
      </c>
      <c r="B3129">
        <v>6</v>
      </c>
      <c r="C3129">
        <v>10</v>
      </c>
      <c r="D3129" s="2">
        <v>3</v>
      </c>
      <c r="E3129" s="2">
        <v>2</v>
      </c>
      <c r="F3129" s="2" t="s">
        <v>5</v>
      </c>
      <c r="G3129" s="2">
        <v>468.00000000004599</v>
      </c>
      <c r="H3129" s="2" t="s">
        <v>16</v>
      </c>
      <c r="I3129" s="2">
        <v>645299.00000002305</v>
      </c>
      <c r="J3129" s="2">
        <v>5000</v>
      </c>
      <c r="K3129" s="2">
        <v>20</v>
      </c>
      <c r="L3129" s="2">
        <v>0</v>
      </c>
      <c r="M3129" s="2">
        <v>476627.21</v>
      </c>
      <c r="N3129">
        <f t="shared" si="64"/>
        <v>1122394.210000023</v>
      </c>
      <c r="O3129" s="9" t="s">
        <v>4</v>
      </c>
    </row>
    <row r="3130" spans="1:15" x14ac:dyDescent="0.2">
      <c r="A3130">
        <v>87</v>
      </c>
      <c r="B3130">
        <v>6</v>
      </c>
      <c r="C3130">
        <v>10</v>
      </c>
      <c r="D3130" s="2">
        <v>2</v>
      </c>
      <c r="E3130" s="2">
        <v>2</v>
      </c>
      <c r="F3130" s="2" t="s">
        <v>5</v>
      </c>
      <c r="G3130" s="2">
        <v>451.39999999968001</v>
      </c>
      <c r="H3130" s="2" t="s">
        <v>16</v>
      </c>
      <c r="I3130" s="2">
        <v>401485.00000000797</v>
      </c>
      <c r="J3130" s="2">
        <v>5000</v>
      </c>
      <c r="K3130" s="2">
        <v>20</v>
      </c>
      <c r="L3130" s="2">
        <v>0</v>
      </c>
      <c r="M3130" s="2">
        <v>613427.21</v>
      </c>
      <c r="N3130">
        <f t="shared" si="64"/>
        <v>1015363.6100000076</v>
      </c>
      <c r="O3130" s="9" t="s">
        <v>4</v>
      </c>
    </row>
    <row r="3131" spans="1:15" x14ac:dyDescent="0.2">
      <c r="A3131">
        <v>88</v>
      </c>
      <c r="B3131">
        <v>6</v>
      </c>
      <c r="C3131">
        <v>10</v>
      </c>
      <c r="D3131" s="2">
        <v>3</v>
      </c>
      <c r="E3131" s="2">
        <v>2</v>
      </c>
      <c r="F3131" s="2" t="s">
        <v>5</v>
      </c>
      <c r="G3131" s="2">
        <v>490.20000000048498</v>
      </c>
      <c r="H3131" s="2" t="s">
        <v>16</v>
      </c>
      <c r="I3131" s="2">
        <v>672093.99999998696</v>
      </c>
      <c r="J3131" s="2">
        <v>5000</v>
      </c>
      <c r="K3131" s="2">
        <v>20</v>
      </c>
      <c r="L3131" s="2">
        <v>0</v>
      </c>
      <c r="M3131" s="2">
        <v>450228.41</v>
      </c>
      <c r="N3131">
        <f t="shared" si="64"/>
        <v>1122812.6099999875</v>
      </c>
      <c r="O3131" s="9" t="s">
        <v>4</v>
      </c>
    </row>
    <row r="3132" spans="1:15" x14ac:dyDescent="0.2">
      <c r="A3132">
        <v>89</v>
      </c>
      <c r="B3132">
        <v>6</v>
      </c>
      <c r="C3132">
        <v>7</v>
      </c>
      <c r="D3132" s="2">
        <v>3</v>
      </c>
      <c r="E3132" s="2">
        <v>2</v>
      </c>
      <c r="F3132" s="2" t="s">
        <v>5</v>
      </c>
      <c r="G3132" s="2">
        <v>266.39999999993302</v>
      </c>
      <c r="H3132" s="2" t="s">
        <v>16</v>
      </c>
      <c r="I3132" s="2">
        <v>186243.000000019</v>
      </c>
      <c r="J3132" s="2">
        <v>5000</v>
      </c>
      <c r="K3132" s="2">
        <v>20</v>
      </c>
      <c r="L3132" s="2">
        <v>0</v>
      </c>
      <c r="M3132" s="2">
        <v>427028.41</v>
      </c>
      <c r="N3132">
        <f t="shared" si="64"/>
        <v>613537.81000001892</v>
      </c>
      <c r="O3132" s="9" t="s">
        <v>4</v>
      </c>
    </row>
    <row r="3133" spans="1:15" x14ac:dyDescent="0.2">
      <c r="A3133">
        <v>90</v>
      </c>
      <c r="B3133">
        <v>6</v>
      </c>
      <c r="C3133">
        <v>8</v>
      </c>
      <c r="D3133" s="2">
        <v>2</v>
      </c>
      <c r="E3133" s="2">
        <v>2</v>
      </c>
      <c r="F3133" s="2" t="s">
        <v>5</v>
      </c>
      <c r="G3133" s="2">
        <v>335.79999999986399</v>
      </c>
      <c r="H3133" s="2" t="s">
        <v>16</v>
      </c>
      <c r="I3133" s="2">
        <v>399008.00000000902</v>
      </c>
      <c r="J3133" s="2">
        <v>5000</v>
      </c>
      <c r="K3133" s="2">
        <v>20</v>
      </c>
      <c r="L3133" s="2">
        <v>0</v>
      </c>
      <c r="M3133" s="2">
        <v>574628.81000000006</v>
      </c>
      <c r="N3133">
        <f t="shared" si="64"/>
        <v>973972.61000000895</v>
      </c>
      <c r="O3133" s="9" t="s">
        <v>4</v>
      </c>
    </row>
    <row r="3134" spans="1:15" x14ac:dyDescent="0.2">
      <c r="A3134">
        <v>91</v>
      </c>
      <c r="B3134">
        <v>6</v>
      </c>
      <c r="C3134">
        <v>8</v>
      </c>
      <c r="D3134" s="2">
        <v>3</v>
      </c>
      <c r="E3134" s="2">
        <v>2</v>
      </c>
      <c r="F3134" s="2" t="s">
        <v>5</v>
      </c>
      <c r="G3134" s="2">
        <v>335.59999999930301</v>
      </c>
      <c r="H3134" s="2" t="s">
        <v>16</v>
      </c>
      <c r="I3134" s="2">
        <v>151079.00000001001</v>
      </c>
      <c r="J3134" s="2">
        <v>5000</v>
      </c>
      <c r="K3134" s="2">
        <v>20</v>
      </c>
      <c r="L3134" s="2">
        <v>0</v>
      </c>
      <c r="M3134" s="2">
        <v>430427.61</v>
      </c>
      <c r="N3134">
        <f t="shared" si="64"/>
        <v>581842.21000000928</v>
      </c>
      <c r="O3134" s="9" t="s">
        <v>4</v>
      </c>
    </row>
    <row r="3135" spans="1:15" x14ac:dyDescent="0.2">
      <c r="A3135">
        <v>92</v>
      </c>
      <c r="B3135">
        <v>6</v>
      </c>
      <c r="C3135">
        <v>8</v>
      </c>
      <c r="D3135" s="2">
        <v>3</v>
      </c>
      <c r="E3135" s="2">
        <v>2</v>
      </c>
      <c r="F3135" s="2" t="s">
        <v>5</v>
      </c>
      <c r="G3135" s="2">
        <v>306.40000000019501</v>
      </c>
      <c r="H3135" s="2" t="s">
        <v>16</v>
      </c>
      <c r="I3135" s="2">
        <v>288912.000000011</v>
      </c>
      <c r="J3135" s="2">
        <v>5000</v>
      </c>
      <c r="K3135" s="2">
        <v>20</v>
      </c>
      <c r="L3135" s="2">
        <v>0</v>
      </c>
      <c r="M3135" s="2">
        <v>600427.61</v>
      </c>
      <c r="N3135">
        <f t="shared" si="64"/>
        <v>889646.01000001119</v>
      </c>
      <c r="O3135" s="9" t="s">
        <v>4</v>
      </c>
    </row>
    <row r="3136" spans="1:15" x14ac:dyDescent="0.2">
      <c r="A3136">
        <v>93</v>
      </c>
      <c r="B3136">
        <v>6</v>
      </c>
      <c r="C3136">
        <v>11</v>
      </c>
      <c r="D3136" s="2">
        <v>3</v>
      </c>
      <c r="E3136" s="2">
        <v>2</v>
      </c>
      <c r="F3136" s="2" t="s">
        <v>5</v>
      </c>
      <c r="G3136" s="2">
        <v>515.79999999979998</v>
      </c>
      <c r="H3136" s="2" t="s">
        <v>16</v>
      </c>
      <c r="I3136" s="2">
        <v>1416861.00000001</v>
      </c>
      <c r="J3136" s="2">
        <v>5000</v>
      </c>
      <c r="K3136" s="2">
        <v>20</v>
      </c>
      <c r="L3136" s="2">
        <v>0</v>
      </c>
      <c r="M3136" s="2">
        <v>514628.41</v>
      </c>
      <c r="N3136">
        <f t="shared" si="64"/>
        <v>1932005.2100000097</v>
      </c>
      <c r="O3136" s="9" t="s">
        <v>4</v>
      </c>
    </row>
    <row r="3137" spans="1:15" x14ac:dyDescent="0.2">
      <c r="A3137">
        <v>94</v>
      </c>
      <c r="B3137">
        <v>6</v>
      </c>
      <c r="C3137">
        <v>10</v>
      </c>
      <c r="D3137" s="2">
        <v>2</v>
      </c>
      <c r="E3137" s="2">
        <v>2</v>
      </c>
      <c r="F3137" s="2" t="s">
        <v>5</v>
      </c>
      <c r="G3137" s="2">
        <v>446.600000000075</v>
      </c>
      <c r="H3137" s="2" t="s">
        <v>16</v>
      </c>
      <c r="I3137" s="2">
        <v>711301.00000002002</v>
      </c>
      <c r="J3137" s="2">
        <v>5000</v>
      </c>
      <c r="K3137" s="2">
        <v>20</v>
      </c>
      <c r="L3137" s="2">
        <v>0</v>
      </c>
      <c r="M3137" s="2">
        <v>447227.61</v>
      </c>
      <c r="N3137">
        <f t="shared" si="64"/>
        <v>1158975.21000002</v>
      </c>
      <c r="O3137" s="9" t="s">
        <v>4</v>
      </c>
    </row>
    <row r="3138" spans="1:15" x14ac:dyDescent="0.2">
      <c r="A3138">
        <v>95</v>
      </c>
      <c r="B3138">
        <v>6</v>
      </c>
      <c r="C3138">
        <v>12</v>
      </c>
      <c r="D3138" s="2">
        <v>2</v>
      </c>
      <c r="E3138" s="2">
        <v>2</v>
      </c>
      <c r="F3138" s="2" t="s">
        <v>5</v>
      </c>
      <c r="G3138" s="2">
        <v>605.60000000045</v>
      </c>
      <c r="H3138" s="2" t="s">
        <v>16</v>
      </c>
      <c r="I3138" s="2">
        <v>1174435.99999999</v>
      </c>
      <c r="J3138" s="2">
        <v>5000</v>
      </c>
      <c r="K3138" s="2">
        <v>20</v>
      </c>
      <c r="L3138" s="2">
        <v>0</v>
      </c>
      <c r="M3138" s="2">
        <v>618028.81000000006</v>
      </c>
      <c r="N3138">
        <f t="shared" si="64"/>
        <v>1793070.4099999906</v>
      </c>
      <c r="O3138" s="9" t="s">
        <v>4</v>
      </c>
    </row>
    <row r="3139" spans="1:15" x14ac:dyDescent="0.2">
      <c r="A3139">
        <v>96</v>
      </c>
      <c r="B3139">
        <v>6</v>
      </c>
      <c r="C3139">
        <v>8</v>
      </c>
      <c r="D3139" s="2">
        <v>3</v>
      </c>
      <c r="E3139" s="2">
        <v>2</v>
      </c>
      <c r="F3139" s="2" t="s">
        <v>5</v>
      </c>
      <c r="G3139" s="2">
        <v>301.39999999967398</v>
      </c>
      <c r="H3139" s="2" t="s">
        <v>16</v>
      </c>
      <c r="I3139" s="2">
        <v>267707.00000000099</v>
      </c>
      <c r="J3139" s="2">
        <v>5000</v>
      </c>
      <c r="K3139" s="2">
        <v>20</v>
      </c>
      <c r="L3139" s="2">
        <v>0</v>
      </c>
      <c r="M3139" s="2">
        <v>585828.01</v>
      </c>
      <c r="N3139">
        <f t="shared" si="64"/>
        <v>853836.41000000061</v>
      </c>
      <c r="O3139" s="9" t="s">
        <v>4</v>
      </c>
    </row>
    <row r="3140" spans="1:15" x14ac:dyDescent="0.2">
      <c r="A3140">
        <v>97</v>
      </c>
      <c r="B3140">
        <v>6</v>
      </c>
      <c r="C3140">
        <v>9</v>
      </c>
      <c r="D3140" s="2">
        <v>3</v>
      </c>
      <c r="E3140" s="2">
        <v>2</v>
      </c>
      <c r="F3140" s="2" t="s">
        <v>5</v>
      </c>
      <c r="G3140" s="2">
        <v>374.59999999995802</v>
      </c>
      <c r="H3140" s="2" t="s">
        <v>16</v>
      </c>
      <c r="I3140" s="2">
        <v>460260.00000000501</v>
      </c>
      <c r="J3140" s="2">
        <v>5000</v>
      </c>
      <c r="K3140" s="2">
        <v>20</v>
      </c>
      <c r="L3140" s="2">
        <v>0</v>
      </c>
      <c r="M3140" s="2">
        <v>428027.21</v>
      </c>
      <c r="N3140">
        <f t="shared" si="64"/>
        <v>888661.81000000495</v>
      </c>
      <c r="O3140" s="9" t="s">
        <v>4</v>
      </c>
    </row>
    <row r="3141" spans="1:15" x14ac:dyDescent="0.2">
      <c r="A3141">
        <v>98</v>
      </c>
      <c r="B3141">
        <v>6</v>
      </c>
      <c r="C3141">
        <v>10</v>
      </c>
      <c r="D3141" s="2">
        <v>3</v>
      </c>
      <c r="E3141" s="2">
        <v>2</v>
      </c>
      <c r="F3141" s="2" t="s">
        <v>5</v>
      </c>
      <c r="G3141" s="2">
        <v>496.19999999990199</v>
      </c>
      <c r="H3141" s="2" t="s">
        <v>16</v>
      </c>
      <c r="I3141" s="2">
        <v>385244</v>
      </c>
      <c r="J3141" s="2">
        <v>5000</v>
      </c>
      <c r="K3141" s="2">
        <v>20</v>
      </c>
      <c r="L3141" s="2">
        <v>0</v>
      </c>
      <c r="M3141" s="2">
        <v>572027.21</v>
      </c>
      <c r="N3141">
        <f t="shared" si="64"/>
        <v>957767.40999999992</v>
      </c>
      <c r="O3141" s="9" t="s">
        <v>4</v>
      </c>
    </row>
    <row r="3142" spans="1:15" x14ac:dyDescent="0.2">
      <c r="A3142">
        <v>99</v>
      </c>
      <c r="B3142">
        <v>6</v>
      </c>
      <c r="C3142">
        <v>11</v>
      </c>
      <c r="D3142" s="2">
        <v>2</v>
      </c>
      <c r="E3142" s="2">
        <v>2</v>
      </c>
      <c r="F3142" s="2" t="s">
        <v>5</v>
      </c>
      <c r="G3142" s="2">
        <v>500.59999999980698</v>
      </c>
      <c r="H3142" s="2" t="s">
        <v>16</v>
      </c>
      <c r="I3142" s="2">
        <v>2095169</v>
      </c>
      <c r="J3142" s="2">
        <v>5000</v>
      </c>
      <c r="K3142" s="2">
        <v>20</v>
      </c>
      <c r="L3142" s="2">
        <v>0</v>
      </c>
      <c r="M3142" s="2">
        <v>447228.81</v>
      </c>
      <c r="N3142">
        <f t="shared" si="64"/>
        <v>2542898.4099999997</v>
      </c>
      <c r="O3142" s="9" t="s">
        <v>4</v>
      </c>
    </row>
    <row r="3143" spans="1:15" x14ac:dyDescent="0.2">
      <c r="A3143">
        <v>70</v>
      </c>
      <c r="B3143">
        <v>6</v>
      </c>
      <c r="C3143">
        <v>6</v>
      </c>
      <c r="D3143" s="2">
        <v>3</v>
      </c>
      <c r="E3143" s="2">
        <v>2</v>
      </c>
      <c r="F3143" s="2" t="s">
        <v>5</v>
      </c>
      <c r="G3143" s="2">
        <v>916.60000000004504</v>
      </c>
      <c r="H3143" s="2" t="s">
        <v>16</v>
      </c>
      <c r="I3143" s="2">
        <v>68301.999999988504</v>
      </c>
      <c r="J3143" s="2">
        <v>2000</v>
      </c>
      <c r="K3143" s="2">
        <v>300</v>
      </c>
      <c r="L3143" s="2">
        <v>0</v>
      </c>
      <c r="M3143" s="2">
        <v>746428.01</v>
      </c>
      <c r="N3143">
        <f t="shared" si="64"/>
        <v>815646.60999998858</v>
      </c>
      <c r="O3143" s="9" t="s">
        <v>5</v>
      </c>
    </row>
    <row r="3144" spans="1:15" x14ac:dyDescent="0.2">
      <c r="A3144">
        <v>71</v>
      </c>
      <c r="B3144">
        <v>6</v>
      </c>
      <c r="C3144">
        <v>7</v>
      </c>
      <c r="D3144" s="2">
        <v>2</v>
      </c>
      <c r="E3144" s="2">
        <v>2</v>
      </c>
      <c r="F3144" s="2" t="s">
        <v>5</v>
      </c>
      <c r="G3144" s="2">
        <v>840.79999999993095</v>
      </c>
      <c r="H3144" s="2" t="s">
        <v>16</v>
      </c>
      <c r="I3144" s="2">
        <v>212421.000000006</v>
      </c>
      <c r="J3144" s="2">
        <v>2000</v>
      </c>
      <c r="K3144" s="2">
        <v>300</v>
      </c>
      <c r="L3144" s="2">
        <v>0</v>
      </c>
      <c r="M3144" s="2">
        <v>773790.01</v>
      </c>
      <c r="N3144">
        <f t="shared" si="64"/>
        <v>987051.81000000588</v>
      </c>
      <c r="O3144" s="9" t="s">
        <v>5</v>
      </c>
    </row>
    <row r="3145" spans="1:15" x14ac:dyDescent="0.2">
      <c r="A3145">
        <v>72</v>
      </c>
      <c r="B3145">
        <v>6</v>
      </c>
      <c r="C3145">
        <v>7</v>
      </c>
      <c r="D3145" s="2">
        <v>2</v>
      </c>
      <c r="E3145" s="2">
        <v>2</v>
      </c>
      <c r="F3145" s="2" t="s">
        <v>5</v>
      </c>
      <c r="G3145" s="2">
        <v>686.80000000043196</v>
      </c>
      <c r="H3145" s="2" t="s">
        <v>16</v>
      </c>
      <c r="I3145" s="2">
        <v>262078.00000000201</v>
      </c>
      <c r="J3145" s="2">
        <v>2000</v>
      </c>
      <c r="K3145" s="2">
        <v>300</v>
      </c>
      <c r="L3145" s="2">
        <v>0</v>
      </c>
      <c r="M3145" s="2">
        <v>812588.01</v>
      </c>
      <c r="N3145">
        <f t="shared" si="64"/>
        <v>1075352.8100000024</v>
      </c>
      <c r="O3145" s="9" t="s">
        <v>4</v>
      </c>
    </row>
    <row r="3146" spans="1:15" x14ac:dyDescent="0.2">
      <c r="A3146">
        <v>73</v>
      </c>
      <c r="B3146">
        <v>6</v>
      </c>
      <c r="C3146">
        <v>7</v>
      </c>
      <c r="D3146" s="2">
        <v>3</v>
      </c>
      <c r="E3146" s="2">
        <v>2</v>
      </c>
      <c r="F3146" s="2" t="s">
        <v>5</v>
      </c>
      <c r="G3146" s="2">
        <v>696.99999999990303</v>
      </c>
      <c r="H3146" s="2" t="s">
        <v>16</v>
      </c>
      <c r="I3146" s="2">
        <v>220828.999999981</v>
      </c>
      <c r="J3146" s="2">
        <v>2000</v>
      </c>
      <c r="K3146" s="2">
        <v>300</v>
      </c>
      <c r="L3146" s="2">
        <v>0</v>
      </c>
      <c r="M3146" s="2">
        <v>747868.41</v>
      </c>
      <c r="N3146">
        <f t="shared" si="64"/>
        <v>969394.40999998094</v>
      </c>
      <c r="O3146" s="9" t="s">
        <v>4</v>
      </c>
    </row>
    <row r="3147" spans="1:15" x14ac:dyDescent="0.2">
      <c r="A3147">
        <v>74</v>
      </c>
      <c r="B3147">
        <v>6</v>
      </c>
      <c r="C3147">
        <v>9</v>
      </c>
      <c r="D3147" s="2">
        <v>3</v>
      </c>
      <c r="E3147" s="2">
        <v>2</v>
      </c>
      <c r="F3147" s="2" t="s">
        <v>5</v>
      </c>
      <c r="G3147" s="2">
        <v>767.00000000009504</v>
      </c>
      <c r="H3147" s="2" t="s">
        <v>16</v>
      </c>
      <c r="I3147" s="2">
        <v>641922.99999999104</v>
      </c>
      <c r="J3147" s="2">
        <v>2000</v>
      </c>
      <c r="K3147" s="2">
        <v>300</v>
      </c>
      <c r="L3147" s="2">
        <v>0</v>
      </c>
      <c r="M3147" s="2">
        <v>799388.81</v>
      </c>
      <c r="N3147">
        <f t="shared" si="64"/>
        <v>1442078.8099999912</v>
      </c>
      <c r="O3147" s="9" t="s">
        <v>4</v>
      </c>
    </row>
    <row r="3148" spans="1:15" x14ac:dyDescent="0.2">
      <c r="A3148">
        <v>75</v>
      </c>
      <c r="B3148">
        <v>6</v>
      </c>
      <c r="C3148">
        <v>7</v>
      </c>
      <c r="D3148" s="2">
        <v>3</v>
      </c>
      <c r="E3148" s="2">
        <v>2</v>
      </c>
      <c r="F3148" s="2" t="s">
        <v>5</v>
      </c>
      <c r="G3148" s="2">
        <v>442.80000000007601</v>
      </c>
      <c r="H3148" s="2" t="s">
        <v>16</v>
      </c>
      <c r="I3148" s="2">
        <v>188826.000000006</v>
      </c>
      <c r="J3148" s="2">
        <v>2000</v>
      </c>
      <c r="K3148" s="2">
        <v>300</v>
      </c>
      <c r="L3148" s="2">
        <v>0</v>
      </c>
      <c r="M3148" s="2">
        <v>801229.21</v>
      </c>
      <c r="N3148">
        <f t="shared" si="64"/>
        <v>990498.01000000606</v>
      </c>
      <c r="O3148" s="9" t="s">
        <v>5</v>
      </c>
    </row>
    <row r="3149" spans="1:15" x14ac:dyDescent="0.2">
      <c r="A3149">
        <v>76</v>
      </c>
      <c r="B3149">
        <v>6</v>
      </c>
      <c r="C3149">
        <v>8</v>
      </c>
      <c r="D3149" s="2">
        <v>3</v>
      </c>
      <c r="E3149" s="2">
        <v>2</v>
      </c>
      <c r="F3149" s="2" t="s">
        <v>5</v>
      </c>
      <c r="G3149" s="2">
        <v>657.20000000020195</v>
      </c>
      <c r="H3149" s="2" t="s">
        <v>16</v>
      </c>
      <c r="I3149" s="2">
        <v>207245</v>
      </c>
      <c r="J3149" s="2">
        <v>2000</v>
      </c>
      <c r="K3149" s="2">
        <v>300</v>
      </c>
      <c r="L3149" s="2">
        <v>0</v>
      </c>
      <c r="M3149" s="2">
        <v>752428.81</v>
      </c>
      <c r="N3149">
        <f t="shared" si="64"/>
        <v>960331.01000000024</v>
      </c>
      <c r="O3149" s="9" t="s">
        <v>4</v>
      </c>
    </row>
    <row r="3150" spans="1:15" x14ac:dyDescent="0.2">
      <c r="A3150">
        <v>77</v>
      </c>
      <c r="B3150">
        <v>6</v>
      </c>
      <c r="C3150">
        <v>8</v>
      </c>
      <c r="D3150" s="2">
        <v>3</v>
      </c>
      <c r="E3150" s="2">
        <v>2</v>
      </c>
      <c r="F3150" s="2" t="s">
        <v>5</v>
      </c>
      <c r="G3150" s="2">
        <v>517.59999999951799</v>
      </c>
      <c r="H3150" s="2" t="s">
        <v>16</v>
      </c>
      <c r="I3150" s="2">
        <v>554278.99999997998</v>
      </c>
      <c r="J3150" s="2">
        <v>2000</v>
      </c>
      <c r="K3150" s="2">
        <v>300</v>
      </c>
      <c r="L3150" s="2">
        <v>0</v>
      </c>
      <c r="M3150" s="2">
        <v>746668.01</v>
      </c>
      <c r="N3150">
        <f t="shared" si="64"/>
        <v>1301464.6099999794</v>
      </c>
      <c r="O3150" s="9" t="s">
        <v>4</v>
      </c>
    </row>
    <row r="3151" spans="1:15" x14ac:dyDescent="0.2">
      <c r="A3151">
        <v>78</v>
      </c>
      <c r="B3151">
        <v>6</v>
      </c>
      <c r="C3151">
        <v>8</v>
      </c>
      <c r="D3151" s="2">
        <v>3</v>
      </c>
      <c r="E3151" s="2">
        <v>2</v>
      </c>
      <c r="F3151" s="2" t="s">
        <v>5</v>
      </c>
      <c r="G3151" s="2">
        <v>411.19999999992302</v>
      </c>
      <c r="H3151" s="2" t="s">
        <v>16</v>
      </c>
      <c r="I3151" s="2">
        <v>251448.000000011</v>
      </c>
      <c r="J3151" s="2">
        <v>2000</v>
      </c>
      <c r="K3151" s="2">
        <v>300</v>
      </c>
      <c r="L3151" s="2">
        <v>0</v>
      </c>
      <c r="M3151" s="2">
        <v>801148.81</v>
      </c>
      <c r="N3151">
        <f t="shared" si="64"/>
        <v>1053008.010000011</v>
      </c>
      <c r="O3151" s="9" t="s">
        <v>4</v>
      </c>
    </row>
    <row r="3152" spans="1:15" x14ac:dyDescent="0.2">
      <c r="A3152">
        <v>79</v>
      </c>
      <c r="B3152">
        <v>6</v>
      </c>
      <c r="C3152">
        <v>8</v>
      </c>
      <c r="D3152" s="2">
        <v>3</v>
      </c>
      <c r="E3152" s="2">
        <v>2</v>
      </c>
      <c r="F3152" s="2" t="s">
        <v>5</v>
      </c>
      <c r="G3152" s="2">
        <v>394.20000000021099</v>
      </c>
      <c r="H3152" s="2" t="s">
        <v>16</v>
      </c>
      <c r="I3152" s="2">
        <v>178140.00000001301</v>
      </c>
      <c r="J3152" s="2">
        <v>2000</v>
      </c>
      <c r="K3152" s="2">
        <v>300</v>
      </c>
      <c r="L3152" s="2">
        <v>0</v>
      </c>
      <c r="M3152" s="2">
        <v>787068.01</v>
      </c>
      <c r="N3152">
        <f t="shared" si="64"/>
        <v>965602.21000001323</v>
      </c>
      <c r="O3152" s="9" t="s">
        <v>4</v>
      </c>
    </row>
    <row r="3153" spans="1:15" x14ac:dyDescent="0.2">
      <c r="A3153">
        <v>80</v>
      </c>
      <c r="B3153">
        <v>6</v>
      </c>
      <c r="C3153">
        <v>7</v>
      </c>
      <c r="D3153" s="2">
        <v>3</v>
      </c>
      <c r="E3153" s="2">
        <v>2</v>
      </c>
      <c r="F3153" s="2" t="s">
        <v>5</v>
      </c>
      <c r="G3153" s="2">
        <v>306.60000000004601</v>
      </c>
      <c r="H3153" s="2" t="s">
        <v>16</v>
      </c>
      <c r="I3153" s="2">
        <v>148730</v>
      </c>
      <c r="J3153" s="2">
        <v>2000</v>
      </c>
      <c r="K3153" s="2">
        <v>300</v>
      </c>
      <c r="L3153" s="2">
        <v>0</v>
      </c>
      <c r="M3153" s="2">
        <v>805548.01</v>
      </c>
      <c r="N3153">
        <f t="shared" si="64"/>
        <v>954584.6100000001</v>
      </c>
      <c r="O3153" s="9" t="s">
        <v>4</v>
      </c>
    </row>
    <row r="3154" spans="1:15" x14ac:dyDescent="0.2">
      <c r="A3154">
        <v>81</v>
      </c>
      <c r="B3154">
        <v>6</v>
      </c>
      <c r="C3154">
        <v>8</v>
      </c>
      <c r="D3154" s="2">
        <v>3</v>
      </c>
      <c r="E3154" s="2">
        <v>2</v>
      </c>
      <c r="F3154" s="2" t="s">
        <v>5</v>
      </c>
      <c r="G3154" s="2">
        <v>372.600000000389</v>
      </c>
      <c r="H3154" s="2" t="s">
        <v>16</v>
      </c>
      <c r="I3154" s="2">
        <v>307187.99999999598</v>
      </c>
      <c r="J3154" s="2">
        <v>2000</v>
      </c>
      <c r="K3154" s="2">
        <v>300</v>
      </c>
      <c r="L3154" s="2">
        <v>0</v>
      </c>
      <c r="M3154" s="2">
        <v>747868.41</v>
      </c>
      <c r="N3154">
        <f t="shared" si="64"/>
        <v>1055429.0099999965</v>
      </c>
      <c r="O3154" s="9" t="s">
        <v>4</v>
      </c>
    </row>
    <row r="3155" spans="1:15" x14ac:dyDescent="0.2">
      <c r="A3155">
        <v>82</v>
      </c>
      <c r="B3155">
        <v>6</v>
      </c>
      <c r="C3155">
        <v>8</v>
      </c>
      <c r="D3155" s="2">
        <v>2</v>
      </c>
      <c r="E3155" s="2">
        <v>2</v>
      </c>
      <c r="F3155" s="2" t="s">
        <v>5</v>
      </c>
      <c r="G3155" s="2">
        <v>377.99999999990098</v>
      </c>
      <c r="H3155" s="2" t="s">
        <v>16</v>
      </c>
      <c r="I3155" s="2">
        <v>516832.99999999098</v>
      </c>
      <c r="J3155" s="2">
        <v>2000</v>
      </c>
      <c r="K3155" s="2">
        <v>300</v>
      </c>
      <c r="L3155" s="2">
        <v>0</v>
      </c>
      <c r="M3155" s="2">
        <v>806267.61</v>
      </c>
      <c r="N3155">
        <f t="shared" si="64"/>
        <v>1323478.6099999908</v>
      </c>
      <c r="O3155" s="9" t="s">
        <v>4</v>
      </c>
    </row>
    <row r="3156" spans="1:15" x14ac:dyDescent="0.2">
      <c r="A3156">
        <v>83</v>
      </c>
      <c r="B3156">
        <v>6</v>
      </c>
      <c r="C3156">
        <v>9</v>
      </c>
      <c r="D3156" s="2">
        <v>2</v>
      </c>
      <c r="E3156" s="2">
        <v>2</v>
      </c>
      <c r="F3156" s="2" t="s">
        <v>5</v>
      </c>
      <c r="G3156" s="2">
        <v>451.20000000018501</v>
      </c>
      <c r="H3156" s="2" t="s">
        <v>16</v>
      </c>
      <c r="I3156" s="2">
        <v>413190.00000001403</v>
      </c>
      <c r="J3156" s="2">
        <v>2000</v>
      </c>
      <c r="K3156" s="2">
        <v>300</v>
      </c>
      <c r="L3156" s="2">
        <v>0</v>
      </c>
      <c r="M3156" s="2">
        <v>749628.01</v>
      </c>
      <c r="N3156">
        <f t="shared" ref="N3156:N3202" si="66">G3156+I3156+M3156</f>
        <v>1163269.2100000142</v>
      </c>
      <c r="O3156" s="9" t="s">
        <v>4</v>
      </c>
    </row>
    <row r="3157" spans="1:15" x14ac:dyDescent="0.2">
      <c r="A3157">
        <v>84</v>
      </c>
      <c r="B3157">
        <v>6</v>
      </c>
      <c r="C3157">
        <v>10</v>
      </c>
      <c r="D3157" s="2">
        <v>2</v>
      </c>
      <c r="E3157" s="2">
        <v>2</v>
      </c>
      <c r="F3157" s="2" t="s">
        <v>5</v>
      </c>
      <c r="G3157" s="2">
        <v>503.80000000060897</v>
      </c>
      <c r="H3157" s="2" t="s">
        <v>16</v>
      </c>
      <c r="I3157" s="2">
        <v>474711.999999983</v>
      </c>
      <c r="J3157" s="2">
        <v>2000</v>
      </c>
      <c r="K3157" s="2">
        <v>300</v>
      </c>
      <c r="L3157" s="2">
        <v>0</v>
      </c>
      <c r="M3157" s="2">
        <v>816428.01</v>
      </c>
      <c r="N3157">
        <f t="shared" si="66"/>
        <v>1291643.8099999838</v>
      </c>
      <c r="O3157" s="9" t="s">
        <v>4</v>
      </c>
    </row>
    <row r="3158" spans="1:15" x14ac:dyDescent="0.2">
      <c r="A3158">
        <v>85</v>
      </c>
      <c r="B3158">
        <v>6</v>
      </c>
      <c r="C3158">
        <v>8</v>
      </c>
      <c r="D3158" s="2">
        <v>2</v>
      </c>
      <c r="E3158" s="2">
        <v>2</v>
      </c>
      <c r="F3158" s="2" t="s">
        <v>5</v>
      </c>
      <c r="G3158" s="2">
        <v>348.000000000326</v>
      </c>
      <c r="H3158" s="2" t="s">
        <v>16</v>
      </c>
      <c r="I3158" s="2">
        <v>608902.00000000105</v>
      </c>
      <c r="J3158" s="2">
        <v>2000</v>
      </c>
      <c r="K3158" s="2">
        <v>300</v>
      </c>
      <c r="L3158" s="2">
        <v>0</v>
      </c>
      <c r="M3158" s="2">
        <v>808748.41</v>
      </c>
      <c r="N3158">
        <f t="shared" si="66"/>
        <v>1417998.4100000015</v>
      </c>
      <c r="O3158" s="9" t="s">
        <v>4</v>
      </c>
    </row>
    <row r="3159" spans="1:15" x14ac:dyDescent="0.2">
      <c r="A3159">
        <v>86</v>
      </c>
      <c r="B3159">
        <v>6</v>
      </c>
      <c r="C3159">
        <v>10</v>
      </c>
      <c r="D3159" s="2">
        <v>3</v>
      </c>
      <c r="E3159" s="2">
        <v>2</v>
      </c>
      <c r="F3159" s="2" t="s">
        <v>5</v>
      </c>
      <c r="G3159" s="2">
        <v>468.00000000004599</v>
      </c>
      <c r="H3159" s="2" t="s">
        <v>16</v>
      </c>
      <c r="I3159" s="2">
        <v>645299.00000002305</v>
      </c>
      <c r="J3159" s="2">
        <v>2000</v>
      </c>
      <c r="K3159" s="2">
        <v>300</v>
      </c>
      <c r="L3159" s="2">
        <v>0</v>
      </c>
      <c r="M3159" s="2">
        <v>762187.21</v>
      </c>
      <c r="N3159">
        <f t="shared" si="66"/>
        <v>1407954.210000023</v>
      </c>
      <c r="O3159" s="9" t="s">
        <v>4</v>
      </c>
    </row>
    <row r="3160" spans="1:15" x14ac:dyDescent="0.2">
      <c r="A3160">
        <v>87</v>
      </c>
      <c r="B3160">
        <v>6</v>
      </c>
      <c r="C3160">
        <v>10</v>
      </c>
      <c r="D3160" s="2">
        <v>2</v>
      </c>
      <c r="E3160" s="2">
        <v>2</v>
      </c>
      <c r="F3160" s="2" t="s">
        <v>5</v>
      </c>
      <c r="G3160" s="2">
        <v>451.39999999968001</v>
      </c>
      <c r="H3160" s="2" t="s">
        <v>16</v>
      </c>
      <c r="I3160" s="2">
        <v>401485.00000000797</v>
      </c>
      <c r="J3160" s="2">
        <v>2000</v>
      </c>
      <c r="K3160" s="2">
        <v>300</v>
      </c>
      <c r="L3160" s="2">
        <v>0</v>
      </c>
      <c r="M3160" s="2">
        <v>816907.21</v>
      </c>
      <c r="N3160">
        <f t="shared" si="66"/>
        <v>1218843.6100000076</v>
      </c>
      <c r="O3160" s="9" t="s">
        <v>4</v>
      </c>
    </row>
    <row r="3161" spans="1:15" x14ac:dyDescent="0.2">
      <c r="A3161">
        <v>88</v>
      </c>
      <c r="B3161">
        <v>6</v>
      </c>
      <c r="C3161">
        <v>10</v>
      </c>
      <c r="D3161" s="2">
        <v>3</v>
      </c>
      <c r="E3161" s="2">
        <v>2</v>
      </c>
      <c r="F3161" s="2" t="s">
        <v>5</v>
      </c>
      <c r="G3161" s="2">
        <v>490.20000000048498</v>
      </c>
      <c r="H3161" s="2" t="s">
        <v>16</v>
      </c>
      <c r="I3161" s="2">
        <v>672093.99999998696</v>
      </c>
      <c r="J3161" s="2">
        <v>2000</v>
      </c>
      <c r="K3161" s="2">
        <v>300</v>
      </c>
      <c r="L3161" s="2">
        <v>0</v>
      </c>
      <c r="M3161" s="2">
        <v>751628.41</v>
      </c>
      <c r="N3161">
        <f t="shared" si="66"/>
        <v>1424212.6099999875</v>
      </c>
      <c r="O3161" s="9" t="s">
        <v>4</v>
      </c>
    </row>
    <row r="3162" spans="1:15" x14ac:dyDescent="0.2">
      <c r="A3162">
        <v>89</v>
      </c>
      <c r="B3162">
        <v>6</v>
      </c>
      <c r="C3162">
        <v>7</v>
      </c>
      <c r="D3162" s="2">
        <v>3</v>
      </c>
      <c r="E3162" s="2">
        <v>2</v>
      </c>
      <c r="F3162" s="2" t="s">
        <v>5</v>
      </c>
      <c r="G3162" s="2">
        <v>266.39999999993302</v>
      </c>
      <c r="H3162" s="2" t="s">
        <v>16</v>
      </c>
      <c r="I3162" s="2">
        <v>186243.000000019</v>
      </c>
      <c r="J3162" s="2">
        <v>2000</v>
      </c>
      <c r="K3162" s="2">
        <v>300</v>
      </c>
      <c r="L3162" s="2">
        <v>0</v>
      </c>
      <c r="M3162" s="2">
        <v>742348.41</v>
      </c>
      <c r="N3162">
        <f t="shared" si="66"/>
        <v>928857.81000001892</v>
      </c>
      <c r="O3162" s="9" t="s">
        <v>4</v>
      </c>
    </row>
    <row r="3163" spans="1:15" x14ac:dyDescent="0.2">
      <c r="A3163">
        <v>90</v>
      </c>
      <c r="B3163">
        <v>6</v>
      </c>
      <c r="C3163">
        <v>8</v>
      </c>
      <c r="D3163" s="2">
        <v>2</v>
      </c>
      <c r="E3163" s="2">
        <v>2</v>
      </c>
      <c r="F3163" s="2" t="s">
        <v>5</v>
      </c>
      <c r="G3163" s="2">
        <v>335.79999999986399</v>
      </c>
      <c r="H3163" s="2" t="s">
        <v>16</v>
      </c>
      <c r="I3163" s="2">
        <v>399008.00000000902</v>
      </c>
      <c r="J3163" s="2">
        <v>2000</v>
      </c>
      <c r="K3163" s="2">
        <v>300</v>
      </c>
      <c r="L3163" s="2">
        <v>0</v>
      </c>
      <c r="M3163" s="2">
        <v>801388.81</v>
      </c>
      <c r="N3163">
        <f t="shared" si="66"/>
        <v>1200732.610000009</v>
      </c>
      <c r="O3163" s="9" t="s">
        <v>4</v>
      </c>
    </row>
    <row r="3164" spans="1:15" x14ac:dyDescent="0.2">
      <c r="A3164">
        <v>91</v>
      </c>
      <c r="B3164">
        <v>6</v>
      </c>
      <c r="C3164">
        <v>8</v>
      </c>
      <c r="D3164" s="2">
        <v>3</v>
      </c>
      <c r="E3164" s="2">
        <v>2</v>
      </c>
      <c r="F3164" s="2" t="s">
        <v>5</v>
      </c>
      <c r="G3164" s="2">
        <v>335.59999999930301</v>
      </c>
      <c r="H3164" s="2" t="s">
        <v>16</v>
      </c>
      <c r="I3164" s="2">
        <v>151079.00000001001</v>
      </c>
      <c r="J3164" s="2">
        <v>2000</v>
      </c>
      <c r="K3164" s="2">
        <v>300</v>
      </c>
      <c r="L3164" s="2">
        <v>0</v>
      </c>
      <c r="M3164" s="2">
        <v>743707.21</v>
      </c>
      <c r="N3164">
        <f t="shared" si="66"/>
        <v>895121.81000000925</v>
      </c>
      <c r="O3164" s="9" t="s">
        <v>4</v>
      </c>
    </row>
    <row r="3165" spans="1:15" x14ac:dyDescent="0.2">
      <c r="A3165">
        <v>92</v>
      </c>
      <c r="B3165">
        <v>6</v>
      </c>
      <c r="C3165">
        <v>8</v>
      </c>
      <c r="D3165" s="2">
        <v>3</v>
      </c>
      <c r="E3165" s="2">
        <v>2</v>
      </c>
      <c r="F3165" s="2" t="s">
        <v>5</v>
      </c>
      <c r="G3165" s="2">
        <v>306.40000000019501</v>
      </c>
      <c r="H3165" s="2" t="s">
        <v>16</v>
      </c>
      <c r="I3165" s="2">
        <v>288912.000000011</v>
      </c>
      <c r="J3165" s="2">
        <v>2000</v>
      </c>
      <c r="K3165" s="2">
        <v>300</v>
      </c>
      <c r="L3165" s="2">
        <v>0</v>
      </c>
      <c r="M3165" s="2">
        <v>811707.61</v>
      </c>
      <c r="N3165">
        <f t="shared" si="66"/>
        <v>1100926.0100000112</v>
      </c>
      <c r="O3165" s="9" t="s">
        <v>4</v>
      </c>
    </row>
    <row r="3166" spans="1:15" x14ac:dyDescent="0.2">
      <c r="A3166">
        <v>93</v>
      </c>
      <c r="B3166">
        <v>6</v>
      </c>
      <c r="C3166">
        <v>11</v>
      </c>
      <c r="D3166" s="2">
        <v>3</v>
      </c>
      <c r="E3166" s="2">
        <v>2</v>
      </c>
      <c r="F3166" s="2" t="s">
        <v>5</v>
      </c>
      <c r="G3166" s="2">
        <v>515.79999999979998</v>
      </c>
      <c r="H3166" s="2" t="s">
        <v>16</v>
      </c>
      <c r="I3166" s="2">
        <v>1416861.00000001</v>
      </c>
      <c r="J3166" s="2">
        <v>2000</v>
      </c>
      <c r="K3166" s="2">
        <v>300</v>
      </c>
      <c r="L3166" s="2">
        <v>0</v>
      </c>
      <c r="M3166" s="2">
        <v>777388.41</v>
      </c>
      <c r="N3166">
        <f t="shared" si="66"/>
        <v>2194765.2100000097</v>
      </c>
      <c r="O3166" s="9" t="s">
        <v>4</v>
      </c>
    </row>
    <row r="3167" spans="1:15" x14ac:dyDescent="0.2">
      <c r="A3167">
        <v>94</v>
      </c>
      <c r="B3167">
        <v>6</v>
      </c>
      <c r="C3167">
        <v>10</v>
      </c>
      <c r="D3167" s="2">
        <v>2</v>
      </c>
      <c r="E3167" s="2">
        <v>2</v>
      </c>
      <c r="F3167" s="2" t="s">
        <v>5</v>
      </c>
      <c r="G3167" s="2">
        <v>446.600000000075</v>
      </c>
      <c r="H3167" s="2" t="s">
        <v>16</v>
      </c>
      <c r="I3167" s="2">
        <v>711301.00000002002</v>
      </c>
      <c r="J3167" s="2">
        <v>2000</v>
      </c>
      <c r="K3167" s="2">
        <v>300</v>
      </c>
      <c r="L3167" s="2">
        <v>0</v>
      </c>
      <c r="M3167" s="2">
        <v>750427.61</v>
      </c>
      <c r="N3167">
        <f t="shared" si="66"/>
        <v>1462175.21000002</v>
      </c>
      <c r="O3167" s="9" t="s">
        <v>4</v>
      </c>
    </row>
    <row r="3168" spans="1:15" x14ac:dyDescent="0.2">
      <c r="A3168">
        <v>95</v>
      </c>
      <c r="B3168">
        <v>6</v>
      </c>
      <c r="C3168">
        <v>12</v>
      </c>
      <c r="D3168" s="2">
        <v>2</v>
      </c>
      <c r="E3168" s="2">
        <v>2</v>
      </c>
      <c r="F3168" s="2" t="s">
        <v>5</v>
      </c>
      <c r="G3168" s="2">
        <v>605.60000000045</v>
      </c>
      <c r="H3168" s="2" t="s">
        <v>16</v>
      </c>
      <c r="I3168" s="2">
        <v>1174435.99999999</v>
      </c>
      <c r="J3168" s="2">
        <v>2000</v>
      </c>
      <c r="K3168" s="2">
        <v>300</v>
      </c>
      <c r="L3168" s="2">
        <v>0</v>
      </c>
      <c r="M3168" s="2">
        <v>818749.21</v>
      </c>
      <c r="N3168">
        <f t="shared" si="66"/>
        <v>1993790.8099999905</v>
      </c>
      <c r="O3168" s="9" t="s">
        <v>4</v>
      </c>
    </row>
    <row r="3169" spans="1:15" x14ac:dyDescent="0.2">
      <c r="A3169">
        <v>96</v>
      </c>
      <c r="B3169">
        <v>6</v>
      </c>
      <c r="C3169">
        <v>8</v>
      </c>
      <c r="D3169" s="2">
        <v>3</v>
      </c>
      <c r="E3169" s="2">
        <v>2</v>
      </c>
      <c r="F3169" s="2" t="s">
        <v>5</v>
      </c>
      <c r="G3169" s="2">
        <v>301.39999999967398</v>
      </c>
      <c r="H3169" s="2" t="s">
        <v>16</v>
      </c>
      <c r="I3169" s="2">
        <v>267707.00000000099</v>
      </c>
      <c r="J3169" s="2">
        <v>2000</v>
      </c>
      <c r="K3169" s="2">
        <v>300</v>
      </c>
      <c r="L3169" s="2">
        <v>0</v>
      </c>
      <c r="M3169" s="2">
        <v>805868.01</v>
      </c>
      <c r="N3169">
        <f t="shared" si="66"/>
        <v>1073876.4100000006</v>
      </c>
      <c r="O3169" s="9" t="s">
        <v>4</v>
      </c>
    </row>
    <row r="3170" spans="1:15" x14ac:dyDescent="0.2">
      <c r="A3170">
        <v>97</v>
      </c>
      <c r="B3170">
        <v>6</v>
      </c>
      <c r="C3170">
        <v>9</v>
      </c>
      <c r="D3170" s="2">
        <v>3</v>
      </c>
      <c r="E3170" s="2">
        <v>2</v>
      </c>
      <c r="F3170" s="2" t="s">
        <v>5</v>
      </c>
      <c r="G3170" s="2">
        <v>374.59999999995802</v>
      </c>
      <c r="H3170" s="2" t="s">
        <v>16</v>
      </c>
      <c r="I3170" s="2">
        <v>460260.00000000501</v>
      </c>
      <c r="J3170" s="2">
        <v>2000</v>
      </c>
      <c r="K3170" s="2">
        <v>300</v>
      </c>
      <c r="L3170" s="2">
        <v>0</v>
      </c>
      <c r="M3170" s="2">
        <v>742747.21</v>
      </c>
      <c r="N3170">
        <f t="shared" si="66"/>
        <v>1203381.8100000049</v>
      </c>
      <c r="O3170" s="9" t="s">
        <v>4</v>
      </c>
    </row>
    <row r="3171" spans="1:15" x14ac:dyDescent="0.2">
      <c r="A3171">
        <v>98</v>
      </c>
      <c r="B3171">
        <v>6</v>
      </c>
      <c r="C3171">
        <v>10</v>
      </c>
      <c r="D3171" s="2">
        <v>3</v>
      </c>
      <c r="E3171" s="2">
        <v>2</v>
      </c>
      <c r="F3171" s="2" t="s">
        <v>5</v>
      </c>
      <c r="G3171" s="2">
        <v>496.19999999990199</v>
      </c>
      <c r="H3171" s="2" t="s">
        <v>16</v>
      </c>
      <c r="I3171" s="2">
        <v>385244</v>
      </c>
      <c r="J3171" s="2">
        <v>2000</v>
      </c>
      <c r="K3171" s="2">
        <v>300</v>
      </c>
      <c r="L3171" s="2">
        <v>0</v>
      </c>
      <c r="M3171" s="2">
        <v>800346.81</v>
      </c>
      <c r="N3171">
        <f t="shared" si="66"/>
        <v>1186087.01</v>
      </c>
      <c r="O3171" s="9" t="s">
        <v>4</v>
      </c>
    </row>
    <row r="3172" spans="1:15" x14ac:dyDescent="0.2">
      <c r="A3172">
        <v>99</v>
      </c>
      <c r="B3172">
        <v>6</v>
      </c>
      <c r="C3172">
        <v>11</v>
      </c>
      <c r="D3172" s="2">
        <v>2</v>
      </c>
      <c r="E3172" s="2">
        <v>2</v>
      </c>
      <c r="F3172" s="2" t="s">
        <v>5</v>
      </c>
      <c r="G3172" s="2">
        <v>500.59999999980698</v>
      </c>
      <c r="H3172" s="2" t="s">
        <v>16</v>
      </c>
      <c r="I3172" s="2">
        <v>2095169</v>
      </c>
      <c r="J3172" s="2">
        <v>2000</v>
      </c>
      <c r="K3172" s="2">
        <v>300</v>
      </c>
      <c r="L3172" s="2">
        <v>0</v>
      </c>
      <c r="M3172" s="2">
        <v>750428.81</v>
      </c>
      <c r="N3172">
        <f t="shared" si="66"/>
        <v>2846098.41</v>
      </c>
      <c r="O3172" s="9" t="s">
        <v>4</v>
      </c>
    </row>
    <row r="3173" spans="1:15" x14ac:dyDescent="0.2">
      <c r="A3173">
        <v>70</v>
      </c>
      <c r="B3173">
        <v>6</v>
      </c>
      <c r="C3173">
        <v>6</v>
      </c>
      <c r="D3173" s="2">
        <v>3</v>
      </c>
      <c r="E3173" s="2">
        <v>2</v>
      </c>
      <c r="F3173" s="2" t="s">
        <v>5</v>
      </c>
      <c r="G3173" s="2">
        <v>916.60000000004504</v>
      </c>
      <c r="H3173" s="2" t="s">
        <v>16</v>
      </c>
      <c r="I3173" s="2">
        <v>68301.999999988504</v>
      </c>
      <c r="J3173" s="2">
        <v>3000</v>
      </c>
      <c r="K3173" s="2">
        <v>200</v>
      </c>
      <c r="L3173" s="2">
        <v>0</v>
      </c>
      <c r="M3173" s="2">
        <v>810028.01</v>
      </c>
      <c r="N3173">
        <f t="shared" si="66"/>
        <v>879246.60999998858</v>
      </c>
      <c r="O3173" s="2" t="s">
        <v>5</v>
      </c>
    </row>
    <row r="3174" spans="1:15" x14ac:dyDescent="0.2">
      <c r="A3174">
        <v>71</v>
      </c>
      <c r="B3174">
        <v>6</v>
      </c>
      <c r="C3174">
        <v>7</v>
      </c>
      <c r="D3174" s="2">
        <v>2</v>
      </c>
      <c r="E3174" s="2">
        <v>2</v>
      </c>
      <c r="F3174" s="2" t="s">
        <v>5</v>
      </c>
      <c r="G3174" s="2">
        <v>840.79999999993095</v>
      </c>
      <c r="H3174" s="2" t="s">
        <v>16</v>
      </c>
      <c r="I3174" s="2">
        <v>212421.000000006</v>
      </c>
      <c r="J3174" s="2">
        <v>3000</v>
      </c>
      <c r="K3174" s="2">
        <v>200</v>
      </c>
      <c r="L3174" s="2">
        <v>0</v>
      </c>
      <c r="M3174" s="2">
        <v>851070.01</v>
      </c>
      <c r="N3174">
        <f t="shared" si="66"/>
        <v>1064331.8100000059</v>
      </c>
      <c r="O3174" s="2" t="s">
        <v>5</v>
      </c>
    </row>
    <row r="3175" spans="1:15" x14ac:dyDescent="0.2">
      <c r="A3175">
        <v>72</v>
      </c>
      <c r="B3175">
        <v>6</v>
      </c>
      <c r="C3175">
        <v>7</v>
      </c>
      <c r="D3175" s="2">
        <v>2</v>
      </c>
      <c r="E3175" s="2">
        <v>2</v>
      </c>
      <c r="F3175" s="2" t="s">
        <v>5</v>
      </c>
      <c r="G3175" s="2">
        <v>686.80000000043196</v>
      </c>
      <c r="H3175" s="2" t="s">
        <v>16</v>
      </c>
      <c r="I3175" s="2">
        <v>262078.00000000201</v>
      </c>
      <c r="J3175" s="2">
        <v>3000</v>
      </c>
      <c r="K3175" s="2">
        <v>200</v>
      </c>
      <c r="L3175" s="2">
        <v>0</v>
      </c>
      <c r="M3175" s="2">
        <v>909268.01</v>
      </c>
      <c r="N3175">
        <f t="shared" si="66"/>
        <v>1172032.8100000024</v>
      </c>
      <c r="O3175" s="2" t="s">
        <v>4</v>
      </c>
    </row>
    <row r="3176" spans="1:15" x14ac:dyDescent="0.2">
      <c r="A3176">
        <v>73</v>
      </c>
      <c r="B3176">
        <v>6</v>
      </c>
      <c r="C3176">
        <v>7</v>
      </c>
      <c r="D3176" s="2">
        <v>3</v>
      </c>
      <c r="E3176" s="2">
        <v>2</v>
      </c>
      <c r="F3176" s="2" t="s">
        <v>5</v>
      </c>
      <c r="G3176" s="2">
        <v>696.99999999990303</v>
      </c>
      <c r="H3176" s="2" t="s">
        <v>16</v>
      </c>
      <c r="I3176" s="2">
        <v>220828.999999981</v>
      </c>
      <c r="J3176" s="2">
        <v>3000</v>
      </c>
      <c r="K3176" s="2">
        <v>200</v>
      </c>
      <c r="L3176" s="2">
        <v>0</v>
      </c>
      <c r="M3176" s="2">
        <v>812188.41</v>
      </c>
      <c r="N3176">
        <f t="shared" si="66"/>
        <v>1033714.4099999809</v>
      </c>
      <c r="O3176" s="2" t="s">
        <v>4</v>
      </c>
    </row>
    <row r="3177" spans="1:15" x14ac:dyDescent="0.2">
      <c r="A3177">
        <v>74</v>
      </c>
      <c r="B3177">
        <v>6</v>
      </c>
      <c r="C3177">
        <v>9</v>
      </c>
      <c r="D3177" s="2">
        <v>3</v>
      </c>
      <c r="E3177" s="2">
        <v>2</v>
      </c>
      <c r="F3177" s="2" t="s">
        <v>5</v>
      </c>
      <c r="G3177" s="2">
        <v>767.00000000009504</v>
      </c>
      <c r="H3177" s="2" t="s">
        <v>16</v>
      </c>
      <c r="I3177" s="2">
        <v>641922.99999999104</v>
      </c>
      <c r="J3177" s="2">
        <v>3000</v>
      </c>
      <c r="K3177" s="2">
        <v>200</v>
      </c>
      <c r="L3177" s="2">
        <v>0</v>
      </c>
      <c r="M3177" s="2">
        <v>889468.81</v>
      </c>
      <c r="N3177">
        <f t="shared" si="66"/>
        <v>1532158.8099999912</v>
      </c>
      <c r="O3177" s="2" t="s">
        <v>4</v>
      </c>
    </row>
    <row r="3178" spans="1:15" x14ac:dyDescent="0.2">
      <c r="A3178">
        <v>75</v>
      </c>
      <c r="B3178">
        <v>6</v>
      </c>
      <c r="C3178">
        <v>7</v>
      </c>
      <c r="D3178" s="2">
        <v>3</v>
      </c>
      <c r="E3178" s="2">
        <v>2</v>
      </c>
      <c r="F3178" s="2" t="s">
        <v>5</v>
      </c>
      <c r="G3178" s="2">
        <v>442.80000000007601</v>
      </c>
      <c r="H3178" s="2" t="s">
        <v>16</v>
      </c>
      <c r="I3178" s="2">
        <v>188826.000000006</v>
      </c>
      <c r="J3178" s="2">
        <v>3000</v>
      </c>
      <c r="K3178" s="2">
        <v>200</v>
      </c>
      <c r="L3178" s="2">
        <v>0</v>
      </c>
      <c r="M3178" s="2">
        <v>892229.21</v>
      </c>
      <c r="N3178">
        <f t="shared" si="66"/>
        <v>1081498.0100000061</v>
      </c>
      <c r="O3178" s="2" t="s">
        <v>5</v>
      </c>
    </row>
    <row r="3179" spans="1:15" x14ac:dyDescent="0.2">
      <c r="A3179">
        <v>76</v>
      </c>
      <c r="B3179">
        <v>6</v>
      </c>
      <c r="C3179">
        <v>8</v>
      </c>
      <c r="D3179" s="2">
        <v>3</v>
      </c>
      <c r="E3179" s="2">
        <v>2</v>
      </c>
      <c r="F3179" s="2" t="s">
        <v>5</v>
      </c>
      <c r="G3179" s="2">
        <v>657.20000000020195</v>
      </c>
      <c r="H3179" s="2" t="s">
        <v>16</v>
      </c>
      <c r="I3179" s="2">
        <v>207245</v>
      </c>
      <c r="J3179" s="2">
        <v>3000</v>
      </c>
      <c r="K3179" s="2">
        <v>200</v>
      </c>
      <c r="L3179" s="2">
        <v>0</v>
      </c>
      <c r="M3179" s="2">
        <v>819028.81</v>
      </c>
      <c r="N3179">
        <f t="shared" si="66"/>
        <v>1026931.0100000002</v>
      </c>
      <c r="O3179" s="2" t="s">
        <v>4</v>
      </c>
    </row>
    <row r="3180" spans="1:15" x14ac:dyDescent="0.2">
      <c r="A3180">
        <v>77</v>
      </c>
      <c r="B3180">
        <v>6</v>
      </c>
      <c r="C3180">
        <v>8</v>
      </c>
      <c r="D3180" s="2">
        <v>3</v>
      </c>
      <c r="E3180" s="2">
        <v>2</v>
      </c>
      <c r="F3180" s="2" t="s">
        <v>5</v>
      </c>
      <c r="G3180" s="2">
        <v>517.59999999951799</v>
      </c>
      <c r="H3180" s="2" t="s">
        <v>16</v>
      </c>
      <c r="I3180" s="2">
        <v>554278.99999997998</v>
      </c>
      <c r="J3180" s="2">
        <v>3000</v>
      </c>
      <c r="K3180" s="2">
        <v>200</v>
      </c>
      <c r="L3180" s="2">
        <v>0</v>
      </c>
      <c r="M3180" s="2">
        <v>810388.01</v>
      </c>
      <c r="N3180">
        <f t="shared" si="66"/>
        <v>1365184.6099999794</v>
      </c>
      <c r="O3180" s="2" t="s">
        <v>4</v>
      </c>
    </row>
    <row r="3181" spans="1:15" x14ac:dyDescent="0.2">
      <c r="A3181">
        <v>78</v>
      </c>
      <c r="B3181">
        <v>6</v>
      </c>
      <c r="C3181">
        <v>8</v>
      </c>
      <c r="D3181" s="2">
        <v>3</v>
      </c>
      <c r="E3181" s="2">
        <v>2</v>
      </c>
      <c r="F3181" s="2" t="s">
        <v>5</v>
      </c>
      <c r="G3181" s="2">
        <v>411.19999999992302</v>
      </c>
      <c r="H3181" s="2" t="s">
        <v>16</v>
      </c>
      <c r="I3181" s="2">
        <v>251448.000000011</v>
      </c>
      <c r="J3181" s="2">
        <v>3000</v>
      </c>
      <c r="K3181" s="2">
        <v>200</v>
      </c>
      <c r="L3181" s="2">
        <v>0</v>
      </c>
      <c r="M3181" s="2">
        <v>892108.81</v>
      </c>
      <c r="N3181">
        <f t="shared" si="66"/>
        <v>1143968.010000011</v>
      </c>
      <c r="O3181" s="2" t="s">
        <v>4</v>
      </c>
    </row>
    <row r="3182" spans="1:15" x14ac:dyDescent="0.2">
      <c r="A3182">
        <v>79</v>
      </c>
      <c r="B3182">
        <v>6</v>
      </c>
      <c r="C3182">
        <v>8</v>
      </c>
      <c r="D3182" s="2">
        <v>3</v>
      </c>
      <c r="E3182" s="2">
        <v>2</v>
      </c>
      <c r="F3182" s="2" t="s">
        <v>5</v>
      </c>
      <c r="G3182" s="2">
        <v>394.20000000021099</v>
      </c>
      <c r="H3182" s="2" t="s">
        <v>16</v>
      </c>
      <c r="I3182" s="2">
        <v>178140.00000001301</v>
      </c>
      <c r="J3182" s="2">
        <v>3000</v>
      </c>
      <c r="K3182" s="2">
        <v>200</v>
      </c>
      <c r="L3182" s="2">
        <v>0</v>
      </c>
      <c r="M3182" s="2">
        <v>870988.01</v>
      </c>
      <c r="N3182">
        <f t="shared" si="66"/>
        <v>1049522.2100000132</v>
      </c>
      <c r="O3182" s="2" t="s">
        <v>4</v>
      </c>
    </row>
    <row r="3183" spans="1:15" x14ac:dyDescent="0.2">
      <c r="A3183">
        <v>80</v>
      </c>
      <c r="B3183">
        <v>6</v>
      </c>
      <c r="C3183">
        <v>7</v>
      </c>
      <c r="D3183" s="2">
        <v>3</v>
      </c>
      <c r="E3183" s="2">
        <v>2</v>
      </c>
      <c r="F3183" s="2" t="s">
        <v>5</v>
      </c>
      <c r="G3183" s="2">
        <v>306.60000000004601</v>
      </c>
      <c r="H3183" s="2" t="s">
        <v>16</v>
      </c>
      <c r="I3183" s="2">
        <v>148730</v>
      </c>
      <c r="J3183" s="2">
        <v>3000</v>
      </c>
      <c r="K3183" s="2">
        <v>200</v>
      </c>
      <c r="L3183" s="2">
        <v>0</v>
      </c>
      <c r="M3183" s="2">
        <v>898708.01</v>
      </c>
      <c r="N3183">
        <f t="shared" si="66"/>
        <v>1047744.6100000001</v>
      </c>
      <c r="O3183" s="2" t="s">
        <v>4</v>
      </c>
    </row>
    <row r="3184" spans="1:15" x14ac:dyDescent="0.2">
      <c r="A3184">
        <v>81</v>
      </c>
      <c r="B3184">
        <v>6</v>
      </c>
      <c r="C3184">
        <v>8</v>
      </c>
      <c r="D3184" s="2">
        <v>3</v>
      </c>
      <c r="E3184" s="2">
        <v>2</v>
      </c>
      <c r="F3184" s="2" t="s">
        <v>5</v>
      </c>
      <c r="G3184" s="2">
        <v>372.600000000389</v>
      </c>
      <c r="H3184" s="2" t="s">
        <v>16</v>
      </c>
      <c r="I3184" s="2">
        <v>307187.99999999598</v>
      </c>
      <c r="J3184" s="2">
        <v>3000</v>
      </c>
      <c r="K3184" s="2">
        <v>200</v>
      </c>
      <c r="L3184" s="2">
        <v>0</v>
      </c>
      <c r="M3184" s="2">
        <v>812188.41</v>
      </c>
      <c r="N3184">
        <f t="shared" si="66"/>
        <v>1119749.0099999965</v>
      </c>
      <c r="O3184" s="2" t="s">
        <v>4</v>
      </c>
    </row>
    <row r="3185" spans="1:15" x14ac:dyDescent="0.2">
      <c r="A3185">
        <v>82</v>
      </c>
      <c r="B3185">
        <v>6</v>
      </c>
      <c r="C3185">
        <v>8</v>
      </c>
      <c r="D3185" s="2">
        <v>2</v>
      </c>
      <c r="E3185" s="2">
        <v>2</v>
      </c>
      <c r="F3185" s="2" t="s">
        <v>5</v>
      </c>
      <c r="G3185" s="2">
        <v>377.99999999990098</v>
      </c>
      <c r="H3185" s="2" t="s">
        <v>16</v>
      </c>
      <c r="I3185" s="2">
        <v>516832.99999999098</v>
      </c>
      <c r="J3185" s="2">
        <v>3000</v>
      </c>
      <c r="K3185" s="2">
        <v>200</v>
      </c>
      <c r="L3185" s="2">
        <v>0</v>
      </c>
      <c r="M3185" s="2">
        <v>899787.61</v>
      </c>
      <c r="N3185">
        <f t="shared" si="66"/>
        <v>1416998.6099999908</v>
      </c>
      <c r="O3185" s="2" t="s">
        <v>4</v>
      </c>
    </row>
    <row r="3186" spans="1:15" x14ac:dyDescent="0.2">
      <c r="A3186">
        <v>83</v>
      </c>
      <c r="B3186">
        <v>6</v>
      </c>
      <c r="C3186">
        <v>9</v>
      </c>
      <c r="D3186" s="2">
        <v>2</v>
      </c>
      <c r="E3186" s="2">
        <v>2</v>
      </c>
      <c r="F3186" s="2" t="s">
        <v>5</v>
      </c>
      <c r="G3186" s="2">
        <v>451.20000000018501</v>
      </c>
      <c r="H3186" s="2" t="s">
        <v>16</v>
      </c>
      <c r="I3186" s="2">
        <v>413190.00000001403</v>
      </c>
      <c r="J3186" s="2">
        <v>3000</v>
      </c>
      <c r="K3186" s="2">
        <v>200</v>
      </c>
      <c r="L3186" s="2">
        <v>0</v>
      </c>
      <c r="M3186" s="2">
        <v>814828.01</v>
      </c>
      <c r="N3186">
        <f t="shared" si="66"/>
        <v>1228469.2100000142</v>
      </c>
      <c r="O3186" s="2" t="s">
        <v>4</v>
      </c>
    </row>
    <row r="3187" spans="1:15" x14ac:dyDescent="0.2">
      <c r="A3187">
        <v>84</v>
      </c>
      <c r="B3187">
        <v>6</v>
      </c>
      <c r="C3187">
        <v>10</v>
      </c>
      <c r="D3187" s="2">
        <v>2</v>
      </c>
      <c r="E3187" s="2">
        <v>2</v>
      </c>
      <c r="F3187" s="2" t="s">
        <v>5</v>
      </c>
      <c r="G3187" s="2">
        <v>503.80000000060897</v>
      </c>
      <c r="H3187" s="2" t="s">
        <v>16</v>
      </c>
      <c r="I3187" s="2">
        <v>474711.999999983</v>
      </c>
      <c r="J3187" s="2">
        <v>3000</v>
      </c>
      <c r="K3187" s="2">
        <v>200</v>
      </c>
      <c r="L3187" s="2">
        <v>0</v>
      </c>
      <c r="M3187" s="2">
        <v>915028.01</v>
      </c>
      <c r="N3187">
        <f t="shared" si="66"/>
        <v>1390243.8099999838</v>
      </c>
      <c r="O3187" s="2" t="s">
        <v>4</v>
      </c>
    </row>
    <row r="3188" spans="1:15" x14ac:dyDescent="0.2">
      <c r="A3188">
        <v>85</v>
      </c>
      <c r="B3188">
        <v>6</v>
      </c>
      <c r="C3188">
        <v>8</v>
      </c>
      <c r="D3188" s="2">
        <v>2</v>
      </c>
      <c r="E3188" s="2">
        <v>2</v>
      </c>
      <c r="F3188" s="2" t="s">
        <v>5</v>
      </c>
      <c r="G3188" s="2">
        <v>348.000000000326</v>
      </c>
      <c r="H3188" s="2" t="s">
        <v>16</v>
      </c>
      <c r="I3188" s="2">
        <v>608902.00000000105</v>
      </c>
      <c r="J3188" s="2">
        <v>3000</v>
      </c>
      <c r="K3188" s="2">
        <v>200</v>
      </c>
      <c r="L3188" s="2">
        <v>0</v>
      </c>
      <c r="M3188" s="2">
        <v>903508.41</v>
      </c>
      <c r="N3188">
        <f t="shared" si="66"/>
        <v>1512758.4100000015</v>
      </c>
      <c r="O3188" s="2" t="s">
        <v>4</v>
      </c>
    </row>
    <row r="3189" spans="1:15" x14ac:dyDescent="0.2">
      <c r="A3189">
        <v>86</v>
      </c>
      <c r="B3189">
        <v>6</v>
      </c>
      <c r="C3189">
        <v>10</v>
      </c>
      <c r="D3189" s="2">
        <v>3</v>
      </c>
      <c r="E3189" s="2">
        <v>2</v>
      </c>
      <c r="F3189" s="2" t="s">
        <v>5</v>
      </c>
      <c r="G3189" s="2">
        <v>468.00000000004599</v>
      </c>
      <c r="H3189" s="2" t="s">
        <v>16</v>
      </c>
      <c r="I3189" s="2">
        <v>645299.00000002305</v>
      </c>
      <c r="J3189" s="2">
        <v>3000</v>
      </c>
      <c r="K3189" s="2">
        <v>200</v>
      </c>
      <c r="L3189" s="2">
        <v>0</v>
      </c>
      <c r="M3189" s="2">
        <v>833667.21</v>
      </c>
      <c r="N3189">
        <f t="shared" si="66"/>
        <v>1479434.210000023</v>
      </c>
      <c r="O3189" s="2" t="s">
        <v>4</v>
      </c>
    </row>
    <row r="3190" spans="1:15" x14ac:dyDescent="0.2">
      <c r="A3190">
        <v>87</v>
      </c>
      <c r="B3190">
        <v>6</v>
      </c>
      <c r="C3190">
        <v>10</v>
      </c>
      <c r="D3190" s="2">
        <v>2</v>
      </c>
      <c r="E3190" s="2">
        <v>2</v>
      </c>
      <c r="F3190" s="2" t="s">
        <v>5</v>
      </c>
      <c r="G3190" s="2">
        <v>451.39999999968001</v>
      </c>
      <c r="H3190" s="2" t="s">
        <v>16</v>
      </c>
      <c r="I3190" s="2">
        <v>401485.00000000797</v>
      </c>
      <c r="J3190" s="2">
        <v>3000</v>
      </c>
      <c r="K3190" s="2">
        <v>200</v>
      </c>
      <c r="L3190" s="2">
        <v>0</v>
      </c>
      <c r="M3190" s="2">
        <v>915747.21</v>
      </c>
      <c r="N3190">
        <f t="shared" si="66"/>
        <v>1317683.6100000076</v>
      </c>
      <c r="O3190" s="2" t="s">
        <v>4</v>
      </c>
    </row>
    <row r="3191" spans="1:15" x14ac:dyDescent="0.2">
      <c r="A3191">
        <v>88</v>
      </c>
      <c r="B3191">
        <v>6</v>
      </c>
      <c r="C3191">
        <v>10</v>
      </c>
      <c r="D3191" s="2">
        <v>3</v>
      </c>
      <c r="E3191" s="2">
        <v>2</v>
      </c>
      <c r="F3191" s="2" t="s">
        <v>5</v>
      </c>
      <c r="G3191" s="2">
        <v>490.20000000048498</v>
      </c>
      <c r="H3191" s="2" t="s">
        <v>16</v>
      </c>
      <c r="I3191" s="2">
        <v>672093.99999998696</v>
      </c>
      <c r="J3191" s="2">
        <v>3000</v>
      </c>
      <c r="K3191" s="2">
        <v>200</v>
      </c>
      <c r="L3191" s="2">
        <v>0</v>
      </c>
      <c r="M3191" s="2">
        <v>817828.41</v>
      </c>
      <c r="N3191">
        <f t="shared" si="66"/>
        <v>1490412.6099999875</v>
      </c>
      <c r="O3191" s="2" t="s">
        <v>4</v>
      </c>
    </row>
    <row r="3192" spans="1:15" x14ac:dyDescent="0.2">
      <c r="A3192">
        <v>89</v>
      </c>
      <c r="B3192">
        <v>6</v>
      </c>
      <c r="C3192">
        <v>7</v>
      </c>
      <c r="D3192" s="2">
        <v>3</v>
      </c>
      <c r="E3192" s="2">
        <v>2</v>
      </c>
      <c r="F3192" s="2" t="s">
        <v>5</v>
      </c>
      <c r="G3192" s="2">
        <v>266.39999999993302</v>
      </c>
      <c r="H3192" s="2" t="s">
        <v>16</v>
      </c>
      <c r="I3192" s="2">
        <v>186243.000000019</v>
      </c>
      <c r="J3192" s="2">
        <v>3000</v>
      </c>
      <c r="K3192" s="2">
        <v>200</v>
      </c>
      <c r="L3192" s="2">
        <v>0</v>
      </c>
      <c r="M3192" s="2">
        <v>803908.41</v>
      </c>
      <c r="N3192">
        <f t="shared" si="66"/>
        <v>990417.81000001892</v>
      </c>
      <c r="O3192" s="2" t="s">
        <v>4</v>
      </c>
    </row>
    <row r="3193" spans="1:15" x14ac:dyDescent="0.2">
      <c r="A3193">
        <v>90</v>
      </c>
      <c r="B3193">
        <v>6</v>
      </c>
      <c r="C3193">
        <v>8</v>
      </c>
      <c r="D3193" s="2">
        <v>2</v>
      </c>
      <c r="E3193" s="2">
        <v>2</v>
      </c>
      <c r="F3193" s="2" t="s">
        <v>5</v>
      </c>
      <c r="G3193" s="2">
        <v>335.79999999986399</v>
      </c>
      <c r="H3193" s="2" t="s">
        <v>16</v>
      </c>
      <c r="I3193" s="2">
        <v>399008.00000000902</v>
      </c>
      <c r="J3193" s="2">
        <v>3000</v>
      </c>
      <c r="K3193" s="2">
        <v>200</v>
      </c>
      <c r="L3193" s="2">
        <v>0</v>
      </c>
      <c r="M3193" s="2">
        <v>892468.81</v>
      </c>
      <c r="N3193">
        <f t="shared" si="66"/>
        <v>1291812.610000009</v>
      </c>
      <c r="O3193" s="2" t="s">
        <v>4</v>
      </c>
    </row>
    <row r="3194" spans="1:15" x14ac:dyDescent="0.2">
      <c r="A3194">
        <v>91</v>
      </c>
      <c r="B3194">
        <v>6</v>
      </c>
      <c r="C3194">
        <v>8</v>
      </c>
      <c r="D3194" s="2">
        <v>3</v>
      </c>
      <c r="E3194" s="2">
        <v>2</v>
      </c>
      <c r="F3194" s="2" t="s">
        <v>5</v>
      </c>
      <c r="G3194" s="2">
        <v>335.59999999930301</v>
      </c>
      <c r="H3194" s="2" t="s">
        <v>16</v>
      </c>
      <c r="I3194" s="2">
        <v>151079.00000001001</v>
      </c>
      <c r="J3194" s="2">
        <v>3000</v>
      </c>
      <c r="K3194" s="2">
        <v>200</v>
      </c>
      <c r="L3194" s="2">
        <v>0</v>
      </c>
      <c r="M3194" s="2">
        <v>805947.21</v>
      </c>
      <c r="N3194">
        <f t="shared" si="66"/>
        <v>957361.81000000925</v>
      </c>
      <c r="O3194" s="2" t="s">
        <v>4</v>
      </c>
    </row>
    <row r="3195" spans="1:15" x14ac:dyDescent="0.2">
      <c r="A3195">
        <v>92</v>
      </c>
      <c r="B3195">
        <v>6</v>
      </c>
      <c r="C3195">
        <v>8</v>
      </c>
      <c r="D3195" s="2">
        <v>3</v>
      </c>
      <c r="E3195" s="2">
        <v>2</v>
      </c>
      <c r="F3195" s="2" t="s">
        <v>5</v>
      </c>
      <c r="G3195" s="2">
        <v>306.40000000019501</v>
      </c>
      <c r="H3195" s="2" t="s">
        <v>16</v>
      </c>
      <c r="I3195" s="2">
        <v>288912.000000011</v>
      </c>
      <c r="J3195" s="2">
        <v>3000</v>
      </c>
      <c r="K3195" s="2">
        <v>200</v>
      </c>
      <c r="L3195" s="2">
        <v>0</v>
      </c>
      <c r="M3195" s="2">
        <v>907947.61</v>
      </c>
      <c r="N3195">
        <f t="shared" si="66"/>
        <v>1197166.0100000112</v>
      </c>
      <c r="O3195" s="2" t="s">
        <v>4</v>
      </c>
    </row>
    <row r="3196" spans="1:15" x14ac:dyDescent="0.2">
      <c r="A3196">
        <v>93</v>
      </c>
      <c r="B3196">
        <v>6</v>
      </c>
      <c r="C3196">
        <v>11</v>
      </c>
      <c r="D3196" s="2">
        <v>3</v>
      </c>
      <c r="E3196" s="2">
        <v>2</v>
      </c>
      <c r="F3196" s="2" t="s">
        <v>5</v>
      </c>
      <c r="G3196" s="2">
        <v>515.79999999979998</v>
      </c>
      <c r="H3196" s="2" t="s">
        <v>16</v>
      </c>
      <c r="I3196" s="2">
        <v>1416861.00000001</v>
      </c>
      <c r="J3196" s="2">
        <v>3000</v>
      </c>
      <c r="K3196" s="2">
        <v>200</v>
      </c>
      <c r="L3196" s="2">
        <v>0</v>
      </c>
      <c r="M3196" s="2">
        <v>856468.41</v>
      </c>
      <c r="N3196">
        <f t="shared" si="66"/>
        <v>2273845.2100000097</v>
      </c>
      <c r="O3196" s="2" t="s">
        <v>4</v>
      </c>
    </row>
    <row r="3197" spans="1:15" x14ac:dyDescent="0.2">
      <c r="A3197">
        <v>94</v>
      </c>
      <c r="B3197">
        <v>6</v>
      </c>
      <c r="C3197">
        <v>10</v>
      </c>
      <c r="D3197" s="2">
        <v>2</v>
      </c>
      <c r="E3197" s="2">
        <v>2</v>
      </c>
      <c r="F3197" s="2" t="s">
        <v>5</v>
      </c>
      <c r="G3197" s="2">
        <v>446.600000000075</v>
      </c>
      <c r="H3197" s="2" t="s">
        <v>16</v>
      </c>
      <c r="I3197" s="2">
        <v>711301.00000002002</v>
      </c>
      <c r="J3197" s="2">
        <v>3000</v>
      </c>
      <c r="K3197" s="2">
        <v>200</v>
      </c>
      <c r="L3197" s="2">
        <v>0</v>
      </c>
      <c r="M3197" s="2">
        <v>816027.61</v>
      </c>
      <c r="N3197">
        <f t="shared" si="66"/>
        <v>1527775.21000002</v>
      </c>
      <c r="O3197" s="2" t="s">
        <v>4</v>
      </c>
    </row>
    <row r="3198" spans="1:15" x14ac:dyDescent="0.2">
      <c r="A3198">
        <v>95</v>
      </c>
      <c r="B3198">
        <v>6</v>
      </c>
      <c r="C3198">
        <v>12</v>
      </c>
      <c r="D3198" s="2">
        <v>2</v>
      </c>
      <c r="E3198" s="2">
        <v>2</v>
      </c>
      <c r="F3198" s="2" t="s">
        <v>5</v>
      </c>
      <c r="G3198" s="2">
        <v>605.60000000045</v>
      </c>
      <c r="H3198" s="2" t="s">
        <v>16</v>
      </c>
      <c r="I3198" s="2">
        <v>1174435.99999999</v>
      </c>
      <c r="J3198" s="2">
        <v>3000</v>
      </c>
      <c r="K3198" s="2">
        <v>200</v>
      </c>
      <c r="L3198" s="2">
        <v>0</v>
      </c>
      <c r="M3198" s="2">
        <v>918509.21</v>
      </c>
      <c r="N3198">
        <f t="shared" si="66"/>
        <v>2093550.8099999905</v>
      </c>
      <c r="O3198" s="2" t="s">
        <v>4</v>
      </c>
    </row>
    <row r="3199" spans="1:15" x14ac:dyDescent="0.2">
      <c r="A3199">
        <v>96</v>
      </c>
      <c r="B3199">
        <v>6</v>
      </c>
      <c r="C3199">
        <v>8</v>
      </c>
      <c r="D3199" s="2">
        <v>3</v>
      </c>
      <c r="E3199" s="2">
        <v>2</v>
      </c>
      <c r="F3199" s="2" t="s">
        <v>5</v>
      </c>
      <c r="G3199" s="2">
        <v>301.39999999967398</v>
      </c>
      <c r="H3199" s="2" t="s">
        <v>16</v>
      </c>
      <c r="I3199" s="2">
        <v>267707.00000000099</v>
      </c>
      <c r="J3199" s="2">
        <v>3000</v>
      </c>
      <c r="K3199" s="2">
        <v>200</v>
      </c>
      <c r="L3199" s="2">
        <v>0</v>
      </c>
      <c r="M3199" s="2">
        <v>899188.01</v>
      </c>
      <c r="N3199">
        <f t="shared" si="66"/>
        <v>1167196.4100000006</v>
      </c>
      <c r="O3199" s="2" t="s">
        <v>4</v>
      </c>
    </row>
    <row r="3200" spans="1:15" x14ac:dyDescent="0.2">
      <c r="A3200">
        <v>97</v>
      </c>
      <c r="B3200">
        <v>6</v>
      </c>
      <c r="C3200">
        <v>9</v>
      </c>
      <c r="D3200" s="2">
        <v>3</v>
      </c>
      <c r="E3200" s="2">
        <v>2</v>
      </c>
      <c r="F3200" s="2" t="s">
        <v>5</v>
      </c>
      <c r="G3200" s="2">
        <v>374.59999999995802</v>
      </c>
      <c r="H3200" s="2" t="s">
        <v>16</v>
      </c>
      <c r="I3200" s="2">
        <v>460260.00000000501</v>
      </c>
      <c r="J3200" s="2">
        <v>3000</v>
      </c>
      <c r="K3200" s="2">
        <v>200</v>
      </c>
      <c r="L3200" s="2">
        <v>0</v>
      </c>
      <c r="M3200" s="2">
        <v>804507.21</v>
      </c>
      <c r="N3200">
        <f t="shared" si="66"/>
        <v>1265141.8100000049</v>
      </c>
      <c r="O3200" s="2" t="s">
        <v>4</v>
      </c>
    </row>
    <row r="3201" spans="1:15" x14ac:dyDescent="0.2">
      <c r="A3201">
        <v>98</v>
      </c>
      <c r="B3201">
        <v>6</v>
      </c>
      <c r="C3201">
        <v>10</v>
      </c>
      <c r="D3201" s="2">
        <v>3</v>
      </c>
      <c r="E3201" s="2">
        <v>2</v>
      </c>
      <c r="F3201" s="2" t="s">
        <v>5</v>
      </c>
      <c r="G3201" s="2">
        <v>496.19999999990199</v>
      </c>
      <c r="H3201" s="2" t="s">
        <v>16</v>
      </c>
      <c r="I3201" s="2">
        <v>385244</v>
      </c>
      <c r="J3201" s="2">
        <v>3000</v>
      </c>
      <c r="K3201" s="2">
        <v>200</v>
      </c>
      <c r="L3201" s="2">
        <v>0</v>
      </c>
      <c r="M3201" s="2">
        <v>890906.81</v>
      </c>
      <c r="N3201">
        <f t="shared" si="66"/>
        <v>1276647.01</v>
      </c>
      <c r="O3201" s="2" t="s">
        <v>4</v>
      </c>
    </row>
    <row r="3202" spans="1:15" x14ac:dyDescent="0.2">
      <c r="A3202">
        <v>99</v>
      </c>
      <c r="B3202">
        <v>6</v>
      </c>
      <c r="C3202">
        <v>11</v>
      </c>
      <c r="D3202" s="2">
        <v>2</v>
      </c>
      <c r="E3202" s="2">
        <v>2</v>
      </c>
      <c r="F3202" s="2" t="s">
        <v>5</v>
      </c>
      <c r="G3202" s="2">
        <v>500.59999999980698</v>
      </c>
      <c r="H3202" s="2" t="s">
        <v>16</v>
      </c>
      <c r="I3202" s="2">
        <v>2095169</v>
      </c>
      <c r="J3202" s="2">
        <v>3000</v>
      </c>
      <c r="K3202" s="2">
        <v>200</v>
      </c>
      <c r="L3202" s="2">
        <v>0</v>
      </c>
      <c r="M3202" s="2">
        <v>816028.81</v>
      </c>
      <c r="N3202">
        <f t="shared" si="66"/>
        <v>2911698.41</v>
      </c>
      <c r="O3202" s="2" t="s">
        <v>4</v>
      </c>
    </row>
    <row r="3203" spans="1:15" x14ac:dyDescent="0.2">
      <c r="A3203">
        <v>70</v>
      </c>
      <c r="B3203">
        <v>6</v>
      </c>
      <c r="C3203">
        <v>6</v>
      </c>
      <c r="D3203" s="2">
        <v>3</v>
      </c>
      <c r="E3203" s="2">
        <v>2</v>
      </c>
      <c r="F3203" s="2" t="s">
        <v>5</v>
      </c>
      <c r="G3203" s="2">
        <v>916.60000000004504</v>
      </c>
      <c r="H3203" s="2" t="s">
        <v>20</v>
      </c>
      <c r="I3203" s="2">
        <v>0</v>
      </c>
      <c r="J3203" s="2">
        <v>0</v>
      </c>
      <c r="K3203" s="2">
        <v>0</v>
      </c>
      <c r="L3203" s="2">
        <v>3000000</v>
      </c>
      <c r="M3203" s="2">
        <v>75027</v>
      </c>
      <c r="N3203">
        <f>L3203+G3203</f>
        <v>3000916.6</v>
      </c>
      <c r="O3203" s="9" t="s">
        <v>5</v>
      </c>
    </row>
    <row r="3204" spans="1:15" x14ac:dyDescent="0.2">
      <c r="A3204">
        <v>71</v>
      </c>
      <c r="B3204">
        <v>6</v>
      </c>
      <c r="C3204">
        <v>7</v>
      </c>
      <c r="D3204" s="2">
        <v>2</v>
      </c>
      <c r="E3204" s="2">
        <v>2</v>
      </c>
      <c r="F3204" s="2" t="s">
        <v>5</v>
      </c>
      <c r="G3204" s="2">
        <v>840.79999999993095</v>
      </c>
      <c r="H3204" s="2" t="s">
        <v>20</v>
      </c>
      <c r="I3204" s="2">
        <v>0</v>
      </c>
      <c r="J3204" s="2">
        <v>0</v>
      </c>
      <c r="K3204" s="2">
        <v>0</v>
      </c>
      <c r="L3204" s="2">
        <v>3000000</v>
      </c>
      <c r="M3204" s="2">
        <v>38612</v>
      </c>
      <c r="N3204">
        <f t="shared" ref="N3204:N3262" si="67">L3204+G3204</f>
        <v>3000840.8</v>
      </c>
      <c r="O3204" s="9" t="s">
        <v>5</v>
      </c>
    </row>
    <row r="3205" spans="1:15" x14ac:dyDescent="0.2">
      <c r="A3205">
        <v>72</v>
      </c>
      <c r="B3205">
        <v>6</v>
      </c>
      <c r="C3205">
        <v>7</v>
      </c>
      <c r="D3205" s="2">
        <v>2</v>
      </c>
      <c r="E3205" s="2">
        <v>2</v>
      </c>
      <c r="F3205" s="2" t="s">
        <v>5</v>
      </c>
      <c r="G3205" s="2">
        <v>686.80000000043196</v>
      </c>
      <c r="H3205" s="2" t="s">
        <v>20</v>
      </c>
      <c r="I3205" s="2">
        <v>0</v>
      </c>
      <c r="J3205" s="2">
        <v>0</v>
      </c>
      <c r="K3205" s="2">
        <v>0</v>
      </c>
      <c r="L3205" s="2">
        <v>3000000</v>
      </c>
      <c r="M3205" s="2">
        <v>19307</v>
      </c>
      <c r="N3205">
        <f t="shared" si="67"/>
        <v>3000686.8000000003</v>
      </c>
      <c r="O3205" s="9" t="s">
        <v>5</v>
      </c>
    </row>
    <row r="3206" spans="1:15" x14ac:dyDescent="0.2">
      <c r="A3206">
        <v>73</v>
      </c>
      <c r="B3206">
        <v>6</v>
      </c>
      <c r="C3206">
        <v>7</v>
      </c>
      <c r="D3206" s="2">
        <v>3</v>
      </c>
      <c r="E3206" s="2">
        <v>2</v>
      </c>
      <c r="F3206" s="2" t="s">
        <v>5</v>
      </c>
      <c r="G3206" s="2">
        <v>696.99999999990303</v>
      </c>
      <c r="H3206" s="2" t="s">
        <v>20</v>
      </c>
      <c r="I3206" s="2">
        <v>0</v>
      </c>
      <c r="J3206" s="2">
        <v>0</v>
      </c>
      <c r="K3206" s="2">
        <v>0</v>
      </c>
      <c r="L3206" s="2">
        <v>3000000</v>
      </c>
      <c r="M3206" s="2">
        <v>96364</v>
      </c>
      <c r="N3206">
        <f t="shared" si="67"/>
        <v>3000697</v>
      </c>
      <c r="O3206" s="9" t="s">
        <v>5</v>
      </c>
    </row>
    <row r="3207" spans="1:15" x14ac:dyDescent="0.2">
      <c r="A3207">
        <v>74</v>
      </c>
      <c r="B3207">
        <v>6</v>
      </c>
      <c r="C3207">
        <v>9</v>
      </c>
      <c r="D3207" s="2">
        <v>3</v>
      </c>
      <c r="E3207" s="2">
        <v>2</v>
      </c>
      <c r="F3207" s="2" t="s">
        <v>5</v>
      </c>
      <c r="G3207" s="2">
        <v>767.00000000009504</v>
      </c>
      <c r="H3207" s="2" t="s">
        <v>20</v>
      </c>
      <c r="I3207" s="2">
        <v>0</v>
      </c>
      <c r="J3207" s="2">
        <v>0</v>
      </c>
      <c r="K3207" s="2">
        <v>0</v>
      </c>
      <c r="L3207" s="2">
        <v>3000000</v>
      </c>
      <c r="M3207" s="2">
        <v>104895</v>
      </c>
      <c r="N3207">
        <f t="shared" si="67"/>
        <v>3000767</v>
      </c>
      <c r="O3207" s="9" t="s">
        <v>5</v>
      </c>
    </row>
    <row r="3208" spans="1:15" x14ac:dyDescent="0.2">
      <c r="A3208">
        <v>75</v>
      </c>
      <c r="B3208">
        <v>6</v>
      </c>
      <c r="C3208">
        <v>7</v>
      </c>
      <c r="D3208" s="2">
        <v>3</v>
      </c>
      <c r="E3208" s="2">
        <v>2</v>
      </c>
      <c r="F3208" s="2" t="s">
        <v>5</v>
      </c>
      <c r="G3208" s="2">
        <v>442.80000000007601</v>
      </c>
      <c r="H3208" s="2" t="s">
        <v>20</v>
      </c>
      <c r="I3208" s="2">
        <v>0</v>
      </c>
      <c r="J3208" s="2">
        <v>0</v>
      </c>
      <c r="K3208" s="2">
        <v>0</v>
      </c>
      <c r="L3208" s="2">
        <v>3000000</v>
      </c>
      <c r="M3208" s="2">
        <v>59920</v>
      </c>
      <c r="N3208">
        <f t="shared" si="67"/>
        <v>3000442.8000000003</v>
      </c>
      <c r="O3208" s="9" t="s">
        <v>5</v>
      </c>
    </row>
    <row r="3209" spans="1:15" x14ac:dyDescent="0.2">
      <c r="A3209">
        <v>76</v>
      </c>
      <c r="B3209">
        <v>6</v>
      </c>
      <c r="C3209">
        <v>8</v>
      </c>
      <c r="D3209" s="2">
        <v>3</v>
      </c>
      <c r="E3209" s="2">
        <v>2</v>
      </c>
      <c r="F3209" s="2" t="s">
        <v>5</v>
      </c>
      <c r="G3209" s="2">
        <v>657.20000000020195</v>
      </c>
      <c r="H3209" s="2" t="s">
        <v>20</v>
      </c>
      <c r="I3209" s="2">
        <v>0</v>
      </c>
      <c r="J3209" s="2">
        <v>0</v>
      </c>
      <c r="K3209" s="2">
        <v>0</v>
      </c>
      <c r="L3209" s="2">
        <v>3000000</v>
      </c>
      <c r="M3209" s="2">
        <v>109735</v>
      </c>
      <c r="N3209">
        <f t="shared" si="67"/>
        <v>3000657.2</v>
      </c>
      <c r="O3209" s="9" t="s">
        <v>5</v>
      </c>
    </row>
    <row r="3210" spans="1:15" x14ac:dyDescent="0.2">
      <c r="A3210">
        <v>77</v>
      </c>
      <c r="B3210">
        <v>6</v>
      </c>
      <c r="C3210">
        <v>8</v>
      </c>
      <c r="D3210" s="2">
        <v>3</v>
      </c>
      <c r="E3210" s="2">
        <v>2</v>
      </c>
      <c r="F3210" s="2" t="s">
        <v>5</v>
      </c>
      <c r="G3210" s="2">
        <v>517.59999999951799</v>
      </c>
      <c r="H3210" s="2" t="s">
        <v>20</v>
      </c>
      <c r="I3210" s="2">
        <v>0</v>
      </c>
      <c r="J3210" s="2">
        <v>0</v>
      </c>
      <c r="K3210" s="2">
        <v>0</v>
      </c>
      <c r="L3210" s="2">
        <v>3000000</v>
      </c>
      <c r="M3210" s="2">
        <v>179030</v>
      </c>
      <c r="N3210">
        <f t="shared" si="67"/>
        <v>3000517.5999999996</v>
      </c>
      <c r="O3210" s="9" t="s">
        <v>5</v>
      </c>
    </row>
    <row r="3211" spans="1:15" x14ac:dyDescent="0.2">
      <c r="A3211">
        <v>78</v>
      </c>
      <c r="B3211">
        <v>6</v>
      </c>
      <c r="C3211">
        <v>8</v>
      </c>
      <c r="D3211" s="2">
        <v>3</v>
      </c>
      <c r="E3211" s="2">
        <v>2</v>
      </c>
      <c r="F3211" s="2" t="s">
        <v>5</v>
      </c>
      <c r="G3211" s="2">
        <v>411.19999999992302</v>
      </c>
      <c r="H3211" s="2" t="s">
        <v>20</v>
      </c>
      <c r="I3211" s="2">
        <v>0</v>
      </c>
      <c r="J3211" s="2">
        <v>0</v>
      </c>
      <c r="K3211" s="2">
        <v>0</v>
      </c>
      <c r="L3211" s="2">
        <v>3000000</v>
      </c>
      <c r="M3211" s="2">
        <v>109704</v>
      </c>
      <c r="N3211">
        <f t="shared" si="67"/>
        <v>3000411.1999999997</v>
      </c>
      <c r="O3211" s="9" t="s">
        <v>5</v>
      </c>
    </row>
    <row r="3212" spans="1:15" x14ac:dyDescent="0.2">
      <c r="A3212">
        <v>79</v>
      </c>
      <c r="B3212">
        <v>6</v>
      </c>
      <c r="C3212">
        <v>8</v>
      </c>
      <c r="D3212" s="2">
        <v>3</v>
      </c>
      <c r="E3212" s="2">
        <v>2</v>
      </c>
      <c r="F3212" s="2" t="s">
        <v>5</v>
      </c>
      <c r="G3212" s="2">
        <v>394.20000000021099</v>
      </c>
      <c r="H3212" s="2" t="s">
        <v>20</v>
      </c>
      <c r="I3212" s="2">
        <v>0</v>
      </c>
      <c r="J3212" s="2">
        <v>0</v>
      </c>
      <c r="K3212" s="2">
        <v>0</v>
      </c>
      <c r="L3212" s="2">
        <v>3000000</v>
      </c>
      <c r="M3212" s="2">
        <v>121170</v>
      </c>
      <c r="N3212">
        <f t="shared" si="67"/>
        <v>3000394.2</v>
      </c>
      <c r="O3212" s="9" t="s">
        <v>5</v>
      </c>
    </row>
    <row r="3213" spans="1:15" x14ac:dyDescent="0.2">
      <c r="A3213">
        <v>80</v>
      </c>
      <c r="B3213">
        <v>6</v>
      </c>
      <c r="C3213">
        <v>7</v>
      </c>
      <c r="D3213" s="2">
        <v>3</v>
      </c>
      <c r="E3213" s="2">
        <v>2</v>
      </c>
      <c r="F3213" s="2" t="s">
        <v>5</v>
      </c>
      <c r="G3213" s="2">
        <v>306.60000000004601</v>
      </c>
      <c r="H3213" s="2" t="s">
        <v>20</v>
      </c>
      <c r="I3213" s="2">
        <v>0</v>
      </c>
      <c r="J3213" s="2">
        <v>0</v>
      </c>
      <c r="K3213" s="2">
        <v>0</v>
      </c>
      <c r="L3213" s="2">
        <v>3000000</v>
      </c>
      <c r="M3213" s="2">
        <v>96532</v>
      </c>
      <c r="N3213">
        <f t="shared" si="67"/>
        <v>3000306.6</v>
      </c>
      <c r="O3213" s="9" t="s">
        <v>5</v>
      </c>
    </row>
    <row r="3214" spans="1:15" x14ac:dyDescent="0.2">
      <c r="A3214">
        <v>81</v>
      </c>
      <c r="B3214">
        <v>6</v>
      </c>
      <c r="C3214">
        <v>8</v>
      </c>
      <c r="D3214" s="2">
        <v>3</v>
      </c>
      <c r="E3214" s="2">
        <v>2</v>
      </c>
      <c r="F3214" s="2" t="s">
        <v>5</v>
      </c>
      <c r="G3214" s="2">
        <v>372.600000000389</v>
      </c>
      <c r="H3214" s="2" t="s">
        <v>20</v>
      </c>
      <c r="I3214" s="2">
        <v>0</v>
      </c>
      <c r="J3214" s="2">
        <v>0</v>
      </c>
      <c r="K3214" s="2">
        <v>0</v>
      </c>
      <c r="L3214" s="2">
        <v>3000000</v>
      </c>
      <c r="M3214" s="2">
        <v>153119</v>
      </c>
      <c r="N3214">
        <f t="shared" si="67"/>
        <v>3000372.6000000006</v>
      </c>
      <c r="O3214" s="9" t="s">
        <v>5</v>
      </c>
    </row>
    <row r="3215" spans="1:15" x14ac:dyDescent="0.2">
      <c r="A3215">
        <v>82</v>
      </c>
      <c r="B3215">
        <v>6</v>
      </c>
      <c r="C3215">
        <v>8</v>
      </c>
      <c r="D3215" s="2">
        <v>2</v>
      </c>
      <c r="E3215" s="2">
        <v>2</v>
      </c>
      <c r="F3215" s="2" t="s">
        <v>5</v>
      </c>
      <c r="G3215" s="2">
        <v>377.99999999990098</v>
      </c>
      <c r="H3215" s="2" t="s">
        <v>20</v>
      </c>
      <c r="I3215" s="2">
        <v>0</v>
      </c>
      <c r="J3215" s="2">
        <v>0</v>
      </c>
      <c r="K3215" s="2">
        <v>0</v>
      </c>
      <c r="L3215" s="2">
        <v>3000000</v>
      </c>
      <c r="M3215" s="2">
        <v>169035</v>
      </c>
      <c r="N3215">
        <f t="shared" si="67"/>
        <v>3000378</v>
      </c>
      <c r="O3215" s="9" t="s">
        <v>5</v>
      </c>
    </row>
    <row r="3216" spans="1:15" x14ac:dyDescent="0.2">
      <c r="A3216">
        <v>83</v>
      </c>
      <c r="B3216">
        <v>6</v>
      </c>
      <c r="C3216">
        <v>9</v>
      </c>
      <c r="D3216" s="2">
        <v>2</v>
      </c>
      <c r="E3216" s="2">
        <v>2</v>
      </c>
      <c r="F3216" s="2" t="s">
        <v>5</v>
      </c>
      <c r="G3216" s="2">
        <v>451.20000000018501</v>
      </c>
      <c r="H3216" s="2" t="s">
        <v>20</v>
      </c>
      <c r="I3216" s="2">
        <v>0</v>
      </c>
      <c r="J3216" s="2">
        <v>0</v>
      </c>
      <c r="K3216" s="2">
        <v>0</v>
      </c>
      <c r="L3216" s="2">
        <v>3000000</v>
      </c>
      <c r="M3216" s="2">
        <v>111957</v>
      </c>
      <c r="N3216">
        <f t="shared" si="67"/>
        <v>3000451.2</v>
      </c>
      <c r="O3216" s="9" t="s">
        <v>5</v>
      </c>
    </row>
    <row r="3217" spans="1:15" x14ac:dyDescent="0.2">
      <c r="A3217">
        <v>84</v>
      </c>
      <c r="B3217">
        <v>6</v>
      </c>
      <c r="C3217">
        <v>10</v>
      </c>
      <c r="D3217" s="2">
        <v>2</v>
      </c>
      <c r="E3217" s="2">
        <v>2</v>
      </c>
      <c r="F3217" s="2" t="s">
        <v>5</v>
      </c>
      <c r="G3217" s="2">
        <v>503.80000000060897</v>
      </c>
      <c r="H3217" s="2" t="s">
        <v>20</v>
      </c>
      <c r="I3217" s="2">
        <v>0</v>
      </c>
      <c r="J3217" s="2">
        <v>0</v>
      </c>
      <c r="K3217" s="2">
        <v>0</v>
      </c>
      <c r="L3217" s="2">
        <v>3000000</v>
      </c>
      <c r="M3217" s="2">
        <v>141677</v>
      </c>
      <c r="N3217">
        <f t="shared" si="67"/>
        <v>3000503.8000000007</v>
      </c>
      <c r="O3217" s="9" t="s">
        <v>5</v>
      </c>
    </row>
    <row r="3218" spans="1:15" x14ac:dyDescent="0.2">
      <c r="A3218">
        <v>85</v>
      </c>
      <c r="B3218">
        <v>6</v>
      </c>
      <c r="C3218">
        <v>8</v>
      </c>
      <c r="D3218" s="2">
        <v>2</v>
      </c>
      <c r="E3218" s="2">
        <v>2</v>
      </c>
      <c r="F3218" s="2" t="s">
        <v>5</v>
      </c>
      <c r="G3218" s="2">
        <v>348.000000000326</v>
      </c>
      <c r="H3218" s="2" t="s">
        <v>20</v>
      </c>
      <c r="I3218" s="2">
        <v>0</v>
      </c>
      <c r="J3218" s="2">
        <v>0</v>
      </c>
      <c r="K3218" s="2">
        <v>0</v>
      </c>
      <c r="L3218" s="2">
        <v>3000000</v>
      </c>
      <c r="M3218" s="2">
        <v>122630</v>
      </c>
      <c r="N3218">
        <f t="shared" si="67"/>
        <v>3000348.0000000005</v>
      </c>
      <c r="O3218" s="9" t="s">
        <v>5</v>
      </c>
    </row>
    <row r="3219" spans="1:15" x14ac:dyDescent="0.2">
      <c r="A3219">
        <v>86</v>
      </c>
      <c r="B3219">
        <v>6</v>
      </c>
      <c r="C3219">
        <v>10</v>
      </c>
      <c r="D3219" s="2">
        <v>3</v>
      </c>
      <c r="E3219" s="2">
        <v>2</v>
      </c>
      <c r="F3219" s="2" t="s">
        <v>5</v>
      </c>
      <c r="G3219" s="2">
        <v>468.00000000004599</v>
      </c>
      <c r="H3219" s="2" t="s">
        <v>20</v>
      </c>
      <c r="I3219" s="2">
        <v>0</v>
      </c>
      <c r="J3219" s="2">
        <v>0</v>
      </c>
      <c r="K3219" s="2">
        <v>0</v>
      </c>
      <c r="L3219" s="2">
        <v>3000000</v>
      </c>
      <c r="M3219" s="2">
        <v>0</v>
      </c>
      <c r="N3219">
        <f t="shared" si="67"/>
        <v>3000468</v>
      </c>
      <c r="O3219" s="9" t="s">
        <v>4</v>
      </c>
    </row>
    <row r="3220" spans="1:15" x14ac:dyDescent="0.2">
      <c r="A3220">
        <v>87</v>
      </c>
      <c r="B3220">
        <v>6</v>
      </c>
      <c r="C3220">
        <v>10</v>
      </c>
      <c r="D3220" s="2">
        <v>2</v>
      </c>
      <c r="E3220" s="2">
        <v>2</v>
      </c>
      <c r="F3220" s="2" t="s">
        <v>5</v>
      </c>
      <c r="G3220" s="2">
        <v>451.39999999968001</v>
      </c>
      <c r="H3220" s="2" t="s">
        <v>20</v>
      </c>
      <c r="I3220" s="2">
        <v>0</v>
      </c>
      <c r="J3220" s="2">
        <v>0</v>
      </c>
      <c r="K3220" s="2">
        <v>0</v>
      </c>
      <c r="L3220" s="2">
        <v>3000000</v>
      </c>
      <c r="M3220" s="2">
        <v>93782</v>
      </c>
      <c r="N3220">
        <f t="shared" si="67"/>
        <v>3000451.4</v>
      </c>
      <c r="O3220" s="9" t="s">
        <v>4</v>
      </c>
    </row>
    <row r="3221" spans="1:15" x14ac:dyDescent="0.2">
      <c r="A3221">
        <v>88</v>
      </c>
      <c r="B3221">
        <v>6</v>
      </c>
      <c r="C3221">
        <v>10</v>
      </c>
      <c r="D3221" s="2">
        <v>3</v>
      </c>
      <c r="E3221" s="2">
        <v>2</v>
      </c>
      <c r="F3221" s="2" t="s">
        <v>5</v>
      </c>
      <c r="G3221" s="2">
        <v>490.20000000048498</v>
      </c>
      <c r="H3221" s="2" t="s">
        <v>20</v>
      </c>
      <c r="I3221" s="2">
        <v>0</v>
      </c>
      <c r="J3221" s="2">
        <v>0</v>
      </c>
      <c r="K3221" s="2">
        <v>0</v>
      </c>
      <c r="L3221" s="2">
        <v>3000000</v>
      </c>
      <c r="M3221" s="2">
        <v>160947</v>
      </c>
      <c r="N3221">
        <f t="shared" si="67"/>
        <v>3000490.2000000007</v>
      </c>
      <c r="O3221" s="9" t="s">
        <v>5</v>
      </c>
    </row>
    <row r="3222" spans="1:15" x14ac:dyDescent="0.2">
      <c r="A3222">
        <v>89</v>
      </c>
      <c r="B3222">
        <v>6</v>
      </c>
      <c r="C3222">
        <v>7</v>
      </c>
      <c r="D3222" s="2">
        <v>3</v>
      </c>
      <c r="E3222" s="2">
        <v>2</v>
      </c>
      <c r="F3222" s="2" t="s">
        <v>5</v>
      </c>
      <c r="G3222" s="2">
        <v>266.39999999993302</v>
      </c>
      <c r="H3222" s="2" t="s">
        <v>20</v>
      </c>
      <c r="I3222" s="2">
        <v>0</v>
      </c>
      <c r="J3222" s="2">
        <v>0</v>
      </c>
      <c r="K3222" s="2">
        <v>0</v>
      </c>
      <c r="L3222" s="2">
        <v>3000000</v>
      </c>
      <c r="M3222" s="2">
        <v>135144</v>
      </c>
      <c r="N3222">
        <f t="shared" si="67"/>
        <v>3000266.4</v>
      </c>
      <c r="O3222" s="9" t="s">
        <v>5</v>
      </c>
    </row>
    <row r="3223" spans="1:15" x14ac:dyDescent="0.2">
      <c r="A3223">
        <v>90</v>
      </c>
      <c r="B3223">
        <v>6</v>
      </c>
      <c r="C3223">
        <v>8</v>
      </c>
      <c r="D3223" s="2">
        <v>2</v>
      </c>
      <c r="E3223" s="2">
        <v>2</v>
      </c>
      <c r="F3223" s="2" t="s">
        <v>5</v>
      </c>
      <c r="G3223" s="2">
        <v>335.79999999986399</v>
      </c>
      <c r="H3223" s="2" t="s">
        <v>20</v>
      </c>
      <c r="I3223" s="2">
        <v>0</v>
      </c>
      <c r="J3223" s="2">
        <v>0</v>
      </c>
      <c r="K3223" s="2">
        <v>0</v>
      </c>
      <c r="L3223" s="2">
        <v>3000000</v>
      </c>
      <c r="M3223" s="2">
        <v>106569</v>
      </c>
      <c r="N3223">
        <f t="shared" si="67"/>
        <v>3000335.8</v>
      </c>
      <c r="O3223" s="9" t="s">
        <v>5</v>
      </c>
    </row>
    <row r="3224" spans="1:15" x14ac:dyDescent="0.2">
      <c r="A3224">
        <v>91</v>
      </c>
      <c r="B3224">
        <v>6</v>
      </c>
      <c r="C3224">
        <v>8</v>
      </c>
      <c r="D3224" s="2">
        <v>3</v>
      </c>
      <c r="E3224" s="2">
        <v>2</v>
      </c>
      <c r="F3224" s="2" t="s">
        <v>5</v>
      </c>
      <c r="G3224" s="2">
        <v>335.59999999930301</v>
      </c>
      <c r="H3224" s="2" t="s">
        <v>20</v>
      </c>
      <c r="I3224" s="2">
        <v>0</v>
      </c>
      <c r="J3224" s="2">
        <v>0</v>
      </c>
      <c r="K3224" s="2">
        <v>0</v>
      </c>
      <c r="L3224" s="2">
        <v>3000000</v>
      </c>
      <c r="M3224" s="2">
        <v>80596</v>
      </c>
      <c r="N3224">
        <f t="shared" si="67"/>
        <v>3000335.5999999992</v>
      </c>
      <c r="O3224" s="9" t="s">
        <v>4</v>
      </c>
    </row>
    <row r="3225" spans="1:15" x14ac:dyDescent="0.2">
      <c r="A3225">
        <v>92</v>
      </c>
      <c r="B3225">
        <v>6</v>
      </c>
      <c r="C3225">
        <v>8</v>
      </c>
      <c r="D3225" s="2">
        <v>3</v>
      </c>
      <c r="E3225" s="2">
        <v>2</v>
      </c>
      <c r="F3225" s="2" t="s">
        <v>5</v>
      </c>
      <c r="G3225" s="2">
        <v>306.40000000019501</v>
      </c>
      <c r="H3225" s="2" t="s">
        <v>20</v>
      </c>
      <c r="I3225" s="2">
        <v>0</v>
      </c>
      <c r="J3225" s="2">
        <v>0</v>
      </c>
      <c r="K3225" s="2">
        <v>0</v>
      </c>
      <c r="L3225" s="2">
        <v>3000000</v>
      </c>
      <c r="M3225" s="2">
        <v>101995</v>
      </c>
      <c r="N3225">
        <f t="shared" si="67"/>
        <v>3000306.4000000004</v>
      </c>
      <c r="O3225" s="9" t="s">
        <v>5</v>
      </c>
    </row>
    <row r="3226" spans="1:15" x14ac:dyDescent="0.2">
      <c r="A3226">
        <v>93</v>
      </c>
      <c r="B3226">
        <v>6</v>
      </c>
      <c r="C3226">
        <v>11</v>
      </c>
      <c r="D3226" s="2">
        <v>3</v>
      </c>
      <c r="E3226" s="2">
        <v>2</v>
      </c>
      <c r="F3226" s="2" t="s">
        <v>5</v>
      </c>
      <c r="G3226" s="2">
        <v>515.79999999979998</v>
      </c>
      <c r="H3226" s="2" t="s">
        <v>20</v>
      </c>
      <c r="I3226" s="2">
        <v>0</v>
      </c>
      <c r="J3226" s="2">
        <v>0</v>
      </c>
      <c r="K3226" s="2">
        <v>0</v>
      </c>
      <c r="L3226" s="2">
        <v>3000000</v>
      </c>
      <c r="M3226" s="2">
        <v>147780</v>
      </c>
      <c r="N3226">
        <f t="shared" si="67"/>
        <v>3000515.8</v>
      </c>
      <c r="O3226" s="9" t="s">
        <v>4</v>
      </c>
    </row>
    <row r="3227" spans="1:15" x14ac:dyDescent="0.2">
      <c r="A3227">
        <v>94</v>
      </c>
      <c r="B3227">
        <v>6</v>
      </c>
      <c r="C3227">
        <v>10</v>
      </c>
      <c r="D3227" s="2">
        <v>2</v>
      </c>
      <c r="E3227" s="2">
        <v>2</v>
      </c>
      <c r="F3227" s="2" t="s">
        <v>5</v>
      </c>
      <c r="G3227" s="2">
        <v>446.600000000075</v>
      </c>
      <c r="H3227" s="2" t="s">
        <v>20</v>
      </c>
      <c r="I3227" s="2">
        <v>0</v>
      </c>
      <c r="J3227" s="2">
        <v>0</v>
      </c>
      <c r="K3227" s="2">
        <v>0</v>
      </c>
      <c r="L3227" s="2">
        <v>3000000</v>
      </c>
      <c r="M3227" s="2">
        <v>117396</v>
      </c>
      <c r="N3227">
        <f t="shared" si="67"/>
        <v>3000446.6</v>
      </c>
      <c r="O3227" s="9" t="s">
        <v>4</v>
      </c>
    </row>
    <row r="3228" spans="1:15" x14ac:dyDescent="0.2">
      <c r="A3228">
        <v>95</v>
      </c>
      <c r="B3228">
        <v>6</v>
      </c>
      <c r="C3228">
        <v>12</v>
      </c>
      <c r="D3228" s="2">
        <v>2</v>
      </c>
      <c r="E3228" s="2">
        <v>2</v>
      </c>
      <c r="F3228" s="2" t="s">
        <v>5</v>
      </c>
      <c r="G3228" s="2">
        <v>605.60000000045</v>
      </c>
      <c r="H3228" s="2" t="s">
        <v>20</v>
      </c>
      <c r="I3228" s="2">
        <v>0</v>
      </c>
      <c r="J3228" s="2">
        <v>0</v>
      </c>
      <c r="K3228" s="2">
        <v>0</v>
      </c>
      <c r="L3228" s="2">
        <v>3000000</v>
      </c>
      <c r="M3228" s="2">
        <v>122961</v>
      </c>
      <c r="N3228">
        <f t="shared" si="67"/>
        <v>3000605.6000000006</v>
      </c>
      <c r="O3228" s="9" t="s">
        <v>5</v>
      </c>
    </row>
    <row r="3229" spans="1:15" x14ac:dyDescent="0.2">
      <c r="A3229">
        <v>96</v>
      </c>
      <c r="B3229">
        <v>6</v>
      </c>
      <c r="C3229">
        <v>8</v>
      </c>
      <c r="D3229" s="2">
        <v>3</v>
      </c>
      <c r="E3229" s="2">
        <v>2</v>
      </c>
      <c r="F3229" s="2" t="s">
        <v>5</v>
      </c>
      <c r="G3229" s="2">
        <v>301.39999999967398</v>
      </c>
      <c r="H3229" s="2" t="s">
        <v>20</v>
      </c>
      <c r="I3229" s="2">
        <v>0</v>
      </c>
      <c r="J3229" s="2">
        <v>0</v>
      </c>
      <c r="K3229" s="2">
        <v>0</v>
      </c>
      <c r="L3229" s="2">
        <v>3000000</v>
      </c>
      <c r="M3229" s="2">
        <v>124917</v>
      </c>
      <c r="N3229">
        <f t="shared" si="67"/>
        <v>3000301.3999999994</v>
      </c>
      <c r="O3229" s="9" t="s">
        <v>5</v>
      </c>
    </row>
    <row r="3230" spans="1:15" x14ac:dyDescent="0.2">
      <c r="A3230">
        <v>97</v>
      </c>
      <c r="B3230">
        <v>6</v>
      </c>
      <c r="C3230">
        <v>9</v>
      </c>
      <c r="D3230" s="2">
        <v>3</v>
      </c>
      <c r="E3230" s="2">
        <v>2</v>
      </c>
      <c r="F3230" s="2" t="s">
        <v>5</v>
      </c>
      <c r="G3230" s="2">
        <v>374.59999999995802</v>
      </c>
      <c r="H3230" s="2" t="s">
        <v>20</v>
      </c>
      <c r="I3230" s="2">
        <v>0</v>
      </c>
      <c r="J3230" s="2">
        <v>0</v>
      </c>
      <c r="K3230" s="2">
        <v>0</v>
      </c>
      <c r="L3230" s="2">
        <v>3000000</v>
      </c>
      <c r="M3230" s="2">
        <v>110964</v>
      </c>
      <c r="N3230">
        <f t="shared" si="67"/>
        <v>3000374.6</v>
      </c>
      <c r="O3230" s="9" t="s">
        <v>5</v>
      </c>
    </row>
    <row r="3231" spans="1:15" x14ac:dyDescent="0.2">
      <c r="A3231">
        <v>98</v>
      </c>
      <c r="B3231">
        <v>6</v>
      </c>
      <c r="C3231">
        <v>10</v>
      </c>
      <c r="D3231" s="2">
        <v>3</v>
      </c>
      <c r="E3231" s="2">
        <v>2</v>
      </c>
      <c r="F3231" s="2" t="s">
        <v>5</v>
      </c>
      <c r="G3231" s="2">
        <v>496.19999999990199</v>
      </c>
      <c r="H3231" s="2" t="s">
        <v>20</v>
      </c>
      <c r="I3231" s="2">
        <v>0</v>
      </c>
      <c r="J3231" s="2">
        <v>0</v>
      </c>
      <c r="K3231" s="2">
        <v>0</v>
      </c>
      <c r="L3231" s="2">
        <v>3000000</v>
      </c>
      <c r="M3231" s="2">
        <v>118459</v>
      </c>
      <c r="N3231">
        <f t="shared" si="67"/>
        <v>3000496.1999999997</v>
      </c>
      <c r="O3231" s="9" t="s">
        <v>4</v>
      </c>
    </row>
    <row r="3232" spans="1:15" x14ac:dyDescent="0.2">
      <c r="A3232">
        <v>99</v>
      </c>
      <c r="B3232">
        <v>6</v>
      </c>
      <c r="C3232">
        <v>11</v>
      </c>
      <c r="D3232" s="2">
        <v>2</v>
      </c>
      <c r="E3232" s="2">
        <v>2</v>
      </c>
      <c r="F3232" s="2" t="s">
        <v>5</v>
      </c>
      <c r="G3232" s="2">
        <v>500.59999999980698</v>
      </c>
      <c r="H3232" s="2" t="s">
        <v>20</v>
      </c>
      <c r="I3232" s="2">
        <v>0</v>
      </c>
      <c r="J3232" s="2">
        <v>0</v>
      </c>
      <c r="K3232" s="2">
        <v>0</v>
      </c>
      <c r="L3232" s="2">
        <v>3000000</v>
      </c>
      <c r="M3232" s="2">
        <v>144018</v>
      </c>
      <c r="N3232">
        <f t="shared" si="67"/>
        <v>3000500.5999999996</v>
      </c>
      <c r="O3232" s="9" t="s">
        <v>5</v>
      </c>
    </row>
    <row r="3233" spans="1:15" x14ac:dyDescent="0.2">
      <c r="A3233">
        <v>100</v>
      </c>
      <c r="B3233">
        <v>6</v>
      </c>
      <c r="C3233">
        <v>5</v>
      </c>
      <c r="D3233" s="2">
        <v>3</v>
      </c>
      <c r="E3233" s="2">
        <v>2</v>
      </c>
      <c r="F3233" s="2" t="s">
        <v>4</v>
      </c>
      <c r="G3233" s="2">
        <v>1037.0000000001801</v>
      </c>
      <c r="H3233" s="2" t="s">
        <v>20</v>
      </c>
      <c r="I3233" s="2">
        <v>0</v>
      </c>
      <c r="J3233" s="2">
        <v>0</v>
      </c>
      <c r="K3233" s="2">
        <v>0</v>
      </c>
      <c r="L3233" s="2">
        <v>3000000</v>
      </c>
      <c r="M3233" s="2">
        <v>166524</v>
      </c>
      <c r="N3233">
        <f t="shared" si="67"/>
        <v>3001037</v>
      </c>
      <c r="O3233" s="9" t="s">
        <v>5</v>
      </c>
    </row>
    <row r="3234" spans="1:15" x14ac:dyDescent="0.2">
      <c r="A3234">
        <v>101</v>
      </c>
      <c r="B3234">
        <v>6</v>
      </c>
      <c r="C3234">
        <v>7</v>
      </c>
      <c r="D3234" s="2">
        <v>2</v>
      </c>
      <c r="E3234" s="2">
        <v>2</v>
      </c>
      <c r="F3234" s="2" t="s">
        <v>4</v>
      </c>
      <c r="G3234" s="2">
        <v>2033.9999999997401</v>
      </c>
      <c r="H3234" s="2" t="s">
        <v>20</v>
      </c>
      <c r="I3234" s="2">
        <v>0</v>
      </c>
      <c r="J3234" s="2">
        <v>0</v>
      </c>
      <c r="K3234" s="2">
        <v>0</v>
      </c>
      <c r="L3234" s="2">
        <v>3000000</v>
      </c>
      <c r="M3234" s="2">
        <v>151862</v>
      </c>
      <c r="N3234">
        <f t="shared" si="67"/>
        <v>3002033.9999999995</v>
      </c>
      <c r="O3234" s="9" t="s">
        <v>5</v>
      </c>
    </row>
    <row r="3235" spans="1:15" x14ac:dyDescent="0.2">
      <c r="A3235">
        <v>102</v>
      </c>
      <c r="B3235">
        <v>6</v>
      </c>
      <c r="C3235">
        <v>7</v>
      </c>
      <c r="D3235" s="2">
        <v>3</v>
      </c>
      <c r="E3235" s="2">
        <v>2</v>
      </c>
      <c r="F3235" s="2" t="s">
        <v>4</v>
      </c>
      <c r="G3235" s="2">
        <v>1446.80000000008</v>
      </c>
      <c r="H3235" s="2" t="s">
        <v>20</v>
      </c>
      <c r="I3235" s="2">
        <v>0</v>
      </c>
      <c r="J3235" s="2">
        <v>0</v>
      </c>
      <c r="K3235" s="2">
        <v>0</v>
      </c>
      <c r="L3235" s="2">
        <v>3000000</v>
      </c>
      <c r="M3235" s="2">
        <v>127257</v>
      </c>
      <c r="N3235">
        <f t="shared" si="67"/>
        <v>3001446.8000000003</v>
      </c>
      <c r="O3235" s="9" t="s">
        <v>5</v>
      </c>
    </row>
    <row r="3236" spans="1:15" x14ac:dyDescent="0.2">
      <c r="A3236">
        <v>103</v>
      </c>
      <c r="B3236">
        <v>6</v>
      </c>
      <c r="C3236">
        <v>7</v>
      </c>
      <c r="D3236" s="2">
        <v>3</v>
      </c>
      <c r="E3236" s="2">
        <v>2</v>
      </c>
      <c r="F3236" s="2" t="s">
        <v>4</v>
      </c>
      <c r="G3236" s="2">
        <v>1075.5999999993501</v>
      </c>
      <c r="H3236" s="2" t="s">
        <v>20</v>
      </c>
      <c r="I3236" s="2">
        <v>0</v>
      </c>
      <c r="J3236" s="2">
        <v>0</v>
      </c>
      <c r="K3236" s="2">
        <v>0</v>
      </c>
      <c r="L3236" s="2">
        <v>3000000</v>
      </c>
      <c r="M3236" s="2">
        <v>122522</v>
      </c>
      <c r="N3236">
        <f t="shared" si="67"/>
        <v>3001075.5999999992</v>
      </c>
      <c r="O3236" s="9" t="s">
        <v>5</v>
      </c>
    </row>
    <row r="3237" spans="1:15" x14ac:dyDescent="0.2">
      <c r="A3237">
        <v>104</v>
      </c>
      <c r="B3237">
        <v>6</v>
      </c>
      <c r="C3237">
        <v>6</v>
      </c>
      <c r="D3237" s="2">
        <v>3</v>
      </c>
      <c r="E3237" s="2">
        <v>2</v>
      </c>
      <c r="F3237" s="2" t="s">
        <v>4</v>
      </c>
      <c r="G3237" s="2">
        <v>726.99999999912302</v>
      </c>
      <c r="H3237" s="2" t="s">
        <v>20</v>
      </c>
      <c r="I3237" s="2">
        <v>0</v>
      </c>
      <c r="J3237" s="2">
        <v>0</v>
      </c>
      <c r="K3237" s="2">
        <v>0</v>
      </c>
      <c r="L3237" s="2">
        <v>3000000</v>
      </c>
      <c r="M3237" s="2">
        <v>119616</v>
      </c>
      <c r="N3237">
        <f t="shared" si="67"/>
        <v>3000726.9999999991</v>
      </c>
      <c r="O3237" s="9" t="s">
        <v>5</v>
      </c>
    </row>
    <row r="3238" spans="1:15" x14ac:dyDescent="0.2">
      <c r="A3238">
        <v>105</v>
      </c>
      <c r="B3238">
        <v>6</v>
      </c>
      <c r="C3238">
        <v>8</v>
      </c>
      <c r="D3238" s="2">
        <v>2</v>
      </c>
      <c r="E3238" s="2">
        <v>2</v>
      </c>
      <c r="F3238" s="2" t="s">
        <v>4</v>
      </c>
      <c r="G3238" s="2">
        <v>861.40000000014504</v>
      </c>
      <c r="H3238" s="2" t="s">
        <v>20</v>
      </c>
      <c r="I3238" s="2">
        <v>0</v>
      </c>
      <c r="J3238" s="2">
        <v>0</v>
      </c>
      <c r="K3238" s="2">
        <v>0</v>
      </c>
      <c r="L3238" s="2">
        <v>3000000</v>
      </c>
      <c r="M3238" s="2">
        <v>125368</v>
      </c>
      <c r="N3238">
        <f t="shared" si="67"/>
        <v>3000861.4000000004</v>
      </c>
      <c r="O3238" s="9" t="s">
        <v>5</v>
      </c>
    </row>
    <row r="3239" spans="1:15" x14ac:dyDescent="0.2">
      <c r="A3239">
        <v>106</v>
      </c>
      <c r="B3239">
        <v>6</v>
      </c>
      <c r="C3239">
        <v>8</v>
      </c>
      <c r="D3239" s="2">
        <v>3</v>
      </c>
      <c r="E3239" s="2">
        <v>2</v>
      </c>
      <c r="F3239" s="2" t="s">
        <v>4</v>
      </c>
      <c r="G3239" s="2">
        <v>839.59999999976299</v>
      </c>
      <c r="H3239" s="2" t="s">
        <v>20</v>
      </c>
      <c r="I3239" s="2">
        <v>0</v>
      </c>
      <c r="J3239" s="2">
        <v>0</v>
      </c>
      <c r="K3239" s="2">
        <v>0</v>
      </c>
      <c r="L3239" s="2">
        <v>3000000</v>
      </c>
      <c r="M3239" s="2">
        <v>100499</v>
      </c>
      <c r="N3239">
        <f t="shared" si="67"/>
        <v>3000839.5999999996</v>
      </c>
      <c r="O3239" s="9" t="s">
        <v>5</v>
      </c>
    </row>
    <row r="3240" spans="1:15" x14ac:dyDescent="0.2">
      <c r="A3240">
        <v>107</v>
      </c>
      <c r="B3240">
        <v>6</v>
      </c>
      <c r="C3240">
        <v>8</v>
      </c>
      <c r="D3240" s="2">
        <v>3</v>
      </c>
      <c r="E3240" s="2">
        <v>2</v>
      </c>
      <c r="F3240" s="2" t="s">
        <v>4</v>
      </c>
      <c r="G3240" s="2">
        <v>828.60000000053503</v>
      </c>
      <c r="H3240" s="2" t="s">
        <v>20</v>
      </c>
      <c r="I3240" s="2">
        <v>0</v>
      </c>
      <c r="J3240" s="2">
        <v>0</v>
      </c>
      <c r="K3240" s="2">
        <v>0</v>
      </c>
      <c r="L3240" s="2">
        <v>3000000</v>
      </c>
      <c r="M3240" s="2">
        <v>49987</v>
      </c>
      <c r="N3240">
        <f t="shared" si="67"/>
        <v>3000828.6000000006</v>
      </c>
      <c r="O3240" s="9" t="s">
        <v>5</v>
      </c>
    </row>
    <row r="3241" spans="1:15" x14ac:dyDescent="0.2">
      <c r="A3241">
        <v>108</v>
      </c>
      <c r="B3241">
        <v>6</v>
      </c>
      <c r="C3241">
        <v>9</v>
      </c>
      <c r="D3241" s="2">
        <v>2</v>
      </c>
      <c r="E3241" s="2">
        <v>2</v>
      </c>
      <c r="F3241" s="2" t="s">
        <v>4</v>
      </c>
      <c r="G3241" s="2">
        <v>849.39999999988902</v>
      </c>
      <c r="H3241" s="2" t="s">
        <v>20</v>
      </c>
      <c r="I3241" s="2">
        <v>0</v>
      </c>
      <c r="J3241" s="2">
        <v>0</v>
      </c>
      <c r="K3241" s="2">
        <v>0</v>
      </c>
      <c r="L3241" s="2">
        <v>3000000</v>
      </c>
      <c r="M3241" s="2">
        <v>132526</v>
      </c>
      <c r="N3241">
        <f t="shared" si="67"/>
        <v>3000849.4</v>
      </c>
      <c r="O3241" s="9" t="s">
        <v>5</v>
      </c>
    </row>
    <row r="3242" spans="1:15" x14ac:dyDescent="0.2">
      <c r="A3242">
        <v>109</v>
      </c>
      <c r="B3242">
        <v>6</v>
      </c>
      <c r="C3242">
        <v>8</v>
      </c>
      <c r="D3242" s="2">
        <v>3</v>
      </c>
      <c r="E3242" s="2">
        <v>2</v>
      </c>
      <c r="F3242" s="2" t="s">
        <v>4</v>
      </c>
      <c r="G3242" s="2">
        <v>746.20000000038499</v>
      </c>
      <c r="H3242" s="2" t="s">
        <v>20</v>
      </c>
      <c r="I3242" s="2">
        <v>0</v>
      </c>
      <c r="J3242" s="2">
        <v>0</v>
      </c>
      <c r="K3242" s="2">
        <v>0</v>
      </c>
      <c r="L3242" s="2">
        <v>3000000</v>
      </c>
      <c r="M3242" s="2">
        <v>129322</v>
      </c>
      <c r="N3242">
        <f t="shared" si="67"/>
        <v>3000746.2</v>
      </c>
      <c r="O3242" s="9" t="s">
        <v>5</v>
      </c>
    </row>
    <row r="3243" spans="1:15" x14ac:dyDescent="0.2">
      <c r="A3243">
        <v>110</v>
      </c>
      <c r="B3243">
        <v>6</v>
      </c>
      <c r="C3243">
        <v>8</v>
      </c>
      <c r="D3243" s="2">
        <v>3</v>
      </c>
      <c r="E3243" s="2">
        <v>2</v>
      </c>
      <c r="F3243" s="2" t="s">
        <v>4</v>
      </c>
      <c r="G3243" s="2">
        <v>699.59999999937895</v>
      </c>
      <c r="H3243" s="2" t="s">
        <v>20</v>
      </c>
      <c r="I3243" s="2">
        <v>0</v>
      </c>
      <c r="J3243" s="2">
        <v>0</v>
      </c>
      <c r="K3243" s="2">
        <v>0</v>
      </c>
      <c r="L3243" s="2">
        <v>3000000</v>
      </c>
      <c r="M3243" s="2">
        <v>129418</v>
      </c>
      <c r="N3243">
        <f t="shared" si="67"/>
        <v>3000699.5999999992</v>
      </c>
      <c r="O3243" s="9" t="s">
        <v>5</v>
      </c>
    </row>
    <row r="3244" spans="1:15" x14ac:dyDescent="0.2">
      <c r="A3244">
        <v>111</v>
      </c>
      <c r="B3244">
        <v>6</v>
      </c>
      <c r="C3244">
        <v>9</v>
      </c>
      <c r="D3244" s="2">
        <v>2</v>
      </c>
      <c r="E3244" s="2">
        <v>2</v>
      </c>
      <c r="F3244" s="2" t="s">
        <v>4</v>
      </c>
      <c r="G3244" s="2">
        <v>765.40000000093801</v>
      </c>
      <c r="H3244" s="2" t="s">
        <v>20</v>
      </c>
      <c r="I3244" s="2">
        <v>0</v>
      </c>
      <c r="J3244" s="2">
        <v>0</v>
      </c>
      <c r="K3244" s="2">
        <v>0</v>
      </c>
      <c r="L3244" s="2">
        <v>3000000</v>
      </c>
      <c r="M3244" s="2">
        <v>158507</v>
      </c>
      <c r="N3244">
        <f t="shared" si="67"/>
        <v>3000765.4000000008</v>
      </c>
      <c r="O3244" s="9" t="s">
        <v>5</v>
      </c>
    </row>
    <row r="3245" spans="1:15" x14ac:dyDescent="0.2">
      <c r="A3245">
        <v>112</v>
      </c>
      <c r="B3245">
        <v>6</v>
      </c>
      <c r="C3245">
        <v>7</v>
      </c>
      <c r="D3245" s="2">
        <v>2</v>
      </c>
      <c r="E3245" s="2">
        <v>2</v>
      </c>
      <c r="F3245" s="2" t="s">
        <v>4</v>
      </c>
      <c r="G3245" s="2">
        <v>596.39999999987504</v>
      </c>
      <c r="H3245" s="2" t="s">
        <v>20</v>
      </c>
      <c r="I3245" s="2">
        <v>0</v>
      </c>
      <c r="J3245" s="2">
        <v>0</v>
      </c>
      <c r="K3245" s="2">
        <v>0</v>
      </c>
      <c r="L3245" s="2">
        <v>3000000</v>
      </c>
      <c r="M3245" s="2">
        <v>176112</v>
      </c>
      <c r="N3245">
        <f t="shared" si="67"/>
        <v>3000596.4</v>
      </c>
      <c r="O3245" s="9" t="s">
        <v>5</v>
      </c>
    </row>
    <row r="3246" spans="1:15" x14ac:dyDescent="0.2">
      <c r="A3246">
        <v>113</v>
      </c>
      <c r="B3246">
        <v>6</v>
      </c>
      <c r="C3246">
        <v>9</v>
      </c>
      <c r="D3246" s="2">
        <v>2</v>
      </c>
      <c r="E3246" s="2">
        <v>2</v>
      </c>
      <c r="F3246" s="2" t="s">
        <v>4</v>
      </c>
      <c r="G3246" s="2">
        <v>751.00000000034595</v>
      </c>
      <c r="H3246" s="2" t="s">
        <v>20</v>
      </c>
      <c r="I3246" s="2">
        <v>0</v>
      </c>
      <c r="J3246" s="2">
        <v>0</v>
      </c>
      <c r="K3246" s="2">
        <v>0</v>
      </c>
      <c r="L3246" s="2">
        <v>3000000</v>
      </c>
      <c r="M3246" s="2">
        <v>146758</v>
      </c>
      <c r="N3246">
        <f t="shared" si="67"/>
        <v>3000751.0000000005</v>
      </c>
      <c r="O3246" s="9" t="s">
        <v>5</v>
      </c>
    </row>
    <row r="3247" spans="1:15" x14ac:dyDescent="0.2">
      <c r="A3247">
        <v>114</v>
      </c>
      <c r="B3247">
        <v>6</v>
      </c>
      <c r="C3247">
        <v>9</v>
      </c>
      <c r="D3247" s="2">
        <v>3</v>
      </c>
      <c r="E3247" s="2">
        <v>2</v>
      </c>
      <c r="F3247" s="2" t="s">
        <v>4</v>
      </c>
      <c r="G3247" s="2">
        <v>740.59999999889203</v>
      </c>
      <c r="H3247" s="2" t="s">
        <v>20</v>
      </c>
      <c r="I3247" s="2">
        <v>0</v>
      </c>
      <c r="J3247" s="2">
        <v>0</v>
      </c>
      <c r="K3247" s="2">
        <v>0</v>
      </c>
      <c r="L3247" s="2">
        <v>3000000</v>
      </c>
      <c r="M3247" s="2">
        <v>188215</v>
      </c>
      <c r="N3247">
        <f t="shared" si="67"/>
        <v>3000740.5999999987</v>
      </c>
      <c r="O3247" s="9" t="s">
        <v>5</v>
      </c>
    </row>
    <row r="3248" spans="1:15" x14ac:dyDescent="0.2">
      <c r="A3248">
        <v>115</v>
      </c>
      <c r="B3248">
        <v>6</v>
      </c>
      <c r="C3248">
        <v>9</v>
      </c>
      <c r="D3248" s="2">
        <v>2</v>
      </c>
      <c r="E3248" s="2">
        <v>2</v>
      </c>
      <c r="F3248" s="2" t="s">
        <v>4</v>
      </c>
      <c r="G3248" s="2">
        <v>718.999999998715</v>
      </c>
      <c r="H3248" s="2" t="s">
        <v>20</v>
      </c>
      <c r="I3248" s="2">
        <v>0</v>
      </c>
      <c r="J3248" s="2">
        <v>0</v>
      </c>
      <c r="K3248" s="2">
        <v>0</v>
      </c>
      <c r="L3248" s="2">
        <v>3000000</v>
      </c>
      <c r="M3248" s="2">
        <v>82685</v>
      </c>
      <c r="N3248">
        <f t="shared" si="67"/>
        <v>3000718.9999999986</v>
      </c>
      <c r="O3248" s="9" t="s">
        <v>5</v>
      </c>
    </row>
    <row r="3249" spans="1:15" x14ac:dyDescent="0.2">
      <c r="A3249">
        <v>116</v>
      </c>
      <c r="B3249">
        <v>6</v>
      </c>
      <c r="C3249">
        <v>11</v>
      </c>
      <c r="D3249" s="2">
        <v>3</v>
      </c>
      <c r="E3249" s="2">
        <v>2</v>
      </c>
      <c r="F3249" s="2" t="s">
        <v>4</v>
      </c>
      <c r="G3249" s="2">
        <v>868.39999999952499</v>
      </c>
      <c r="H3249" s="2" t="s">
        <v>20</v>
      </c>
      <c r="I3249" s="2">
        <v>0</v>
      </c>
      <c r="J3249" s="2">
        <v>0</v>
      </c>
      <c r="K3249" s="2">
        <v>0</v>
      </c>
      <c r="L3249" s="2">
        <v>3000000</v>
      </c>
      <c r="M3249" s="2">
        <v>191534</v>
      </c>
      <c r="N3249">
        <f t="shared" si="67"/>
        <v>3000868.3999999994</v>
      </c>
      <c r="O3249" s="9" t="s">
        <v>5</v>
      </c>
    </row>
    <row r="3250" spans="1:15" x14ac:dyDescent="0.2">
      <c r="A3250">
        <v>117</v>
      </c>
      <c r="B3250">
        <v>6</v>
      </c>
      <c r="C3250">
        <v>12</v>
      </c>
      <c r="D3250" s="2">
        <v>3</v>
      </c>
      <c r="E3250" s="2">
        <v>2</v>
      </c>
      <c r="F3250" s="2" t="s">
        <v>4</v>
      </c>
      <c r="G3250" s="2">
        <v>999.2000000004</v>
      </c>
      <c r="H3250" s="2" t="s">
        <v>20</v>
      </c>
      <c r="I3250" s="2">
        <v>0</v>
      </c>
      <c r="J3250" s="2">
        <v>0</v>
      </c>
      <c r="K3250" s="2">
        <v>0</v>
      </c>
      <c r="L3250" s="2">
        <v>3000000</v>
      </c>
      <c r="M3250" s="2">
        <v>163894</v>
      </c>
      <c r="N3250">
        <f t="shared" si="67"/>
        <v>3000999.2</v>
      </c>
      <c r="O3250" s="9" t="s">
        <v>5</v>
      </c>
    </row>
    <row r="3251" spans="1:15" x14ac:dyDescent="0.2">
      <c r="A3251">
        <v>118</v>
      </c>
      <c r="B3251">
        <v>6</v>
      </c>
      <c r="C3251">
        <v>7</v>
      </c>
      <c r="D3251" s="2">
        <v>3</v>
      </c>
      <c r="E3251" s="2">
        <v>2</v>
      </c>
      <c r="F3251" s="2" t="s">
        <v>4</v>
      </c>
      <c r="G3251" s="2">
        <v>528.40000000102805</v>
      </c>
      <c r="H3251" s="2" t="s">
        <v>20</v>
      </c>
      <c r="I3251" s="2">
        <v>0</v>
      </c>
      <c r="J3251" s="2">
        <v>0</v>
      </c>
      <c r="K3251" s="2">
        <v>0</v>
      </c>
      <c r="L3251" s="2">
        <v>3000000</v>
      </c>
      <c r="M3251" s="2">
        <v>146637</v>
      </c>
      <c r="N3251">
        <f t="shared" si="67"/>
        <v>3000528.4000000008</v>
      </c>
      <c r="O3251" s="9" t="s">
        <v>5</v>
      </c>
    </row>
    <row r="3252" spans="1:15" x14ac:dyDescent="0.2">
      <c r="A3252">
        <v>119</v>
      </c>
      <c r="B3252">
        <v>6</v>
      </c>
      <c r="C3252">
        <v>8</v>
      </c>
      <c r="D3252" s="2">
        <v>2</v>
      </c>
      <c r="E3252" s="2">
        <v>2</v>
      </c>
      <c r="F3252" s="2" t="s">
        <v>4</v>
      </c>
      <c r="G3252" s="2">
        <v>583.60000000092805</v>
      </c>
      <c r="H3252" s="2" t="s">
        <v>20</v>
      </c>
      <c r="I3252" s="2">
        <v>0</v>
      </c>
      <c r="J3252" s="2">
        <v>0</v>
      </c>
      <c r="K3252" s="2">
        <v>0</v>
      </c>
      <c r="L3252" s="2">
        <v>3000000</v>
      </c>
      <c r="M3252" s="2">
        <v>155301</v>
      </c>
      <c r="N3252">
        <f t="shared" si="67"/>
        <v>3000583.600000001</v>
      </c>
      <c r="O3252" s="9" t="s">
        <v>5</v>
      </c>
    </row>
    <row r="3253" spans="1:15" x14ac:dyDescent="0.2">
      <c r="A3253">
        <v>120</v>
      </c>
      <c r="B3253">
        <v>6</v>
      </c>
      <c r="C3253">
        <v>9</v>
      </c>
      <c r="D3253" s="2">
        <v>3</v>
      </c>
      <c r="E3253" s="2">
        <v>2</v>
      </c>
      <c r="F3253" s="2" t="s">
        <v>4</v>
      </c>
      <c r="G3253" s="2">
        <v>640.39999999891995</v>
      </c>
      <c r="H3253" s="2" t="s">
        <v>20</v>
      </c>
      <c r="I3253" s="2">
        <v>0</v>
      </c>
      <c r="J3253" s="2">
        <v>0</v>
      </c>
      <c r="K3253" s="2">
        <v>0</v>
      </c>
      <c r="L3253" s="2">
        <v>3000000</v>
      </c>
      <c r="M3253" s="2">
        <v>199648</v>
      </c>
      <c r="N3253">
        <f t="shared" si="67"/>
        <v>3000640.399999999</v>
      </c>
      <c r="O3253" s="9" t="s">
        <v>5</v>
      </c>
    </row>
    <row r="3254" spans="1:15" x14ac:dyDescent="0.2">
      <c r="A3254">
        <v>121</v>
      </c>
      <c r="B3254">
        <v>6</v>
      </c>
      <c r="C3254">
        <v>10</v>
      </c>
      <c r="D3254" s="2">
        <v>3</v>
      </c>
      <c r="E3254" s="2">
        <v>2</v>
      </c>
      <c r="F3254" s="2" t="s">
        <v>4</v>
      </c>
      <c r="G3254" s="2">
        <v>718.20000000073503</v>
      </c>
      <c r="H3254" s="2" t="s">
        <v>20</v>
      </c>
      <c r="I3254" s="2">
        <v>0</v>
      </c>
      <c r="J3254" s="2">
        <v>0</v>
      </c>
      <c r="K3254" s="2">
        <v>0</v>
      </c>
      <c r="L3254" s="2">
        <v>3000000</v>
      </c>
      <c r="M3254" s="2">
        <v>31088</v>
      </c>
      <c r="N3254">
        <f t="shared" si="67"/>
        <v>3000718.2000000007</v>
      </c>
      <c r="O3254" s="9" t="s">
        <v>5</v>
      </c>
    </row>
    <row r="3255" spans="1:15" x14ac:dyDescent="0.2">
      <c r="A3255">
        <v>122</v>
      </c>
      <c r="B3255">
        <v>6</v>
      </c>
      <c r="C3255">
        <v>10</v>
      </c>
      <c r="D3255" s="2">
        <v>3</v>
      </c>
      <c r="E3255" s="2">
        <v>2</v>
      </c>
      <c r="F3255" s="2" t="s">
        <v>4</v>
      </c>
      <c r="G3255" s="2">
        <v>749.19999999991705</v>
      </c>
      <c r="H3255" s="2" t="s">
        <v>20</v>
      </c>
      <c r="I3255" s="2">
        <v>0</v>
      </c>
      <c r="J3255" s="2">
        <v>0</v>
      </c>
      <c r="K3255" s="2">
        <v>0</v>
      </c>
      <c r="L3255" s="2">
        <v>3000000</v>
      </c>
      <c r="M3255" s="2">
        <v>125878</v>
      </c>
      <c r="N3255">
        <f t="shared" si="67"/>
        <v>3000749.1999999997</v>
      </c>
      <c r="O3255" s="9" t="s">
        <v>5</v>
      </c>
    </row>
    <row r="3256" spans="1:15" x14ac:dyDescent="0.2">
      <c r="A3256">
        <v>123</v>
      </c>
      <c r="B3256">
        <v>6</v>
      </c>
      <c r="C3256">
        <v>8</v>
      </c>
      <c r="D3256" s="2">
        <v>3</v>
      </c>
      <c r="E3256" s="2">
        <v>2</v>
      </c>
      <c r="F3256" s="2" t="s">
        <v>4</v>
      </c>
      <c r="G3256" s="2">
        <v>575.400000000315</v>
      </c>
      <c r="H3256" s="2" t="s">
        <v>20</v>
      </c>
      <c r="I3256" s="2">
        <v>0</v>
      </c>
      <c r="J3256" s="2">
        <v>0</v>
      </c>
      <c r="K3256" s="2">
        <v>0</v>
      </c>
      <c r="L3256" s="2">
        <v>3000000</v>
      </c>
      <c r="M3256" s="2">
        <v>129554</v>
      </c>
      <c r="N3256">
        <f t="shared" si="67"/>
        <v>3000575.4000000004</v>
      </c>
      <c r="O3256" s="9" t="s">
        <v>5</v>
      </c>
    </row>
    <row r="3257" spans="1:15" x14ac:dyDescent="0.2">
      <c r="A3257">
        <v>124</v>
      </c>
      <c r="B3257">
        <v>6</v>
      </c>
      <c r="C3257">
        <v>8</v>
      </c>
      <c r="D3257" s="2">
        <v>2</v>
      </c>
      <c r="E3257" s="2">
        <v>2</v>
      </c>
      <c r="F3257" s="2" t="s">
        <v>4</v>
      </c>
      <c r="G3257" s="2">
        <v>587.59999999935496</v>
      </c>
      <c r="H3257" s="2" t="s">
        <v>20</v>
      </c>
      <c r="I3257" s="2">
        <v>0</v>
      </c>
      <c r="J3257" s="2">
        <v>0</v>
      </c>
      <c r="K3257" s="2">
        <v>0</v>
      </c>
      <c r="L3257" s="2">
        <v>3000000</v>
      </c>
      <c r="M3257" s="2">
        <v>118870</v>
      </c>
      <c r="N3257">
        <f t="shared" si="67"/>
        <v>3000587.5999999992</v>
      </c>
      <c r="O3257" s="9" t="s">
        <v>5</v>
      </c>
    </row>
    <row r="3258" spans="1:15" x14ac:dyDescent="0.2">
      <c r="A3258">
        <v>125</v>
      </c>
      <c r="B3258">
        <v>6</v>
      </c>
      <c r="C3258">
        <v>10</v>
      </c>
      <c r="D3258" s="2">
        <v>3</v>
      </c>
      <c r="E3258" s="2">
        <v>2</v>
      </c>
      <c r="F3258" s="2" t="s">
        <v>4</v>
      </c>
      <c r="G3258" s="2">
        <v>737.20000000037101</v>
      </c>
      <c r="H3258" s="2" t="s">
        <v>20</v>
      </c>
      <c r="I3258" s="2">
        <v>0</v>
      </c>
      <c r="J3258" s="2">
        <v>0</v>
      </c>
      <c r="K3258" s="2">
        <v>0</v>
      </c>
      <c r="L3258" s="2">
        <v>3000000</v>
      </c>
      <c r="M3258" s="2">
        <v>114492</v>
      </c>
      <c r="N3258">
        <f t="shared" si="67"/>
        <v>3000737.2</v>
      </c>
      <c r="O3258" s="9" t="s">
        <v>5</v>
      </c>
    </row>
    <row r="3259" spans="1:15" x14ac:dyDescent="0.2">
      <c r="A3259">
        <v>126</v>
      </c>
      <c r="B3259">
        <v>6</v>
      </c>
      <c r="C3259">
        <v>11</v>
      </c>
      <c r="D3259" s="2">
        <v>3</v>
      </c>
      <c r="E3259" s="2">
        <v>2</v>
      </c>
      <c r="F3259" s="2" t="s">
        <v>4</v>
      </c>
      <c r="G3259" s="2">
        <v>821.60000000044397</v>
      </c>
      <c r="H3259" s="2" t="s">
        <v>20</v>
      </c>
      <c r="I3259" s="2">
        <v>0</v>
      </c>
      <c r="J3259" s="2">
        <v>0</v>
      </c>
      <c r="K3259" s="2">
        <v>0</v>
      </c>
      <c r="L3259" s="2">
        <v>3000000</v>
      </c>
      <c r="M3259" s="2">
        <v>129241</v>
      </c>
      <c r="N3259">
        <f t="shared" si="67"/>
        <v>3000821.6000000006</v>
      </c>
      <c r="O3259" s="9" t="s">
        <v>5</v>
      </c>
    </row>
    <row r="3260" spans="1:15" x14ac:dyDescent="0.2">
      <c r="A3260">
        <v>127</v>
      </c>
      <c r="B3260">
        <v>6</v>
      </c>
      <c r="C3260">
        <v>11</v>
      </c>
      <c r="D3260" s="2">
        <v>3</v>
      </c>
      <c r="E3260" s="2">
        <v>2</v>
      </c>
      <c r="F3260" s="2" t="s">
        <v>4</v>
      </c>
      <c r="G3260" s="2">
        <v>823.40000000087298</v>
      </c>
      <c r="H3260" s="2" t="s">
        <v>20</v>
      </c>
      <c r="I3260" s="2">
        <v>0</v>
      </c>
      <c r="J3260" s="2">
        <v>0</v>
      </c>
      <c r="K3260" s="2">
        <v>0</v>
      </c>
      <c r="L3260" s="2">
        <v>3000000</v>
      </c>
      <c r="M3260" s="2">
        <v>130301</v>
      </c>
      <c r="N3260">
        <f t="shared" si="67"/>
        <v>3000823.4000000008</v>
      </c>
      <c r="O3260" s="9" t="s">
        <v>5</v>
      </c>
    </row>
    <row r="3261" spans="1:15" x14ac:dyDescent="0.2">
      <c r="A3261">
        <v>128</v>
      </c>
      <c r="B3261">
        <v>6</v>
      </c>
      <c r="C3261">
        <v>11</v>
      </c>
      <c r="D3261" s="2">
        <v>3</v>
      </c>
      <c r="E3261" s="2">
        <v>2</v>
      </c>
      <c r="F3261" s="2" t="s">
        <v>4</v>
      </c>
      <c r="G3261" s="2">
        <v>829.99999999984198</v>
      </c>
      <c r="H3261" s="2" t="s">
        <v>20</v>
      </c>
      <c r="I3261" s="2">
        <v>0</v>
      </c>
      <c r="J3261" s="2">
        <v>0</v>
      </c>
      <c r="K3261" s="2">
        <v>0</v>
      </c>
      <c r="L3261" s="2">
        <v>3000000</v>
      </c>
      <c r="M3261" s="2">
        <v>131078</v>
      </c>
      <c r="N3261">
        <f t="shared" si="67"/>
        <v>3000830</v>
      </c>
      <c r="O3261" s="9" t="s">
        <v>5</v>
      </c>
    </row>
    <row r="3262" spans="1:15" x14ac:dyDescent="0.2">
      <c r="A3262">
        <v>129</v>
      </c>
      <c r="B3262">
        <v>6</v>
      </c>
      <c r="C3262">
        <v>12</v>
      </c>
      <c r="D3262" s="2">
        <v>3</v>
      </c>
      <c r="E3262" s="2">
        <v>2</v>
      </c>
      <c r="F3262" s="2" t="s">
        <v>4</v>
      </c>
      <c r="G3262" s="2">
        <v>916.99999999903503</v>
      </c>
      <c r="H3262" s="2" t="s">
        <v>20</v>
      </c>
      <c r="I3262" s="2">
        <v>0</v>
      </c>
      <c r="J3262" s="2">
        <v>0</v>
      </c>
      <c r="K3262" s="2">
        <v>0</v>
      </c>
      <c r="L3262" s="2">
        <v>3000000</v>
      </c>
      <c r="M3262" s="2">
        <v>133760</v>
      </c>
      <c r="N3262">
        <f t="shared" si="67"/>
        <v>3000916.9999999991</v>
      </c>
      <c r="O3262" s="9" t="s">
        <v>5</v>
      </c>
    </row>
    <row r="3263" spans="1:15" x14ac:dyDescent="0.2">
      <c r="A3263">
        <v>130</v>
      </c>
      <c r="B3263">
        <v>7</v>
      </c>
      <c r="C3263">
        <v>7</v>
      </c>
      <c r="D3263" s="2">
        <v>2</v>
      </c>
      <c r="E3263" s="2">
        <v>2</v>
      </c>
      <c r="F3263" s="2" t="s">
        <v>5</v>
      </c>
      <c r="G3263" s="2">
        <v>387.79999999931601</v>
      </c>
      <c r="H3263" s="2" t="s">
        <v>20</v>
      </c>
      <c r="I3263" s="2">
        <v>0</v>
      </c>
      <c r="J3263" s="2">
        <v>0</v>
      </c>
      <c r="K3263" s="2">
        <v>0</v>
      </c>
      <c r="L3263" s="2">
        <v>3000000</v>
      </c>
      <c r="M3263" s="2">
        <v>91783</v>
      </c>
      <c r="N3263">
        <f>L3263+G3263</f>
        <v>3000387.7999999993</v>
      </c>
      <c r="O3263" s="9" t="s">
        <v>4</v>
      </c>
    </row>
    <row r="3264" spans="1:15" x14ac:dyDescent="0.2">
      <c r="A3264">
        <v>131</v>
      </c>
      <c r="B3264">
        <v>7</v>
      </c>
      <c r="C3264">
        <v>6</v>
      </c>
      <c r="D3264" s="2">
        <v>2</v>
      </c>
      <c r="E3264" s="2">
        <v>2</v>
      </c>
      <c r="F3264" s="2" t="s">
        <v>5</v>
      </c>
      <c r="G3264" s="2">
        <v>274.80000000039701</v>
      </c>
      <c r="H3264" s="2" t="s">
        <v>20</v>
      </c>
      <c r="I3264" s="2">
        <v>0</v>
      </c>
      <c r="J3264" s="2">
        <v>0</v>
      </c>
      <c r="K3264" s="2">
        <v>0</v>
      </c>
      <c r="L3264" s="2">
        <v>3000000</v>
      </c>
      <c r="M3264" s="2">
        <v>76656</v>
      </c>
      <c r="N3264">
        <f t="shared" ref="N3264:N3322" si="68">L3264+G3264</f>
        <v>3000274.8000000003</v>
      </c>
      <c r="O3264" s="9" t="s">
        <v>4</v>
      </c>
    </row>
    <row r="3265" spans="1:15" x14ac:dyDescent="0.2">
      <c r="A3265">
        <v>132</v>
      </c>
      <c r="B3265">
        <v>7</v>
      </c>
      <c r="C3265">
        <v>7</v>
      </c>
      <c r="D3265" s="2">
        <v>3</v>
      </c>
      <c r="E3265" s="2">
        <v>1</v>
      </c>
      <c r="F3265" s="2" t="s">
        <v>5</v>
      </c>
      <c r="G3265" s="2">
        <v>241.19999999996401</v>
      </c>
      <c r="H3265" s="2" t="s">
        <v>20</v>
      </c>
      <c r="I3265" s="2">
        <v>0</v>
      </c>
      <c r="J3265" s="2">
        <v>0</v>
      </c>
      <c r="K3265" s="2">
        <v>0</v>
      </c>
      <c r="L3265" s="2">
        <v>3000000</v>
      </c>
      <c r="M3265" s="2">
        <v>80313</v>
      </c>
      <c r="N3265">
        <f t="shared" si="68"/>
        <v>3000241.2</v>
      </c>
      <c r="O3265" s="9" t="s">
        <v>4</v>
      </c>
    </row>
    <row r="3266" spans="1:15" x14ac:dyDescent="0.2">
      <c r="A3266">
        <v>133</v>
      </c>
      <c r="B3266">
        <v>7</v>
      </c>
      <c r="C3266">
        <v>8</v>
      </c>
      <c r="D3266" s="2">
        <v>3</v>
      </c>
      <c r="E3266" s="2">
        <v>1</v>
      </c>
      <c r="F3266" s="2" t="s">
        <v>5</v>
      </c>
      <c r="G3266" s="2">
        <v>285.79999999962502</v>
      </c>
      <c r="H3266" s="2" t="s">
        <v>20</v>
      </c>
      <c r="I3266" s="2">
        <v>0</v>
      </c>
      <c r="J3266" s="2">
        <v>0</v>
      </c>
      <c r="K3266" s="2">
        <v>0</v>
      </c>
      <c r="L3266" s="2">
        <v>3000000</v>
      </c>
      <c r="M3266" s="2">
        <v>97552</v>
      </c>
      <c r="N3266">
        <f t="shared" si="68"/>
        <v>3000285.8</v>
      </c>
      <c r="O3266" s="9" t="s">
        <v>5</v>
      </c>
    </row>
    <row r="3267" spans="1:15" x14ac:dyDescent="0.2">
      <c r="A3267">
        <v>134</v>
      </c>
      <c r="B3267">
        <v>7</v>
      </c>
      <c r="C3267">
        <v>9</v>
      </c>
      <c r="D3267" s="2">
        <v>2</v>
      </c>
      <c r="E3267" s="2">
        <v>2</v>
      </c>
      <c r="F3267" s="2" t="s">
        <v>5</v>
      </c>
      <c r="G3267" s="2">
        <v>475.39999999983701</v>
      </c>
      <c r="H3267" s="2" t="s">
        <v>20</v>
      </c>
      <c r="I3267" s="2">
        <v>0</v>
      </c>
      <c r="J3267" s="2">
        <v>0</v>
      </c>
      <c r="K3267" s="2">
        <v>0</v>
      </c>
      <c r="L3267" s="2">
        <v>3000000</v>
      </c>
      <c r="M3267" s="2">
        <v>118840</v>
      </c>
      <c r="N3267">
        <f t="shared" si="68"/>
        <v>3000475.4</v>
      </c>
      <c r="O3267" s="9" t="s">
        <v>5</v>
      </c>
    </row>
    <row r="3268" spans="1:15" x14ac:dyDescent="0.2">
      <c r="A3268">
        <v>135</v>
      </c>
      <c r="B3268">
        <v>7</v>
      </c>
      <c r="C3268">
        <v>8</v>
      </c>
      <c r="D3268" s="2">
        <v>3</v>
      </c>
      <c r="E3268" s="2">
        <v>3</v>
      </c>
      <c r="F3268" s="2" t="s">
        <v>5</v>
      </c>
      <c r="G3268" s="2">
        <v>545.40000000038503</v>
      </c>
      <c r="H3268" s="2" t="s">
        <v>20</v>
      </c>
      <c r="I3268" s="2">
        <v>0</v>
      </c>
      <c r="J3268" s="2">
        <v>0</v>
      </c>
      <c r="K3268" s="2">
        <v>0</v>
      </c>
      <c r="L3268" s="2">
        <v>3000000</v>
      </c>
      <c r="M3268" s="2">
        <v>127025</v>
      </c>
      <c r="N3268">
        <f t="shared" si="68"/>
        <v>3000545.4000000004</v>
      </c>
      <c r="O3268" s="9" t="s">
        <v>4</v>
      </c>
    </row>
    <row r="3269" spans="1:15" x14ac:dyDescent="0.2">
      <c r="A3269">
        <v>136</v>
      </c>
      <c r="B3269">
        <v>7</v>
      </c>
      <c r="C3269">
        <v>8</v>
      </c>
      <c r="D3269" s="2">
        <v>2</v>
      </c>
      <c r="E3269" s="2">
        <v>2</v>
      </c>
      <c r="F3269" s="2" t="s">
        <v>5</v>
      </c>
      <c r="G3269" s="2">
        <v>424.59999999948701</v>
      </c>
      <c r="H3269" s="2" t="s">
        <v>20</v>
      </c>
      <c r="I3269" s="2">
        <v>0</v>
      </c>
      <c r="J3269" s="2">
        <v>0</v>
      </c>
      <c r="K3269" s="2">
        <v>0</v>
      </c>
      <c r="L3269" s="2">
        <v>3000000</v>
      </c>
      <c r="M3269" s="2">
        <v>118650</v>
      </c>
      <c r="N3269">
        <f t="shared" si="68"/>
        <v>3000424.5999999996</v>
      </c>
      <c r="O3269" s="9" t="s">
        <v>4</v>
      </c>
    </row>
    <row r="3270" spans="1:15" x14ac:dyDescent="0.2">
      <c r="A3270">
        <v>137</v>
      </c>
      <c r="B3270">
        <v>7</v>
      </c>
      <c r="C3270">
        <v>9</v>
      </c>
      <c r="D3270" s="2">
        <v>3</v>
      </c>
      <c r="E3270" s="2">
        <v>1</v>
      </c>
      <c r="F3270" s="2" t="s">
        <v>5</v>
      </c>
      <c r="G3270" s="2">
        <v>308.40000000011997</v>
      </c>
      <c r="H3270" s="2" t="s">
        <v>20</v>
      </c>
      <c r="I3270" s="2">
        <v>0</v>
      </c>
      <c r="J3270" s="2">
        <v>0</v>
      </c>
      <c r="K3270" s="2">
        <v>0</v>
      </c>
      <c r="L3270" s="2">
        <v>3000000</v>
      </c>
      <c r="M3270" s="2">
        <v>134852</v>
      </c>
      <c r="N3270">
        <f t="shared" si="68"/>
        <v>3000308.4</v>
      </c>
      <c r="O3270" s="9" t="s">
        <v>5</v>
      </c>
    </row>
    <row r="3271" spans="1:15" x14ac:dyDescent="0.2">
      <c r="A3271">
        <v>138</v>
      </c>
      <c r="B3271">
        <v>7</v>
      </c>
      <c r="C3271">
        <v>11</v>
      </c>
      <c r="D3271" s="2">
        <v>3</v>
      </c>
      <c r="E3271" s="2">
        <v>3</v>
      </c>
      <c r="F3271" s="2" t="s">
        <v>5</v>
      </c>
      <c r="G3271" s="2">
        <v>904.00000000023795</v>
      </c>
      <c r="H3271" s="2" t="s">
        <v>20</v>
      </c>
      <c r="I3271" s="2">
        <v>0</v>
      </c>
      <c r="J3271" s="2">
        <v>0</v>
      </c>
      <c r="K3271" s="2">
        <v>0</v>
      </c>
      <c r="L3271" s="2">
        <v>3000000</v>
      </c>
      <c r="M3271" s="2">
        <v>117635</v>
      </c>
      <c r="N3271">
        <f t="shared" si="68"/>
        <v>3000904.0000000005</v>
      </c>
      <c r="O3271" s="9" t="s">
        <v>4</v>
      </c>
    </row>
    <row r="3272" spans="1:15" x14ac:dyDescent="0.2">
      <c r="A3272">
        <v>139</v>
      </c>
      <c r="B3272">
        <v>7</v>
      </c>
      <c r="C3272">
        <v>11</v>
      </c>
      <c r="D3272" s="2">
        <v>3</v>
      </c>
      <c r="E3272" s="2">
        <v>1</v>
      </c>
      <c r="F3272" s="2" t="s">
        <v>5</v>
      </c>
      <c r="G3272" s="2">
        <v>375.99999999962102</v>
      </c>
      <c r="H3272" s="2" t="s">
        <v>20</v>
      </c>
      <c r="I3272" s="2">
        <v>0</v>
      </c>
      <c r="J3272" s="2">
        <v>0</v>
      </c>
      <c r="K3272" s="2">
        <v>0</v>
      </c>
      <c r="L3272" s="2">
        <v>3000000</v>
      </c>
      <c r="M3272" s="2">
        <v>146220</v>
      </c>
      <c r="N3272">
        <f t="shared" si="68"/>
        <v>3000375.9999999995</v>
      </c>
      <c r="O3272" s="9" t="s">
        <v>5</v>
      </c>
    </row>
    <row r="3273" spans="1:15" x14ac:dyDescent="0.2">
      <c r="A3273">
        <v>140</v>
      </c>
      <c r="B3273">
        <v>7</v>
      </c>
      <c r="C3273">
        <v>11</v>
      </c>
      <c r="D3273" s="2">
        <v>2</v>
      </c>
      <c r="E3273" s="2">
        <v>2</v>
      </c>
      <c r="F3273" s="2" t="s">
        <v>5</v>
      </c>
      <c r="G3273" s="2">
        <v>621.00000000064904</v>
      </c>
      <c r="H3273" s="2" t="s">
        <v>20</v>
      </c>
      <c r="I3273" s="2">
        <v>0</v>
      </c>
      <c r="J3273" s="2">
        <v>0</v>
      </c>
      <c r="K3273" s="2">
        <v>0</v>
      </c>
      <c r="L3273" s="2">
        <v>3000000</v>
      </c>
      <c r="M3273" s="2">
        <v>134766</v>
      </c>
      <c r="N3273">
        <f t="shared" si="68"/>
        <v>3000621.0000000005</v>
      </c>
      <c r="O3273" s="9" t="s">
        <v>4</v>
      </c>
    </row>
    <row r="3274" spans="1:15" x14ac:dyDescent="0.2">
      <c r="A3274">
        <v>141</v>
      </c>
      <c r="B3274">
        <v>7</v>
      </c>
      <c r="C3274">
        <v>10</v>
      </c>
      <c r="D3274" s="2">
        <v>3</v>
      </c>
      <c r="E3274" s="2">
        <v>1</v>
      </c>
      <c r="F3274" s="2" t="s">
        <v>5</v>
      </c>
      <c r="G3274" s="2">
        <v>330.20000000014699</v>
      </c>
      <c r="H3274" s="2" t="s">
        <v>20</v>
      </c>
      <c r="I3274" s="2">
        <v>0</v>
      </c>
      <c r="J3274" s="2">
        <v>0</v>
      </c>
      <c r="K3274" s="2">
        <v>0</v>
      </c>
      <c r="L3274" s="2">
        <v>3000000</v>
      </c>
      <c r="M3274" s="2">
        <v>110968</v>
      </c>
      <c r="N3274">
        <f t="shared" si="68"/>
        <v>3000330.2</v>
      </c>
      <c r="O3274" s="9" t="s">
        <v>5</v>
      </c>
    </row>
    <row r="3275" spans="1:15" x14ac:dyDescent="0.2">
      <c r="A3275">
        <v>142</v>
      </c>
      <c r="B3275">
        <v>7</v>
      </c>
      <c r="C3275">
        <v>14</v>
      </c>
      <c r="D3275" s="2">
        <v>3</v>
      </c>
      <c r="E3275" s="2">
        <v>1</v>
      </c>
      <c r="F3275" s="2" t="s">
        <v>5</v>
      </c>
      <c r="G3275" s="2">
        <v>522.39999999983399</v>
      </c>
      <c r="H3275" s="2" t="s">
        <v>20</v>
      </c>
      <c r="I3275" s="2">
        <v>0</v>
      </c>
      <c r="J3275" s="2">
        <v>0</v>
      </c>
      <c r="K3275" s="2">
        <v>0</v>
      </c>
      <c r="L3275" s="2">
        <v>3000000</v>
      </c>
      <c r="M3275" s="2">
        <v>94976</v>
      </c>
      <c r="N3275">
        <f t="shared" si="68"/>
        <v>3000522.4</v>
      </c>
      <c r="O3275" s="9" t="s">
        <v>5</v>
      </c>
    </row>
    <row r="3276" spans="1:15" x14ac:dyDescent="0.2">
      <c r="A3276">
        <v>143</v>
      </c>
      <c r="B3276">
        <v>7</v>
      </c>
      <c r="C3276">
        <v>10</v>
      </c>
      <c r="D3276" s="2">
        <v>3</v>
      </c>
      <c r="E3276" s="2">
        <v>3</v>
      </c>
      <c r="F3276" s="2" t="s">
        <v>5</v>
      </c>
      <c r="G3276" s="2">
        <v>650.400000000673</v>
      </c>
      <c r="H3276" s="2" t="s">
        <v>20</v>
      </c>
      <c r="I3276" s="2">
        <v>0</v>
      </c>
      <c r="J3276" s="2">
        <v>0</v>
      </c>
      <c r="K3276" s="2">
        <v>0</v>
      </c>
      <c r="L3276" s="2">
        <v>3000000</v>
      </c>
      <c r="M3276" s="2">
        <v>103563</v>
      </c>
      <c r="N3276">
        <f t="shared" si="68"/>
        <v>3000650.4000000008</v>
      </c>
      <c r="O3276" s="9" t="s">
        <v>4</v>
      </c>
    </row>
    <row r="3277" spans="1:15" x14ac:dyDescent="0.2">
      <c r="A3277">
        <v>144</v>
      </c>
      <c r="B3277">
        <v>7</v>
      </c>
      <c r="C3277">
        <v>9</v>
      </c>
      <c r="D3277" s="2">
        <v>2</v>
      </c>
      <c r="E3277" s="2">
        <v>2</v>
      </c>
      <c r="F3277" s="2" t="s">
        <v>5</v>
      </c>
      <c r="G3277" s="2">
        <v>354.000000000809</v>
      </c>
      <c r="H3277" s="2" t="s">
        <v>20</v>
      </c>
      <c r="I3277" s="2">
        <v>0</v>
      </c>
      <c r="J3277" s="2">
        <v>0</v>
      </c>
      <c r="K3277" s="2">
        <v>0</v>
      </c>
      <c r="L3277" s="2">
        <v>3000000</v>
      </c>
      <c r="M3277" s="2">
        <v>97557</v>
      </c>
      <c r="N3277">
        <f t="shared" si="68"/>
        <v>3000354.0000000009</v>
      </c>
      <c r="O3277" s="9" t="s">
        <v>4</v>
      </c>
    </row>
    <row r="3278" spans="1:15" x14ac:dyDescent="0.2">
      <c r="A3278">
        <v>145</v>
      </c>
      <c r="B3278">
        <v>7</v>
      </c>
      <c r="C3278">
        <v>10</v>
      </c>
      <c r="D3278" s="2">
        <v>3</v>
      </c>
      <c r="E3278" s="2">
        <v>3</v>
      </c>
      <c r="F3278" s="2" t="s">
        <v>5</v>
      </c>
      <c r="G3278" s="2">
        <v>586.80000000066502</v>
      </c>
      <c r="H3278" s="2" t="s">
        <v>20</v>
      </c>
      <c r="I3278" s="2">
        <v>0</v>
      </c>
      <c r="J3278" s="2">
        <v>0</v>
      </c>
      <c r="K3278" s="2">
        <v>0</v>
      </c>
      <c r="L3278" s="2">
        <v>3000000</v>
      </c>
      <c r="M3278" s="2">
        <v>112606</v>
      </c>
      <c r="N3278">
        <f t="shared" si="68"/>
        <v>3000586.8000000007</v>
      </c>
      <c r="O3278" s="9" t="s">
        <v>4</v>
      </c>
    </row>
    <row r="3279" spans="1:15" x14ac:dyDescent="0.2">
      <c r="A3279">
        <v>146</v>
      </c>
      <c r="B3279">
        <v>7</v>
      </c>
      <c r="C3279">
        <v>9</v>
      </c>
      <c r="D3279" s="2">
        <v>3</v>
      </c>
      <c r="E3279" s="2">
        <v>3</v>
      </c>
      <c r="F3279" s="2" t="s">
        <v>5</v>
      </c>
      <c r="G3279" s="2">
        <v>500.00000000025602</v>
      </c>
      <c r="H3279" s="2" t="s">
        <v>20</v>
      </c>
      <c r="I3279" s="2">
        <v>0</v>
      </c>
      <c r="J3279" s="2">
        <v>0</v>
      </c>
      <c r="K3279" s="2">
        <v>0</v>
      </c>
      <c r="L3279" s="2">
        <v>3000000</v>
      </c>
      <c r="M3279" s="2">
        <v>98042</v>
      </c>
      <c r="N3279">
        <f t="shared" si="68"/>
        <v>3000500.0000000005</v>
      </c>
      <c r="O3279" s="9" t="s">
        <v>4</v>
      </c>
    </row>
    <row r="3280" spans="1:15" x14ac:dyDescent="0.2">
      <c r="A3280">
        <v>147</v>
      </c>
      <c r="B3280">
        <v>7</v>
      </c>
      <c r="C3280">
        <v>10</v>
      </c>
      <c r="D3280" s="2">
        <v>2</v>
      </c>
      <c r="E3280" s="2">
        <v>2</v>
      </c>
      <c r="F3280" s="2" t="s">
        <v>5</v>
      </c>
      <c r="G3280" s="2">
        <v>443.40000000069301</v>
      </c>
      <c r="H3280" s="2" t="s">
        <v>20</v>
      </c>
      <c r="I3280" s="2">
        <v>0</v>
      </c>
      <c r="J3280" s="2">
        <v>0</v>
      </c>
      <c r="K3280" s="2">
        <v>0</v>
      </c>
      <c r="L3280" s="2">
        <v>3000000</v>
      </c>
      <c r="M3280" s="2">
        <v>141263</v>
      </c>
      <c r="N3280">
        <f t="shared" si="68"/>
        <v>3000443.4000000008</v>
      </c>
      <c r="O3280" s="9" t="s">
        <v>4</v>
      </c>
    </row>
    <row r="3281" spans="1:15" x14ac:dyDescent="0.2">
      <c r="A3281">
        <v>148</v>
      </c>
      <c r="B3281">
        <v>7</v>
      </c>
      <c r="C3281">
        <v>13</v>
      </c>
      <c r="D3281" s="2">
        <v>2</v>
      </c>
      <c r="E3281" s="2">
        <v>2</v>
      </c>
      <c r="F3281" s="2" t="s">
        <v>5</v>
      </c>
      <c r="G3281" s="2">
        <v>655.80000000018401</v>
      </c>
      <c r="H3281" s="2" t="s">
        <v>20</v>
      </c>
      <c r="I3281" s="2">
        <v>0</v>
      </c>
      <c r="J3281" s="2">
        <v>0</v>
      </c>
      <c r="K3281" s="2">
        <v>0</v>
      </c>
      <c r="L3281" s="2">
        <v>3000000</v>
      </c>
      <c r="M3281" s="2">
        <v>59776</v>
      </c>
      <c r="N3281">
        <f t="shared" si="68"/>
        <v>3000655.8000000003</v>
      </c>
      <c r="O3281" s="9" t="s">
        <v>4</v>
      </c>
    </row>
    <row r="3282" spans="1:15" x14ac:dyDescent="0.2">
      <c r="A3282">
        <v>149</v>
      </c>
      <c r="B3282">
        <v>7</v>
      </c>
      <c r="C3282">
        <v>12</v>
      </c>
      <c r="D3282" s="2">
        <v>3</v>
      </c>
      <c r="E3282" s="2">
        <v>1</v>
      </c>
      <c r="F3282" s="2" t="s">
        <v>5</v>
      </c>
      <c r="G3282" s="2">
        <v>373.39999999979102</v>
      </c>
      <c r="H3282" s="2" t="s">
        <v>20</v>
      </c>
      <c r="I3282" s="2">
        <v>0</v>
      </c>
      <c r="J3282" s="2">
        <v>0</v>
      </c>
      <c r="K3282" s="2">
        <v>0</v>
      </c>
      <c r="L3282" s="2">
        <v>3000000</v>
      </c>
      <c r="M3282" s="2">
        <v>0</v>
      </c>
      <c r="N3282">
        <f t="shared" si="68"/>
        <v>3000373.4</v>
      </c>
      <c r="O3282" s="9" t="s">
        <v>5</v>
      </c>
    </row>
    <row r="3283" spans="1:15" x14ac:dyDescent="0.2">
      <c r="A3283">
        <v>150</v>
      </c>
      <c r="B3283">
        <v>7</v>
      </c>
      <c r="C3283">
        <v>11</v>
      </c>
      <c r="D3283" s="2">
        <v>2</v>
      </c>
      <c r="E3283" s="2">
        <v>2</v>
      </c>
      <c r="F3283" s="2" t="s">
        <v>5</v>
      </c>
      <c r="G3283" s="2">
        <v>470.20000000017598</v>
      </c>
      <c r="H3283" s="2" t="s">
        <v>20</v>
      </c>
      <c r="I3283" s="2">
        <v>0</v>
      </c>
      <c r="J3283" s="2">
        <v>0</v>
      </c>
      <c r="K3283" s="2">
        <v>0</v>
      </c>
      <c r="L3283" s="2">
        <v>3000000</v>
      </c>
      <c r="M3283" s="2">
        <v>91109</v>
      </c>
      <c r="N3283">
        <f t="shared" si="68"/>
        <v>3000470.2</v>
      </c>
      <c r="O3283" s="9" t="s">
        <v>4</v>
      </c>
    </row>
    <row r="3284" spans="1:15" x14ac:dyDescent="0.2">
      <c r="A3284">
        <v>151</v>
      </c>
      <c r="B3284">
        <v>7</v>
      </c>
      <c r="C3284">
        <v>11</v>
      </c>
      <c r="D3284" s="2">
        <v>3</v>
      </c>
      <c r="E3284" s="2">
        <v>1</v>
      </c>
      <c r="F3284" s="2" t="s">
        <v>5</v>
      </c>
      <c r="G3284" s="2">
        <v>300.20000000021702</v>
      </c>
      <c r="H3284" s="2" t="s">
        <v>20</v>
      </c>
      <c r="I3284" s="2">
        <v>0</v>
      </c>
      <c r="J3284" s="2">
        <v>0</v>
      </c>
      <c r="K3284" s="2">
        <v>0</v>
      </c>
      <c r="L3284" s="2">
        <v>3000000</v>
      </c>
      <c r="M3284" s="2">
        <v>153342</v>
      </c>
      <c r="N3284">
        <f t="shared" si="68"/>
        <v>3000300.2</v>
      </c>
      <c r="O3284" s="9" t="s">
        <v>5</v>
      </c>
    </row>
    <row r="3285" spans="1:15" x14ac:dyDescent="0.2">
      <c r="A3285">
        <v>152</v>
      </c>
      <c r="B3285">
        <v>7</v>
      </c>
      <c r="C3285">
        <v>12</v>
      </c>
      <c r="D3285" s="2">
        <v>2</v>
      </c>
      <c r="E3285" s="2">
        <v>2</v>
      </c>
      <c r="F3285" s="2" t="s">
        <v>5</v>
      </c>
      <c r="G3285" s="2">
        <v>515.00000000004297</v>
      </c>
      <c r="H3285" s="2" t="s">
        <v>20</v>
      </c>
      <c r="I3285" s="2">
        <v>0</v>
      </c>
      <c r="J3285" s="2">
        <v>0</v>
      </c>
      <c r="K3285" s="2">
        <v>0</v>
      </c>
      <c r="L3285" s="2">
        <v>3000000</v>
      </c>
      <c r="M3285" s="2">
        <v>160976</v>
      </c>
      <c r="N3285">
        <f t="shared" si="68"/>
        <v>3000515</v>
      </c>
      <c r="O3285" s="9" t="s">
        <v>4</v>
      </c>
    </row>
    <row r="3286" spans="1:15" x14ac:dyDescent="0.2">
      <c r="A3286">
        <v>153</v>
      </c>
      <c r="B3286">
        <v>7</v>
      </c>
      <c r="C3286">
        <v>11</v>
      </c>
      <c r="D3286" s="2">
        <v>3</v>
      </c>
      <c r="E3286" s="2">
        <v>3</v>
      </c>
      <c r="F3286" s="2" t="s">
        <v>5</v>
      </c>
      <c r="G3286" s="2">
        <v>644.79999999989002</v>
      </c>
      <c r="H3286" s="2" t="s">
        <v>20</v>
      </c>
      <c r="I3286" s="2">
        <v>0</v>
      </c>
      <c r="J3286" s="2">
        <v>0</v>
      </c>
      <c r="K3286" s="2">
        <v>0</v>
      </c>
      <c r="L3286" s="2">
        <v>3000000</v>
      </c>
      <c r="M3286" s="2">
        <v>137565</v>
      </c>
      <c r="N3286">
        <f t="shared" si="68"/>
        <v>3000644.8</v>
      </c>
      <c r="O3286" s="9" t="s">
        <v>4</v>
      </c>
    </row>
    <row r="3287" spans="1:15" x14ac:dyDescent="0.2">
      <c r="A3287">
        <v>154</v>
      </c>
      <c r="B3287">
        <v>7</v>
      </c>
      <c r="C3287">
        <v>12</v>
      </c>
      <c r="D3287" s="2">
        <v>2</v>
      </c>
      <c r="E3287" s="2">
        <v>2</v>
      </c>
      <c r="F3287" s="2" t="s">
        <v>5</v>
      </c>
      <c r="G3287" s="2">
        <v>479.39999999933002</v>
      </c>
      <c r="H3287" s="2" t="s">
        <v>20</v>
      </c>
      <c r="I3287" s="2">
        <v>0</v>
      </c>
      <c r="J3287" s="2">
        <v>0</v>
      </c>
      <c r="K3287" s="2">
        <v>0</v>
      </c>
      <c r="L3287" s="2">
        <v>3000000</v>
      </c>
      <c r="M3287" s="2">
        <v>104283</v>
      </c>
      <c r="N3287">
        <f t="shared" si="68"/>
        <v>3000479.3999999994</v>
      </c>
      <c r="O3287" s="9" t="s">
        <v>4</v>
      </c>
    </row>
    <row r="3288" spans="1:15" x14ac:dyDescent="0.2">
      <c r="A3288">
        <v>155</v>
      </c>
      <c r="B3288">
        <v>7</v>
      </c>
      <c r="C3288">
        <v>14</v>
      </c>
      <c r="D3288" s="2">
        <v>3</v>
      </c>
      <c r="E3288" s="2">
        <v>3</v>
      </c>
      <c r="F3288" s="2" t="s">
        <v>5</v>
      </c>
      <c r="G3288" s="2">
        <v>890.00000000041302</v>
      </c>
      <c r="H3288" s="2" t="s">
        <v>20</v>
      </c>
      <c r="I3288" s="2">
        <v>0</v>
      </c>
      <c r="J3288" s="2">
        <v>0</v>
      </c>
      <c r="K3288" s="2">
        <v>0</v>
      </c>
      <c r="L3288" s="2">
        <v>3000000</v>
      </c>
      <c r="M3288" s="2">
        <v>122283</v>
      </c>
      <c r="N3288">
        <f t="shared" si="68"/>
        <v>3000890.0000000005</v>
      </c>
      <c r="O3288" s="9" t="s">
        <v>4</v>
      </c>
    </row>
    <row r="3289" spans="1:15" x14ac:dyDescent="0.2">
      <c r="A3289">
        <v>156</v>
      </c>
      <c r="B3289">
        <v>7</v>
      </c>
      <c r="C3289">
        <v>14</v>
      </c>
      <c r="D3289" s="2">
        <v>2</v>
      </c>
      <c r="E3289" s="2">
        <v>2</v>
      </c>
      <c r="F3289" s="2" t="s">
        <v>5</v>
      </c>
      <c r="G3289" s="2">
        <v>633.40000000024997</v>
      </c>
      <c r="H3289" s="2" t="s">
        <v>20</v>
      </c>
      <c r="I3289" s="2">
        <v>0</v>
      </c>
      <c r="J3289" s="2">
        <v>0</v>
      </c>
      <c r="K3289" s="2">
        <v>0</v>
      </c>
      <c r="L3289" s="2">
        <v>3000000</v>
      </c>
      <c r="M3289" s="2">
        <v>152911</v>
      </c>
      <c r="N3289">
        <f t="shared" si="68"/>
        <v>3000633.4000000004</v>
      </c>
      <c r="O3289" s="9" t="s">
        <v>4</v>
      </c>
    </row>
    <row r="3290" spans="1:15" x14ac:dyDescent="0.2">
      <c r="A3290">
        <v>157</v>
      </c>
      <c r="B3290">
        <v>7</v>
      </c>
      <c r="C3290">
        <v>12</v>
      </c>
      <c r="D3290" s="2">
        <v>3</v>
      </c>
      <c r="E3290" s="2">
        <v>3</v>
      </c>
      <c r="F3290" s="2" t="s">
        <v>5</v>
      </c>
      <c r="G3290" s="2">
        <v>698.79999999997699</v>
      </c>
      <c r="H3290" s="2" t="s">
        <v>20</v>
      </c>
      <c r="I3290" s="2">
        <v>0</v>
      </c>
      <c r="J3290" s="2">
        <v>0</v>
      </c>
      <c r="K3290" s="2">
        <v>0</v>
      </c>
      <c r="L3290" s="2">
        <v>3000000</v>
      </c>
      <c r="M3290" s="2">
        <v>127780</v>
      </c>
      <c r="N3290">
        <f t="shared" si="68"/>
        <v>3000698.8</v>
      </c>
      <c r="O3290" s="9" t="s">
        <v>4</v>
      </c>
    </row>
    <row r="3291" spans="1:15" x14ac:dyDescent="0.2">
      <c r="A3291">
        <v>158</v>
      </c>
      <c r="B3291">
        <v>7</v>
      </c>
      <c r="C3291">
        <v>13</v>
      </c>
      <c r="D3291" s="2">
        <v>3</v>
      </c>
      <c r="E3291" s="2">
        <v>1</v>
      </c>
      <c r="F3291" s="2" t="s">
        <v>5</v>
      </c>
      <c r="G3291" s="2">
        <v>367.000000000672</v>
      </c>
      <c r="H3291" s="2" t="s">
        <v>20</v>
      </c>
      <c r="I3291" s="2">
        <v>0</v>
      </c>
      <c r="J3291" s="2">
        <v>0</v>
      </c>
      <c r="K3291" s="2">
        <v>0</v>
      </c>
      <c r="L3291" s="2">
        <v>3000000</v>
      </c>
      <c r="M3291" s="2">
        <v>168144</v>
      </c>
      <c r="N3291">
        <f t="shared" si="68"/>
        <v>3000367.0000000005</v>
      </c>
      <c r="O3291" s="9" t="s">
        <v>5</v>
      </c>
    </row>
    <row r="3292" spans="1:15" x14ac:dyDescent="0.2">
      <c r="A3292">
        <v>159</v>
      </c>
      <c r="B3292">
        <v>7</v>
      </c>
      <c r="C3292">
        <v>15</v>
      </c>
      <c r="D3292" s="2">
        <v>3</v>
      </c>
      <c r="E3292" s="2">
        <v>1</v>
      </c>
      <c r="F3292" s="2" t="s">
        <v>5</v>
      </c>
      <c r="G3292" s="2">
        <v>466.20000000032798</v>
      </c>
      <c r="H3292" s="2" t="s">
        <v>20</v>
      </c>
      <c r="I3292" s="2">
        <v>0</v>
      </c>
      <c r="J3292" s="2">
        <v>0</v>
      </c>
      <c r="K3292" s="2">
        <v>0</v>
      </c>
      <c r="L3292" s="2">
        <v>3000000</v>
      </c>
      <c r="M3292" s="2">
        <v>150737</v>
      </c>
      <c r="N3292">
        <f t="shared" si="68"/>
        <v>3000466.2</v>
      </c>
      <c r="O3292" s="9" t="s">
        <v>5</v>
      </c>
    </row>
    <row r="3293" spans="1:15" x14ac:dyDescent="0.2">
      <c r="A3293">
        <v>130</v>
      </c>
      <c r="B3293">
        <v>7</v>
      </c>
      <c r="C3293">
        <v>7</v>
      </c>
      <c r="D3293" s="2">
        <v>2</v>
      </c>
      <c r="E3293" s="2">
        <v>2</v>
      </c>
      <c r="F3293" s="2" t="s">
        <v>4</v>
      </c>
      <c r="G3293" s="2">
        <v>1550.0000000002999</v>
      </c>
      <c r="H3293" s="2" t="s">
        <v>20</v>
      </c>
      <c r="I3293" s="2">
        <v>0</v>
      </c>
      <c r="J3293" s="2">
        <v>0</v>
      </c>
      <c r="K3293" s="2">
        <v>0</v>
      </c>
      <c r="L3293" s="2">
        <v>3000000</v>
      </c>
      <c r="M3293" s="2">
        <v>125339</v>
      </c>
      <c r="N3293">
        <f t="shared" si="68"/>
        <v>3001550.0000000005</v>
      </c>
      <c r="O3293" s="2" t="s">
        <v>4</v>
      </c>
    </row>
    <row r="3294" spans="1:15" x14ac:dyDescent="0.2">
      <c r="A3294">
        <v>131</v>
      </c>
      <c r="B3294">
        <v>7</v>
      </c>
      <c r="C3294">
        <v>6</v>
      </c>
      <c r="D3294" s="2">
        <v>2</v>
      </c>
      <c r="E3294" s="2">
        <v>2</v>
      </c>
      <c r="F3294" s="2" t="s">
        <v>4</v>
      </c>
      <c r="G3294" s="2">
        <v>863.79999999976997</v>
      </c>
      <c r="H3294" s="2" t="s">
        <v>20</v>
      </c>
      <c r="I3294" s="2">
        <v>0</v>
      </c>
      <c r="J3294" s="2">
        <v>0</v>
      </c>
      <c r="K3294" s="2">
        <v>0</v>
      </c>
      <c r="L3294" s="2">
        <v>3000000</v>
      </c>
      <c r="M3294" s="2">
        <v>143057</v>
      </c>
      <c r="N3294">
        <f t="shared" si="68"/>
        <v>3000863.8</v>
      </c>
      <c r="O3294" s="2" t="s">
        <v>4</v>
      </c>
    </row>
    <row r="3295" spans="1:15" x14ac:dyDescent="0.2">
      <c r="A3295">
        <v>132</v>
      </c>
      <c r="B3295">
        <v>7</v>
      </c>
      <c r="C3295">
        <v>7</v>
      </c>
      <c r="D3295" s="2">
        <v>3</v>
      </c>
      <c r="E3295" s="2">
        <v>1</v>
      </c>
      <c r="F3295" s="2" t="s">
        <v>4</v>
      </c>
      <c r="G3295" s="2">
        <v>758.19999999993104</v>
      </c>
      <c r="H3295" s="2" t="s">
        <v>20</v>
      </c>
      <c r="I3295" s="2">
        <v>0</v>
      </c>
      <c r="J3295" s="2">
        <v>0</v>
      </c>
      <c r="K3295" s="2">
        <v>0</v>
      </c>
      <c r="L3295" s="2">
        <v>3000000</v>
      </c>
      <c r="M3295" s="2">
        <v>205152</v>
      </c>
      <c r="N3295">
        <f t="shared" si="68"/>
        <v>3000758.1999999997</v>
      </c>
      <c r="O3295" s="2" t="s">
        <v>4</v>
      </c>
    </row>
    <row r="3296" spans="1:15" x14ac:dyDescent="0.2">
      <c r="A3296">
        <v>133</v>
      </c>
      <c r="B3296">
        <v>7</v>
      </c>
      <c r="C3296">
        <v>8</v>
      </c>
      <c r="D3296" s="2">
        <v>3</v>
      </c>
      <c r="E3296" s="2">
        <v>1</v>
      </c>
      <c r="F3296" s="2" t="s">
        <v>4</v>
      </c>
      <c r="G3296" s="2">
        <v>817.40000000110103</v>
      </c>
      <c r="H3296" s="2" t="s">
        <v>20</v>
      </c>
      <c r="I3296" s="2">
        <v>0</v>
      </c>
      <c r="J3296" s="2">
        <v>0</v>
      </c>
      <c r="K3296" s="2">
        <v>0</v>
      </c>
      <c r="L3296" s="2">
        <v>3000000</v>
      </c>
      <c r="M3296" s="2">
        <v>185403</v>
      </c>
      <c r="N3296">
        <f t="shared" si="68"/>
        <v>3000817.4000000013</v>
      </c>
      <c r="O3296" s="2" t="s">
        <v>5</v>
      </c>
    </row>
    <row r="3297" spans="1:15" x14ac:dyDescent="0.2">
      <c r="A3297">
        <v>134</v>
      </c>
      <c r="B3297">
        <v>7</v>
      </c>
      <c r="C3297">
        <v>9</v>
      </c>
      <c r="D3297" s="2">
        <v>2</v>
      </c>
      <c r="E3297" s="2">
        <v>2</v>
      </c>
      <c r="F3297" s="2" t="s">
        <v>4</v>
      </c>
      <c r="G3297" s="2">
        <v>1003.59999999995</v>
      </c>
      <c r="H3297" s="2" t="s">
        <v>20</v>
      </c>
      <c r="I3297" s="2">
        <v>0</v>
      </c>
      <c r="J3297" s="2">
        <v>0</v>
      </c>
      <c r="K3297" s="2">
        <v>0</v>
      </c>
      <c r="L3297" s="2">
        <v>3000000</v>
      </c>
      <c r="M3297" s="2">
        <v>133297</v>
      </c>
      <c r="N3297">
        <f t="shared" si="68"/>
        <v>3001003.6</v>
      </c>
      <c r="O3297" s="2" t="s">
        <v>5</v>
      </c>
    </row>
    <row r="3298" spans="1:15" x14ac:dyDescent="0.2">
      <c r="A3298">
        <v>135</v>
      </c>
      <c r="B3298">
        <v>7</v>
      </c>
      <c r="C3298">
        <v>8</v>
      </c>
      <c r="D3298" s="2">
        <v>3</v>
      </c>
      <c r="E3298" s="2">
        <v>3</v>
      </c>
      <c r="F3298" s="2" t="s">
        <v>4</v>
      </c>
      <c r="G3298" s="2">
        <v>1062.39999999929</v>
      </c>
      <c r="H3298" s="2" t="s">
        <v>20</v>
      </c>
      <c r="I3298" s="2">
        <v>0</v>
      </c>
      <c r="J3298" s="2">
        <v>0</v>
      </c>
      <c r="K3298" s="2">
        <v>0</v>
      </c>
      <c r="L3298" s="2">
        <v>3000000</v>
      </c>
      <c r="M3298" s="2">
        <v>0</v>
      </c>
      <c r="N3298">
        <f t="shared" si="68"/>
        <v>3001062.3999999994</v>
      </c>
      <c r="O3298" s="2" t="s">
        <v>4</v>
      </c>
    </row>
    <row r="3299" spans="1:15" x14ac:dyDescent="0.2">
      <c r="A3299">
        <v>136</v>
      </c>
      <c r="B3299">
        <v>7</v>
      </c>
      <c r="C3299">
        <v>8</v>
      </c>
      <c r="D3299" s="2">
        <v>2</v>
      </c>
      <c r="E3299" s="2">
        <v>2</v>
      </c>
      <c r="F3299" s="2" t="s">
        <v>4</v>
      </c>
      <c r="G3299" s="2">
        <v>855.39999999966199</v>
      </c>
      <c r="H3299" s="2" t="s">
        <v>20</v>
      </c>
      <c r="I3299" s="2">
        <v>0</v>
      </c>
      <c r="J3299" s="2">
        <v>0</v>
      </c>
      <c r="K3299" s="2">
        <v>0</v>
      </c>
      <c r="L3299" s="2">
        <v>3000000</v>
      </c>
      <c r="M3299" s="2">
        <v>123305</v>
      </c>
      <c r="N3299">
        <f t="shared" si="68"/>
        <v>3000855.3999999994</v>
      </c>
      <c r="O3299" s="2" t="s">
        <v>4</v>
      </c>
    </row>
    <row r="3300" spans="1:15" x14ac:dyDescent="0.2">
      <c r="A3300">
        <v>137</v>
      </c>
      <c r="B3300">
        <v>7</v>
      </c>
      <c r="C3300">
        <v>9</v>
      </c>
      <c r="D3300" s="2">
        <v>3</v>
      </c>
      <c r="E3300" s="2">
        <v>1</v>
      </c>
      <c r="F3300" s="2" t="s">
        <v>4</v>
      </c>
      <c r="G3300" s="2">
        <v>720.60000000035996</v>
      </c>
      <c r="H3300" s="2" t="s">
        <v>20</v>
      </c>
      <c r="I3300" s="2">
        <v>0</v>
      </c>
      <c r="J3300" s="2">
        <v>0</v>
      </c>
      <c r="K3300" s="2">
        <v>0</v>
      </c>
      <c r="L3300" s="2">
        <v>3000000</v>
      </c>
      <c r="M3300" s="2">
        <v>136338</v>
      </c>
      <c r="N3300">
        <f t="shared" si="68"/>
        <v>3000720.6000000006</v>
      </c>
      <c r="O3300" s="2" t="s">
        <v>5</v>
      </c>
    </row>
    <row r="3301" spans="1:15" x14ac:dyDescent="0.2">
      <c r="A3301">
        <v>138</v>
      </c>
      <c r="B3301">
        <v>7</v>
      </c>
      <c r="C3301">
        <v>11</v>
      </c>
      <c r="D3301" s="2">
        <v>3</v>
      </c>
      <c r="E3301" s="2">
        <v>3</v>
      </c>
      <c r="F3301" s="2" t="s">
        <v>4</v>
      </c>
      <c r="G3301" s="2">
        <v>1299.99999999839</v>
      </c>
      <c r="H3301" s="2" t="s">
        <v>20</v>
      </c>
      <c r="I3301" s="2">
        <v>0</v>
      </c>
      <c r="J3301" s="2">
        <v>0</v>
      </c>
      <c r="K3301" s="2">
        <v>0</v>
      </c>
      <c r="L3301" s="2">
        <v>3000000</v>
      </c>
      <c r="M3301" s="2">
        <v>118782</v>
      </c>
      <c r="N3301">
        <f t="shared" si="68"/>
        <v>3001299.9999999986</v>
      </c>
      <c r="O3301" s="2" t="s">
        <v>4</v>
      </c>
    </row>
    <row r="3302" spans="1:15" x14ac:dyDescent="0.2">
      <c r="A3302">
        <v>139</v>
      </c>
      <c r="B3302">
        <v>7</v>
      </c>
      <c r="C3302">
        <v>11</v>
      </c>
      <c r="D3302" s="2">
        <v>3</v>
      </c>
      <c r="E3302" s="2">
        <v>1</v>
      </c>
      <c r="F3302" s="2" t="s">
        <v>4</v>
      </c>
      <c r="G3302" s="2">
        <v>825.79999999978804</v>
      </c>
      <c r="H3302" s="2" t="s">
        <v>20</v>
      </c>
      <c r="I3302" s="2">
        <v>0</v>
      </c>
      <c r="J3302" s="2">
        <v>0</v>
      </c>
      <c r="K3302" s="2">
        <v>0</v>
      </c>
      <c r="L3302" s="2">
        <v>3000000</v>
      </c>
      <c r="M3302" s="2">
        <v>140396</v>
      </c>
      <c r="N3302">
        <f t="shared" si="68"/>
        <v>3000825.8</v>
      </c>
      <c r="O3302" s="2" t="s">
        <v>5</v>
      </c>
    </row>
    <row r="3303" spans="1:15" x14ac:dyDescent="0.2">
      <c r="A3303">
        <v>140</v>
      </c>
      <c r="B3303">
        <v>7</v>
      </c>
      <c r="C3303">
        <v>11</v>
      </c>
      <c r="D3303" s="2">
        <v>2</v>
      </c>
      <c r="E3303" s="2">
        <v>2</v>
      </c>
      <c r="F3303" s="2" t="s">
        <v>4</v>
      </c>
      <c r="G3303" s="2">
        <v>1023.7999999994</v>
      </c>
      <c r="H3303" s="2" t="s">
        <v>20</v>
      </c>
      <c r="I3303" s="2">
        <v>0</v>
      </c>
      <c r="J3303" s="2">
        <v>0</v>
      </c>
      <c r="K3303" s="2">
        <v>0</v>
      </c>
      <c r="L3303" s="2">
        <v>3000000</v>
      </c>
      <c r="M3303" s="2">
        <v>143590</v>
      </c>
      <c r="N3303">
        <f t="shared" si="68"/>
        <v>3001023.7999999993</v>
      </c>
      <c r="O3303" s="2" t="s">
        <v>4</v>
      </c>
    </row>
    <row r="3304" spans="1:15" x14ac:dyDescent="0.2">
      <c r="A3304">
        <v>141</v>
      </c>
      <c r="B3304">
        <v>7</v>
      </c>
      <c r="C3304">
        <v>10</v>
      </c>
      <c r="D3304" s="2">
        <v>3</v>
      </c>
      <c r="E3304" s="2">
        <v>1</v>
      </c>
      <c r="F3304" s="2" t="s">
        <v>4</v>
      </c>
      <c r="G3304" s="2">
        <v>705.79999999935706</v>
      </c>
      <c r="H3304" s="2" t="s">
        <v>20</v>
      </c>
      <c r="I3304" s="2">
        <v>0</v>
      </c>
      <c r="J3304" s="2">
        <v>0</v>
      </c>
      <c r="K3304" s="2">
        <v>0</v>
      </c>
      <c r="L3304" s="2">
        <v>3000000</v>
      </c>
      <c r="M3304" s="2">
        <v>138116</v>
      </c>
      <c r="N3304">
        <f t="shared" si="68"/>
        <v>3000705.7999999993</v>
      </c>
      <c r="O3304" s="2" t="s">
        <v>5</v>
      </c>
    </row>
    <row r="3305" spans="1:15" x14ac:dyDescent="0.2">
      <c r="A3305">
        <v>142</v>
      </c>
      <c r="B3305">
        <v>7</v>
      </c>
      <c r="C3305">
        <v>14</v>
      </c>
      <c r="D3305" s="2">
        <v>3</v>
      </c>
      <c r="E3305" s="2">
        <v>1</v>
      </c>
      <c r="F3305" s="2" t="s">
        <v>4</v>
      </c>
      <c r="G3305" s="2">
        <v>981.20000000037101</v>
      </c>
      <c r="H3305" s="2" t="s">
        <v>20</v>
      </c>
      <c r="I3305" s="2">
        <v>0</v>
      </c>
      <c r="J3305" s="2">
        <v>0</v>
      </c>
      <c r="K3305" s="2">
        <v>0</v>
      </c>
      <c r="L3305" s="2">
        <v>3000000</v>
      </c>
      <c r="M3305" s="2">
        <v>137751</v>
      </c>
      <c r="N3305">
        <f t="shared" si="68"/>
        <v>3000981.2</v>
      </c>
      <c r="O3305" s="2" t="s">
        <v>5</v>
      </c>
    </row>
    <row r="3306" spans="1:15" x14ac:dyDescent="0.2">
      <c r="A3306">
        <v>143</v>
      </c>
      <c r="B3306">
        <v>7</v>
      </c>
      <c r="C3306">
        <v>10</v>
      </c>
      <c r="D3306" s="2">
        <v>3</v>
      </c>
      <c r="E3306" s="2">
        <v>3</v>
      </c>
      <c r="F3306" s="2" t="s">
        <v>4</v>
      </c>
      <c r="G3306" s="2">
        <v>1071.7999999997101</v>
      </c>
      <c r="H3306" s="2" t="s">
        <v>20</v>
      </c>
      <c r="I3306" s="2">
        <v>0</v>
      </c>
      <c r="J3306" s="2">
        <v>0</v>
      </c>
      <c r="K3306" s="2">
        <v>0</v>
      </c>
      <c r="L3306" s="2">
        <v>3000000</v>
      </c>
      <c r="M3306" s="2">
        <v>117866</v>
      </c>
      <c r="N3306">
        <f t="shared" si="68"/>
        <v>3001071.8</v>
      </c>
      <c r="O3306" s="2" t="s">
        <v>4</v>
      </c>
    </row>
    <row r="3307" spans="1:15" x14ac:dyDescent="0.2">
      <c r="A3307">
        <v>144</v>
      </c>
      <c r="B3307">
        <v>7</v>
      </c>
      <c r="C3307">
        <v>9</v>
      </c>
      <c r="D3307" s="2">
        <v>2</v>
      </c>
      <c r="E3307" s="2">
        <v>2</v>
      </c>
      <c r="F3307" s="2" t="s">
        <v>4</v>
      </c>
      <c r="G3307" s="2">
        <v>809.99999999988904</v>
      </c>
      <c r="H3307" s="2" t="s">
        <v>20</v>
      </c>
      <c r="I3307" s="2">
        <v>0</v>
      </c>
      <c r="J3307" s="2">
        <v>0</v>
      </c>
      <c r="K3307" s="2">
        <v>0</v>
      </c>
      <c r="L3307" s="2">
        <v>3000000</v>
      </c>
      <c r="M3307" s="2">
        <v>135173</v>
      </c>
      <c r="N3307">
        <f t="shared" si="68"/>
        <v>3000810</v>
      </c>
      <c r="O3307" s="2" t="s">
        <v>4</v>
      </c>
    </row>
    <row r="3308" spans="1:15" x14ac:dyDescent="0.2">
      <c r="A3308">
        <v>145</v>
      </c>
      <c r="B3308">
        <v>7</v>
      </c>
      <c r="C3308">
        <v>10</v>
      </c>
      <c r="D3308" s="2">
        <v>3</v>
      </c>
      <c r="E3308" s="2">
        <v>3</v>
      </c>
      <c r="F3308" s="2" t="s">
        <v>4</v>
      </c>
      <c r="G3308" s="2">
        <v>1008.00000000092</v>
      </c>
      <c r="H3308" s="2" t="s">
        <v>20</v>
      </c>
      <c r="I3308" s="2">
        <v>0</v>
      </c>
      <c r="J3308" s="2">
        <v>0</v>
      </c>
      <c r="K3308" s="2">
        <v>0</v>
      </c>
      <c r="L3308" s="2">
        <v>3000000</v>
      </c>
      <c r="M3308" s="2">
        <v>118068</v>
      </c>
      <c r="N3308">
        <f t="shared" si="68"/>
        <v>3001008.0000000009</v>
      </c>
      <c r="O3308" s="2" t="s">
        <v>4</v>
      </c>
    </row>
    <row r="3309" spans="1:15" x14ac:dyDescent="0.2">
      <c r="A3309">
        <v>146</v>
      </c>
      <c r="B3309">
        <v>7</v>
      </c>
      <c r="C3309">
        <v>9</v>
      </c>
      <c r="D3309" s="2">
        <v>3</v>
      </c>
      <c r="E3309" s="2">
        <v>3</v>
      </c>
      <c r="F3309" s="2" t="s">
        <v>4</v>
      </c>
      <c r="G3309" s="2">
        <v>862.99999999965803</v>
      </c>
      <c r="H3309" s="2" t="s">
        <v>20</v>
      </c>
      <c r="I3309" s="2">
        <v>0</v>
      </c>
      <c r="J3309" s="2">
        <v>0</v>
      </c>
      <c r="K3309" s="2">
        <v>0</v>
      </c>
      <c r="L3309" s="2">
        <v>3000000</v>
      </c>
      <c r="M3309" s="2">
        <v>114429</v>
      </c>
      <c r="N3309">
        <f t="shared" si="68"/>
        <v>3000862.9999999995</v>
      </c>
      <c r="O3309" s="2" t="s">
        <v>4</v>
      </c>
    </row>
    <row r="3310" spans="1:15" x14ac:dyDescent="0.2">
      <c r="A3310">
        <v>147</v>
      </c>
      <c r="B3310">
        <v>7</v>
      </c>
      <c r="C3310">
        <v>10</v>
      </c>
      <c r="D3310" s="2">
        <v>2</v>
      </c>
      <c r="E3310" s="2">
        <v>2</v>
      </c>
      <c r="F3310" s="2" t="s">
        <v>4</v>
      </c>
      <c r="G3310" s="2">
        <v>805.59999999962895</v>
      </c>
      <c r="H3310" s="2" t="s">
        <v>20</v>
      </c>
      <c r="I3310" s="2">
        <v>0</v>
      </c>
      <c r="J3310" s="2">
        <v>0</v>
      </c>
      <c r="K3310" s="2">
        <v>0</v>
      </c>
      <c r="L3310" s="2">
        <v>3000000</v>
      </c>
      <c r="M3310" s="2">
        <v>139729</v>
      </c>
      <c r="N3310">
        <f t="shared" si="68"/>
        <v>3000805.5999999996</v>
      </c>
      <c r="O3310" s="2" t="s">
        <v>4</v>
      </c>
    </row>
    <row r="3311" spans="1:15" x14ac:dyDescent="0.2">
      <c r="A3311">
        <v>148</v>
      </c>
      <c r="B3311">
        <v>7</v>
      </c>
      <c r="C3311">
        <v>13</v>
      </c>
      <c r="D3311" s="2">
        <v>2</v>
      </c>
      <c r="E3311" s="2">
        <v>2</v>
      </c>
      <c r="F3311" s="2" t="s">
        <v>4</v>
      </c>
      <c r="G3311" s="2">
        <v>1120.60000000014</v>
      </c>
      <c r="H3311" s="2" t="s">
        <v>20</v>
      </c>
      <c r="I3311" s="2">
        <v>0</v>
      </c>
      <c r="J3311" s="2">
        <v>0</v>
      </c>
      <c r="K3311" s="2">
        <v>0</v>
      </c>
      <c r="L3311" s="2">
        <v>3000000</v>
      </c>
      <c r="M3311" s="2">
        <v>118356</v>
      </c>
      <c r="N3311">
        <f t="shared" si="68"/>
        <v>3001120.6</v>
      </c>
      <c r="O3311" s="2" t="s">
        <v>4</v>
      </c>
    </row>
    <row r="3312" spans="1:15" x14ac:dyDescent="0.2">
      <c r="A3312">
        <v>149</v>
      </c>
      <c r="B3312">
        <v>7</v>
      </c>
      <c r="C3312">
        <v>12</v>
      </c>
      <c r="D3312" s="2">
        <v>3</v>
      </c>
      <c r="E3312" s="2">
        <v>1</v>
      </c>
      <c r="F3312" s="2" t="s">
        <v>4</v>
      </c>
      <c r="G3312" s="2">
        <v>793.40000000058797</v>
      </c>
      <c r="H3312" s="2" t="s">
        <v>20</v>
      </c>
      <c r="I3312" s="2">
        <v>0</v>
      </c>
      <c r="J3312" s="2">
        <v>0</v>
      </c>
      <c r="K3312" s="2">
        <v>0</v>
      </c>
      <c r="L3312" s="2">
        <v>3000000</v>
      </c>
      <c r="M3312" s="2">
        <v>126076</v>
      </c>
      <c r="N3312">
        <f t="shared" si="68"/>
        <v>3000793.4000000004</v>
      </c>
      <c r="O3312" s="2" t="s">
        <v>5</v>
      </c>
    </row>
    <row r="3313" spans="1:15" x14ac:dyDescent="0.2">
      <c r="A3313">
        <v>150</v>
      </c>
      <c r="B3313">
        <v>7</v>
      </c>
      <c r="C3313">
        <v>11</v>
      </c>
      <c r="D3313" s="2">
        <v>2</v>
      </c>
      <c r="E3313" s="2">
        <v>2</v>
      </c>
      <c r="F3313" s="2" t="s">
        <v>4</v>
      </c>
      <c r="G3313" s="2">
        <v>900.00000000003399</v>
      </c>
      <c r="H3313" s="2" t="s">
        <v>20</v>
      </c>
      <c r="I3313" s="2">
        <v>0</v>
      </c>
      <c r="J3313" s="2">
        <v>0</v>
      </c>
      <c r="K3313" s="2">
        <v>0</v>
      </c>
      <c r="L3313" s="2">
        <v>3000000</v>
      </c>
      <c r="M3313" s="2">
        <v>183373</v>
      </c>
      <c r="N3313">
        <f t="shared" si="68"/>
        <v>3000900</v>
      </c>
      <c r="O3313" s="2" t="s">
        <v>4</v>
      </c>
    </row>
    <row r="3314" spans="1:15" x14ac:dyDescent="0.2">
      <c r="A3314">
        <v>151</v>
      </c>
      <c r="B3314">
        <v>7</v>
      </c>
      <c r="C3314">
        <v>11</v>
      </c>
      <c r="D3314" s="2">
        <v>3</v>
      </c>
      <c r="E3314" s="2">
        <v>1</v>
      </c>
      <c r="F3314" s="2" t="s">
        <v>4</v>
      </c>
      <c r="G3314" s="2">
        <v>722.80000000048994</v>
      </c>
      <c r="H3314" s="2" t="s">
        <v>20</v>
      </c>
      <c r="I3314" s="2">
        <v>0</v>
      </c>
      <c r="J3314" s="2">
        <v>0</v>
      </c>
      <c r="K3314" s="2">
        <v>0</v>
      </c>
      <c r="L3314" s="2">
        <v>3000000</v>
      </c>
      <c r="M3314" s="2">
        <v>145986</v>
      </c>
      <c r="N3314">
        <f t="shared" si="68"/>
        <v>3000722.8000000003</v>
      </c>
      <c r="O3314" s="2" t="s">
        <v>5</v>
      </c>
    </row>
    <row r="3315" spans="1:15" x14ac:dyDescent="0.2">
      <c r="A3315">
        <v>152</v>
      </c>
      <c r="B3315">
        <v>7</v>
      </c>
      <c r="C3315">
        <v>12</v>
      </c>
      <c r="D3315" s="2">
        <v>2</v>
      </c>
      <c r="E3315" s="2">
        <v>2</v>
      </c>
      <c r="F3315" s="2" t="s">
        <v>4</v>
      </c>
      <c r="G3315" s="2">
        <v>1022.19999999917</v>
      </c>
      <c r="H3315" s="2" t="s">
        <v>20</v>
      </c>
      <c r="I3315" s="2">
        <v>0</v>
      </c>
      <c r="J3315" s="2">
        <v>0</v>
      </c>
      <c r="K3315" s="2">
        <v>0</v>
      </c>
      <c r="L3315" s="2">
        <v>3000000</v>
      </c>
      <c r="M3315" s="2">
        <v>150895</v>
      </c>
      <c r="N3315">
        <f t="shared" si="68"/>
        <v>3001022.1999999993</v>
      </c>
      <c r="O3315" s="2" t="s">
        <v>4</v>
      </c>
    </row>
    <row r="3316" spans="1:15" x14ac:dyDescent="0.2">
      <c r="A3316">
        <v>153</v>
      </c>
      <c r="B3316">
        <v>7</v>
      </c>
      <c r="C3316">
        <v>11</v>
      </c>
      <c r="D3316" s="2">
        <v>3</v>
      </c>
      <c r="E3316" s="2">
        <v>3</v>
      </c>
      <c r="F3316" s="2" t="s">
        <v>4</v>
      </c>
      <c r="G3316" s="2">
        <v>1173.3999999997</v>
      </c>
      <c r="H3316" s="2" t="s">
        <v>20</v>
      </c>
      <c r="I3316" s="2">
        <v>0</v>
      </c>
      <c r="J3316" s="2">
        <v>0</v>
      </c>
      <c r="K3316" s="2">
        <v>0</v>
      </c>
      <c r="L3316" s="2">
        <v>3000000</v>
      </c>
      <c r="M3316" s="2">
        <v>119068</v>
      </c>
      <c r="N3316">
        <f t="shared" si="68"/>
        <v>3001173.4</v>
      </c>
      <c r="O3316" s="2" t="s">
        <v>4</v>
      </c>
    </row>
    <row r="3317" spans="1:15" x14ac:dyDescent="0.2">
      <c r="A3317">
        <v>154</v>
      </c>
      <c r="B3317">
        <v>7</v>
      </c>
      <c r="C3317">
        <v>12</v>
      </c>
      <c r="D3317" s="2">
        <v>2</v>
      </c>
      <c r="E3317" s="2">
        <v>2</v>
      </c>
      <c r="F3317" s="2" t="s">
        <v>4</v>
      </c>
      <c r="G3317" s="2">
        <v>1026.5999999994301</v>
      </c>
      <c r="H3317" s="2" t="s">
        <v>20</v>
      </c>
      <c r="I3317" s="2">
        <v>0</v>
      </c>
      <c r="J3317" s="2">
        <v>0</v>
      </c>
      <c r="K3317" s="2">
        <v>0</v>
      </c>
      <c r="L3317" s="2">
        <v>3000000</v>
      </c>
      <c r="M3317" s="2">
        <v>116097</v>
      </c>
      <c r="N3317">
        <f t="shared" si="68"/>
        <v>3001026.5999999996</v>
      </c>
      <c r="O3317" s="2" t="s">
        <v>4</v>
      </c>
    </row>
    <row r="3318" spans="1:15" x14ac:dyDescent="0.2">
      <c r="A3318">
        <v>155</v>
      </c>
      <c r="B3318">
        <v>7</v>
      </c>
      <c r="C3318">
        <v>14</v>
      </c>
      <c r="D3318" s="2">
        <v>3</v>
      </c>
      <c r="E3318" s="2">
        <v>3</v>
      </c>
      <c r="F3318" s="2" t="s">
        <v>4</v>
      </c>
      <c r="G3318" s="2">
        <v>1529.80000000014</v>
      </c>
      <c r="H3318" s="2" t="s">
        <v>20</v>
      </c>
      <c r="I3318" s="2">
        <v>0</v>
      </c>
      <c r="J3318" s="2">
        <v>0</v>
      </c>
      <c r="K3318" s="2">
        <v>0</v>
      </c>
      <c r="L3318" s="2">
        <v>3000000</v>
      </c>
      <c r="M3318" s="2">
        <v>78200</v>
      </c>
      <c r="N3318">
        <f t="shared" si="68"/>
        <v>3001529.8000000003</v>
      </c>
      <c r="O3318" s="2" t="s">
        <v>4</v>
      </c>
    </row>
    <row r="3319" spans="1:15" x14ac:dyDescent="0.2">
      <c r="A3319">
        <v>156</v>
      </c>
      <c r="B3319">
        <v>7</v>
      </c>
      <c r="C3319">
        <v>14</v>
      </c>
      <c r="D3319" s="2">
        <v>2</v>
      </c>
      <c r="E3319" s="2">
        <v>2</v>
      </c>
      <c r="F3319" s="2" t="s">
        <v>4</v>
      </c>
      <c r="G3319" s="2">
        <v>1191.7999999994299</v>
      </c>
      <c r="H3319" s="2" t="s">
        <v>20</v>
      </c>
      <c r="I3319" s="2">
        <v>0</v>
      </c>
      <c r="J3319" s="2">
        <v>0</v>
      </c>
      <c r="K3319" s="2">
        <v>0</v>
      </c>
      <c r="L3319" s="2">
        <v>3000000</v>
      </c>
      <c r="M3319" s="2">
        <v>153921</v>
      </c>
      <c r="N3319">
        <f t="shared" si="68"/>
        <v>3001191.7999999993</v>
      </c>
      <c r="O3319" s="2" t="s">
        <v>4</v>
      </c>
    </row>
    <row r="3320" spans="1:15" x14ac:dyDescent="0.2">
      <c r="A3320">
        <v>157</v>
      </c>
      <c r="B3320">
        <v>7</v>
      </c>
      <c r="C3320">
        <v>12</v>
      </c>
      <c r="D3320" s="2">
        <v>3</v>
      </c>
      <c r="E3320" s="2">
        <v>3</v>
      </c>
      <c r="F3320" s="2" t="s">
        <v>4</v>
      </c>
      <c r="G3320" s="2">
        <v>1241.0000000002699</v>
      </c>
      <c r="H3320" s="2" t="s">
        <v>20</v>
      </c>
      <c r="I3320" s="2">
        <v>0</v>
      </c>
      <c r="J3320" s="2">
        <v>0</v>
      </c>
      <c r="K3320" s="2">
        <v>0</v>
      </c>
      <c r="L3320" s="2">
        <v>3000000</v>
      </c>
      <c r="M3320" s="2">
        <v>119309</v>
      </c>
      <c r="N3320">
        <f t="shared" si="68"/>
        <v>3001241.0000000005</v>
      </c>
      <c r="O3320" s="2" t="s">
        <v>4</v>
      </c>
    </row>
    <row r="3321" spans="1:15" x14ac:dyDescent="0.2">
      <c r="A3321">
        <v>158</v>
      </c>
      <c r="B3321">
        <v>7</v>
      </c>
      <c r="C3321">
        <v>13</v>
      </c>
      <c r="D3321" s="2">
        <v>3</v>
      </c>
      <c r="E3321" s="2">
        <v>1</v>
      </c>
      <c r="F3321" s="2" t="s">
        <v>4</v>
      </c>
      <c r="G3321" s="2">
        <v>864.59999999988202</v>
      </c>
      <c r="H3321" s="2" t="s">
        <v>20</v>
      </c>
      <c r="I3321" s="2">
        <v>0</v>
      </c>
      <c r="J3321" s="2">
        <v>0</v>
      </c>
      <c r="K3321" s="2">
        <v>0</v>
      </c>
      <c r="L3321" s="2">
        <v>3000000</v>
      </c>
      <c r="M3321" s="2">
        <v>155844</v>
      </c>
      <c r="N3321">
        <f t="shared" si="68"/>
        <v>3000864.6</v>
      </c>
      <c r="O3321" s="2" t="s">
        <v>5</v>
      </c>
    </row>
    <row r="3322" spans="1:15" x14ac:dyDescent="0.2">
      <c r="A3322">
        <v>159</v>
      </c>
      <c r="B3322">
        <v>7</v>
      </c>
      <c r="C3322">
        <v>15</v>
      </c>
      <c r="D3322" s="2">
        <v>3</v>
      </c>
      <c r="E3322" s="2">
        <v>1</v>
      </c>
      <c r="F3322" s="2" t="s">
        <v>4</v>
      </c>
      <c r="G3322" s="2">
        <v>989.39999999885197</v>
      </c>
      <c r="H3322" s="2" t="s">
        <v>20</v>
      </c>
      <c r="I3322" s="2">
        <v>0</v>
      </c>
      <c r="J3322" s="2">
        <v>0</v>
      </c>
      <c r="K3322" s="2">
        <v>0</v>
      </c>
      <c r="L3322" s="2">
        <v>3000000</v>
      </c>
      <c r="M3322" s="2">
        <v>140199</v>
      </c>
      <c r="N3322">
        <f t="shared" si="68"/>
        <v>3000989.399999999</v>
      </c>
      <c r="O3322" s="2" t="s">
        <v>5</v>
      </c>
    </row>
    <row r="3323" spans="1:15" x14ac:dyDescent="0.2">
      <c r="A3323">
        <v>130</v>
      </c>
      <c r="B3323">
        <v>7</v>
      </c>
      <c r="C3323">
        <v>7</v>
      </c>
      <c r="D3323" s="2">
        <v>2</v>
      </c>
      <c r="E3323" s="2">
        <v>2</v>
      </c>
      <c r="F3323" s="2" t="s">
        <v>4</v>
      </c>
      <c r="G3323" s="2">
        <v>1550.0000000002999</v>
      </c>
      <c r="H3323" s="2" t="s">
        <v>20</v>
      </c>
      <c r="I3323" s="2">
        <v>0</v>
      </c>
      <c r="J3323" s="2">
        <v>0</v>
      </c>
      <c r="K3323" s="2">
        <v>0</v>
      </c>
      <c r="L3323" s="2">
        <v>6000000</v>
      </c>
      <c r="M3323" s="2">
        <v>339250</v>
      </c>
      <c r="N3323">
        <f>L3323+G3323</f>
        <v>6001550</v>
      </c>
      <c r="O3323" s="2" t="s">
        <v>5</v>
      </c>
    </row>
    <row r="3324" spans="1:15" x14ac:dyDescent="0.2">
      <c r="A3324">
        <v>131</v>
      </c>
      <c r="B3324">
        <v>7</v>
      </c>
      <c r="C3324">
        <v>6</v>
      </c>
      <c r="D3324" s="2">
        <v>2</v>
      </c>
      <c r="E3324" s="2">
        <v>2</v>
      </c>
      <c r="F3324" s="2" t="s">
        <v>4</v>
      </c>
      <c r="G3324" s="2">
        <v>863.79999999976997</v>
      </c>
      <c r="H3324" s="2" t="s">
        <v>20</v>
      </c>
      <c r="I3324" s="2">
        <v>0</v>
      </c>
      <c r="J3324" s="2">
        <v>0</v>
      </c>
      <c r="K3324" s="2">
        <v>0</v>
      </c>
      <c r="L3324" s="2">
        <v>6000000</v>
      </c>
      <c r="M3324" s="2">
        <v>121956</v>
      </c>
      <c r="N3324">
        <f t="shared" ref="N3324:N3387" si="69">L3324+G3324</f>
        <v>6000863.7999999998</v>
      </c>
      <c r="O3324" s="2" t="s">
        <v>5</v>
      </c>
    </row>
    <row r="3325" spans="1:15" x14ac:dyDescent="0.2">
      <c r="A3325">
        <v>132</v>
      </c>
      <c r="B3325">
        <v>7</v>
      </c>
      <c r="C3325">
        <v>7</v>
      </c>
      <c r="D3325" s="2">
        <v>3</v>
      </c>
      <c r="E3325" s="2">
        <v>1</v>
      </c>
      <c r="F3325" s="2" t="s">
        <v>4</v>
      </c>
      <c r="G3325" s="2">
        <v>758.19999999993104</v>
      </c>
      <c r="H3325" s="2" t="s">
        <v>20</v>
      </c>
      <c r="I3325" s="2">
        <v>0</v>
      </c>
      <c r="J3325" s="2">
        <v>0</v>
      </c>
      <c r="K3325" s="2">
        <v>0</v>
      </c>
      <c r="L3325" s="2">
        <v>6000000</v>
      </c>
      <c r="M3325" s="2">
        <v>350760</v>
      </c>
      <c r="N3325">
        <f t="shared" si="69"/>
        <v>6000758.2000000002</v>
      </c>
      <c r="O3325" s="2" t="s">
        <v>5</v>
      </c>
    </row>
    <row r="3326" spans="1:15" x14ac:dyDescent="0.2">
      <c r="A3326">
        <v>133</v>
      </c>
      <c r="B3326">
        <v>7</v>
      </c>
      <c r="C3326">
        <v>8</v>
      </c>
      <c r="D3326" s="2">
        <v>3</v>
      </c>
      <c r="E3326" s="2">
        <v>1</v>
      </c>
      <c r="F3326" s="2" t="s">
        <v>4</v>
      </c>
      <c r="G3326" s="2">
        <v>817.40000000110103</v>
      </c>
      <c r="H3326" s="2" t="s">
        <v>20</v>
      </c>
      <c r="I3326" s="2">
        <v>0</v>
      </c>
      <c r="J3326" s="2">
        <v>0</v>
      </c>
      <c r="K3326" s="2">
        <v>0</v>
      </c>
      <c r="L3326" s="2">
        <v>6000000</v>
      </c>
      <c r="M3326" s="2">
        <v>313696</v>
      </c>
      <c r="N3326">
        <f t="shared" si="69"/>
        <v>6000817.4000000013</v>
      </c>
      <c r="O3326" s="2" t="s">
        <v>5</v>
      </c>
    </row>
    <row r="3327" spans="1:15" x14ac:dyDescent="0.2">
      <c r="A3327">
        <v>134</v>
      </c>
      <c r="B3327">
        <v>7</v>
      </c>
      <c r="C3327">
        <v>9</v>
      </c>
      <c r="D3327" s="2">
        <v>2</v>
      </c>
      <c r="E3327" s="2">
        <v>2</v>
      </c>
      <c r="F3327" s="2" t="s">
        <v>4</v>
      </c>
      <c r="G3327" s="2">
        <v>1003.59999999995</v>
      </c>
      <c r="H3327" s="2" t="s">
        <v>20</v>
      </c>
      <c r="I3327" s="2">
        <v>0</v>
      </c>
      <c r="J3327" s="2">
        <v>0</v>
      </c>
      <c r="K3327" s="2">
        <v>0</v>
      </c>
      <c r="L3327" s="2">
        <v>6000000</v>
      </c>
      <c r="M3327" s="2">
        <v>332816</v>
      </c>
      <c r="N3327">
        <f t="shared" si="69"/>
        <v>6001003.5999999996</v>
      </c>
      <c r="O3327" s="2" t="s">
        <v>5</v>
      </c>
    </row>
    <row r="3328" spans="1:15" x14ac:dyDescent="0.2">
      <c r="A3328">
        <v>135</v>
      </c>
      <c r="B3328">
        <v>7</v>
      </c>
      <c r="C3328">
        <v>8</v>
      </c>
      <c r="D3328" s="2">
        <v>3</v>
      </c>
      <c r="E3328" s="2">
        <v>3</v>
      </c>
      <c r="F3328" s="2" t="s">
        <v>4</v>
      </c>
      <c r="G3328" s="2">
        <v>1062.39999999929</v>
      </c>
      <c r="H3328" s="2" t="s">
        <v>20</v>
      </c>
      <c r="I3328" s="2">
        <v>0</v>
      </c>
      <c r="J3328" s="2">
        <v>0</v>
      </c>
      <c r="K3328" s="2">
        <v>0</v>
      </c>
      <c r="L3328" s="2">
        <v>6000000</v>
      </c>
      <c r="M3328" s="2">
        <v>286790</v>
      </c>
      <c r="N3328">
        <f t="shared" si="69"/>
        <v>6001062.3999999994</v>
      </c>
      <c r="O3328" s="2" t="s">
        <v>4</v>
      </c>
    </row>
    <row r="3329" spans="1:15" x14ac:dyDescent="0.2">
      <c r="A3329">
        <v>136</v>
      </c>
      <c r="B3329">
        <v>7</v>
      </c>
      <c r="C3329">
        <v>8</v>
      </c>
      <c r="D3329" s="2">
        <v>2</v>
      </c>
      <c r="E3329" s="2">
        <v>2</v>
      </c>
      <c r="F3329" s="2" t="s">
        <v>4</v>
      </c>
      <c r="G3329" s="2">
        <v>855.39999999966199</v>
      </c>
      <c r="H3329" s="2" t="s">
        <v>20</v>
      </c>
      <c r="I3329" s="2">
        <v>0</v>
      </c>
      <c r="J3329" s="2">
        <v>0</v>
      </c>
      <c r="K3329" s="2">
        <v>0</v>
      </c>
      <c r="L3329" s="2">
        <v>6000000</v>
      </c>
      <c r="M3329" s="2">
        <v>319144</v>
      </c>
      <c r="N3329">
        <f t="shared" si="69"/>
        <v>6000855.3999999994</v>
      </c>
      <c r="O3329" s="2" t="s">
        <v>4</v>
      </c>
    </row>
    <row r="3330" spans="1:15" x14ac:dyDescent="0.2">
      <c r="A3330">
        <v>137</v>
      </c>
      <c r="B3330">
        <v>7</v>
      </c>
      <c r="C3330">
        <v>9</v>
      </c>
      <c r="D3330" s="2">
        <v>3</v>
      </c>
      <c r="E3330" s="2">
        <v>1</v>
      </c>
      <c r="F3330" s="2" t="s">
        <v>4</v>
      </c>
      <c r="G3330" s="2">
        <v>720.60000000035996</v>
      </c>
      <c r="H3330" s="2" t="s">
        <v>20</v>
      </c>
      <c r="I3330" s="2">
        <v>0</v>
      </c>
      <c r="J3330" s="2">
        <v>0</v>
      </c>
      <c r="K3330" s="2">
        <v>0</v>
      </c>
      <c r="L3330" s="2">
        <v>6000000</v>
      </c>
      <c r="M3330" s="2">
        <v>345099</v>
      </c>
      <c r="N3330">
        <f t="shared" si="69"/>
        <v>6000720.6000000006</v>
      </c>
      <c r="O3330" s="2" t="s">
        <v>5</v>
      </c>
    </row>
    <row r="3331" spans="1:15" x14ac:dyDescent="0.2">
      <c r="A3331">
        <v>138</v>
      </c>
      <c r="B3331">
        <v>7</v>
      </c>
      <c r="C3331">
        <v>11</v>
      </c>
      <c r="D3331" s="2">
        <v>3</v>
      </c>
      <c r="E3331" s="2">
        <v>3</v>
      </c>
      <c r="F3331" s="2" t="s">
        <v>4</v>
      </c>
      <c r="G3331" s="2">
        <v>1299.99999999839</v>
      </c>
      <c r="H3331" s="2" t="s">
        <v>20</v>
      </c>
      <c r="I3331" s="2">
        <v>0</v>
      </c>
      <c r="J3331" s="2">
        <v>0</v>
      </c>
      <c r="K3331" s="2">
        <v>0</v>
      </c>
      <c r="L3331" s="2">
        <v>6000000</v>
      </c>
      <c r="M3331" s="2">
        <v>276762</v>
      </c>
      <c r="N3331">
        <f t="shared" si="69"/>
        <v>6001299.9999999981</v>
      </c>
      <c r="O3331" s="2" t="s">
        <v>4</v>
      </c>
    </row>
    <row r="3332" spans="1:15" x14ac:dyDescent="0.2">
      <c r="A3332">
        <v>139</v>
      </c>
      <c r="B3332">
        <v>7</v>
      </c>
      <c r="C3332">
        <v>11</v>
      </c>
      <c r="D3332" s="2">
        <v>3</v>
      </c>
      <c r="E3332" s="2">
        <v>1</v>
      </c>
      <c r="F3332" s="2" t="s">
        <v>4</v>
      </c>
      <c r="G3332" s="2">
        <v>825.79999999978804</v>
      </c>
      <c r="H3332" s="2" t="s">
        <v>20</v>
      </c>
      <c r="I3332" s="2">
        <v>0</v>
      </c>
      <c r="J3332" s="2">
        <v>0</v>
      </c>
      <c r="K3332" s="2">
        <v>0</v>
      </c>
      <c r="L3332" s="2">
        <v>6000000</v>
      </c>
      <c r="M3332" s="2">
        <v>377128</v>
      </c>
      <c r="N3332">
        <f t="shared" si="69"/>
        <v>6000825.7999999998</v>
      </c>
      <c r="O3332" s="2" t="s">
        <v>5</v>
      </c>
    </row>
    <row r="3333" spans="1:15" x14ac:dyDescent="0.2">
      <c r="A3333">
        <v>140</v>
      </c>
      <c r="B3333">
        <v>7</v>
      </c>
      <c r="C3333">
        <v>11</v>
      </c>
      <c r="D3333" s="2">
        <v>2</v>
      </c>
      <c r="E3333" s="2">
        <v>2</v>
      </c>
      <c r="F3333" s="2" t="s">
        <v>4</v>
      </c>
      <c r="G3333" s="2">
        <v>1023.7999999994</v>
      </c>
      <c r="H3333" s="2" t="s">
        <v>20</v>
      </c>
      <c r="I3333" s="2">
        <v>0</v>
      </c>
      <c r="J3333" s="2">
        <v>0</v>
      </c>
      <c r="K3333" s="2">
        <v>0</v>
      </c>
      <c r="L3333" s="2">
        <v>6000000</v>
      </c>
      <c r="M3333" s="2">
        <v>363670</v>
      </c>
      <c r="N3333">
        <f t="shared" si="69"/>
        <v>6001023.7999999998</v>
      </c>
      <c r="O3333" s="2" t="s">
        <v>4</v>
      </c>
    </row>
    <row r="3334" spans="1:15" x14ac:dyDescent="0.2">
      <c r="A3334">
        <v>141</v>
      </c>
      <c r="B3334">
        <v>7</v>
      </c>
      <c r="C3334">
        <v>10</v>
      </c>
      <c r="D3334" s="2">
        <v>3</v>
      </c>
      <c r="E3334" s="2">
        <v>1</v>
      </c>
      <c r="F3334" s="2" t="s">
        <v>4</v>
      </c>
      <c r="G3334" s="2">
        <v>705.79999999935706</v>
      </c>
      <c r="H3334" s="2" t="s">
        <v>20</v>
      </c>
      <c r="I3334" s="2">
        <v>0</v>
      </c>
      <c r="J3334" s="2">
        <v>0</v>
      </c>
      <c r="K3334" s="2">
        <v>0</v>
      </c>
      <c r="L3334" s="2">
        <v>6000000</v>
      </c>
      <c r="M3334" s="2">
        <v>212139</v>
      </c>
      <c r="N3334">
        <f t="shared" si="69"/>
        <v>6000705.7999999998</v>
      </c>
      <c r="O3334" s="2" t="s">
        <v>5</v>
      </c>
    </row>
    <row r="3335" spans="1:15" x14ac:dyDescent="0.2">
      <c r="A3335">
        <v>142</v>
      </c>
      <c r="B3335">
        <v>7</v>
      </c>
      <c r="C3335">
        <v>14</v>
      </c>
      <c r="D3335" s="2">
        <v>3</v>
      </c>
      <c r="E3335" s="2">
        <v>1</v>
      </c>
      <c r="F3335" s="2" t="s">
        <v>4</v>
      </c>
      <c r="G3335" s="2">
        <v>981.20000000037101</v>
      </c>
      <c r="H3335" s="2" t="s">
        <v>20</v>
      </c>
      <c r="I3335" s="2">
        <v>0</v>
      </c>
      <c r="J3335" s="2">
        <v>0</v>
      </c>
      <c r="K3335" s="2">
        <v>0</v>
      </c>
      <c r="L3335" s="2">
        <v>6000000</v>
      </c>
      <c r="M3335" s="2">
        <v>341474</v>
      </c>
      <c r="N3335">
        <f t="shared" si="69"/>
        <v>6000981.2000000002</v>
      </c>
      <c r="O3335" s="2" t="s">
        <v>5</v>
      </c>
    </row>
    <row r="3336" spans="1:15" x14ac:dyDescent="0.2">
      <c r="A3336">
        <v>143</v>
      </c>
      <c r="B3336">
        <v>7</v>
      </c>
      <c r="C3336">
        <v>10</v>
      </c>
      <c r="D3336" s="2">
        <v>3</v>
      </c>
      <c r="E3336" s="2">
        <v>3</v>
      </c>
      <c r="F3336" s="2" t="s">
        <v>4</v>
      </c>
      <c r="G3336" s="2">
        <v>1071.7999999997101</v>
      </c>
      <c r="H3336" s="2" t="s">
        <v>20</v>
      </c>
      <c r="I3336" s="2">
        <v>0</v>
      </c>
      <c r="J3336" s="2">
        <v>0</v>
      </c>
      <c r="K3336" s="2">
        <v>0</v>
      </c>
      <c r="L3336" s="2">
        <v>6000000</v>
      </c>
      <c r="M3336" s="2">
        <v>313526</v>
      </c>
      <c r="N3336">
        <f t="shared" si="69"/>
        <v>6001071.7999999998</v>
      </c>
      <c r="O3336" s="2" t="s">
        <v>4</v>
      </c>
    </row>
    <row r="3337" spans="1:15" x14ac:dyDescent="0.2">
      <c r="A3337">
        <v>144</v>
      </c>
      <c r="B3337">
        <v>7</v>
      </c>
      <c r="C3337">
        <v>9</v>
      </c>
      <c r="D3337" s="2">
        <v>2</v>
      </c>
      <c r="E3337" s="2">
        <v>2</v>
      </c>
      <c r="F3337" s="2" t="s">
        <v>4</v>
      </c>
      <c r="G3337" s="2">
        <v>809.99999999988904</v>
      </c>
      <c r="H3337" s="2" t="s">
        <v>20</v>
      </c>
      <c r="I3337" s="2">
        <v>0</v>
      </c>
      <c r="J3337" s="2">
        <v>0</v>
      </c>
      <c r="K3337" s="2">
        <v>0</v>
      </c>
      <c r="L3337" s="2">
        <v>6000000</v>
      </c>
      <c r="M3337" s="2">
        <v>269312</v>
      </c>
      <c r="N3337">
        <f t="shared" si="69"/>
        <v>6000810</v>
      </c>
      <c r="O3337" s="2" t="s">
        <v>4</v>
      </c>
    </row>
    <row r="3338" spans="1:15" x14ac:dyDescent="0.2">
      <c r="A3338">
        <v>145</v>
      </c>
      <c r="B3338">
        <v>7</v>
      </c>
      <c r="C3338">
        <v>10</v>
      </c>
      <c r="D3338" s="2">
        <v>3</v>
      </c>
      <c r="E3338" s="2">
        <v>3</v>
      </c>
      <c r="F3338" s="2" t="s">
        <v>4</v>
      </c>
      <c r="G3338" s="2">
        <v>1008.00000000092</v>
      </c>
      <c r="H3338" s="2" t="s">
        <v>20</v>
      </c>
      <c r="I3338" s="2">
        <v>0</v>
      </c>
      <c r="J3338" s="2">
        <v>0</v>
      </c>
      <c r="K3338" s="2">
        <v>0</v>
      </c>
      <c r="L3338" s="2">
        <v>6000000</v>
      </c>
      <c r="M3338" s="2">
        <v>196661</v>
      </c>
      <c r="N3338">
        <f t="shared" si="69"/>
        <v>6001008.0000000009</v>
      </c>
      <c r="O3338" s="2" t="s">
        <v>4</v>
      </c>
    </row>
    <row r="3339" spans="1:15" x14ac:dyDescent="0.2">
      <c r="A3339">
        <v>146</v>
      </c>
      <c r="B3339">
        <v>7</v>
      </c>
      <c r="C3339">
        <v>9</v>
      </c>
      <c r="D3339" s="2">
        <v>3</v>
      </c>
      <c r="E3339" s="2">
        <v>3</v>
      </c>
      <c r="F3339" s="2" t="s">
        <v>4</v>
      </c>
      <c r="G3339" s="2">
        <v>862.99999999965803</v>
      </c>
      <c r="H3339" s="2" t="s">
        <v>20</v>
      </c>
      <c r="I3339" s="2">
        <v>0</v>
      </c>
      <c r="J3339" s="2">
        <v>0</v>
      </c>
      <c r="K3339" s="2">
        <v>0</v>
      </c>
      <c r="L3339" s="2">
        <v>6000000</v>
      </c>
      <c r="M3339" s="2">
        <v>303868</v>
      </c>
      <c r="N3339">
        <f t="shared" si="69"/>
        <v>6000863</v>
      </c>
      <c r="O3339" s="2" t="s">
        <v>4</v>
      </c>
    </row>
    <row r="3340" spans="1:15" x14ac:dyDescent="0.2">
      <c r="A3340">
        <v>147</v>
      </c>
      <c r="B3340">
        <v>7</v>
      </c>
      <c r="C3340">
        <v>10</v>
      </c>
      <c r="D3340" s="2">
        <v>2</v>
      </c>
      <c r="E3340" s="2">
        <v>2</v>
      </c>
      <c r="F3340" s="2" t="s">
        <v>4</v>
      </c>
      <c r="G3340" s="2">
        <v>805.59999999962895</v>
      </c>
      <c r="H3340" s="2" t="s">
        <v>20</v>
      </c>
      <c r="I3340" s="2">
        <v>0</v>
      </c>
      <c r="J3340" s="2">
        <v>0</v>
      </c>
      <c r="K3340" s="2">
        <v>0</v>
      </c>
      <c r="L3340" s="2">
        <v>6000000</v>
      </c>
      <c r="M3340" s="2">
        <v>322507</v>
      </c>
      <c r="N3340">
        <f t="shared" si="69"/>
        <v>6000805.5999999996</v>
      </c>
      <c r="O3340" s="2" t="s">
        <v>4</v>
      </c>
    </row>
    <row r="3341" spans="1:15" x14ac:dyDescent="0.2">
      <c r="A3341">
        <v>148</v>
      </c>
      <c r="B3341">
        <v>7</v>
      </c>
      <c r="C3341">
        <v>13</v>
      </c>
      <c r="D3341" s="2">
        <v>2</v>
      </c>
      <c r="E3341" s="2">
        <v>2</v>
      </c>
      <c r="F3341" s="2" t="s">
        <v>4</v>
      </c>
      <c r="G3341" s="2">
        <v>1120.60000000014</v>
      </c>
      <c r="H3341" s="2" t="s">
        <v>20</v>
      </c>
      <c r="I3341" s="2">
        <v>0</v>
      </c>
      <c r="J3341" s="2">
        <v>0</v>
      </c>
      <c r="K3341" s="2">
        <v>0</v>
      </c>
      <c r="L3341" s="2">
        <v>6000000</v>
      </c>
      <c r="M3341" s="2">
        <v>391052</v>
      </c>
      <c r="N3341">
        <f t="shared" si="69"/>
        <v>6001120.6000000006</v>
      </c>
      <c r="O3341" s="2" t="s">
        <v>4</v>
      </c>
    </row>
    <row r="3342" spans="1:15" x14ac:dyDescent="0.2">
      <c r="A3342">
        <v>149</v>
      </c>
      <c r="B3342">
        <v>7</v>
      </c>
      <c r="C3342">
        <v>12</v>
      </c>
      <c r="D3342" s="2">
        <v>3</v>
      </c>
      <c r="E3342" s="2">
        <v>1</v>
      </c>
      <c r="F3342" s="2" t="s">
        <v>4</v>
      </c>
      <c r="G3342" s="2">
        <v>793.40000000058797</v>
      </c>
      <c r="H3342" s="2" t="s">
        <v>20</v>
      </c>
      <c r="I3342" s="2">
        <v>0</v>
      </c>
      <c r="J3342" s="2">
        <v>0</v>
      </c>
      <c r="K3342" s="2">
        <v>0</v>
      </c>
      <c r="L3342" s="2">
        <v>6000000</v>
      </c>
      <c r="M3342" s="2">
        <v>404785</v>
      </c>
      <c r="N3342">
        <f t="shared" si="69"/>
        <v>6000793.4000000004</v>
      </c>
      <c r="O3342" s="2" t="s">
        <v>5</v>
      </c>
    </row>
    <row r="3343" spans="1:15" x14ac:dyDescent="0.2">
      <c r="A3343">
        <v>150</v>
      </c>
      <c r="B3343">
        <v>7</v>
      </c>
      <c r="C3343">
        <v>11</v>
      </c>
      <c r="D3343" s="2">
        <v>2</v>
      </c>
      <c r="E3343" s="2">
        <v>2</v>
      </c>
      <c r="F3343" s="2" t="s">
        <v>4</v>
      </c>
      <c r="G3343" s="2">
        <v>900.00000000003399</v>
      </c>
      <c r="H3343" s="2" t="s">
        <v>20</v>
      </c>
      <c r="I3343" s="2">
        <v>0</v>
      </c>
      <c r="J3343" s="2">
        <v>0</v>
      </c>
      <c r="K3343" s="2">
        <v>0</v>
      </c>
      <c r="L3343" s="2">
        <v>6000000</v>
      </c>
      <c r="M3343" s="2">
        <v>399086</v>
      </c>
      <c r="N3343">
        <f t="shared" si="69"/>
        <v>6000900</v>
      </c>
      <c r="O3343" s="2" t="s">
        <v>4</v>
      </c>
    </row>
    <row r="3344" spans="1:15" x14ac:dyDescent="0.2">
      <c r="A3344">
        <v>151</v>
      </c>
      <c r="B3344">
        <v>7</v>
      </c>
      <c r="C3344">
        <v>11</v>
      </c>
      <c r="D3344" s="2">
        <v>3</v>
      </c>
      <c r="E3344" s="2">
        <v>1</v>
      </c>
      <c r="F3344" s="2" t="s">
        <v>4</v>
      </c>
      <c r="G3344" s="2">
        <v>722.80000000048994</v>
      </c>
      <c r="H3344" s="2" t="s">
        <v>20</v>
      </c>
      <c r="I3344" s="2">
        <v>0</v>
      </c>
      <c r="J3344" s="2">
        <v>0</v>
      </c>
      <c r="K3344" s="2">
        <v>0</v>
      </c>
      <c r="L3344" s="2">
        <v>6000000</v>
      </c>
      <c r="M3344" s="2">
        <v>371883</v>
      </c>
      <c r="N3344">
        <f t="shared" si="69"/>
        <v>6000722.8000000007</v>
      </c>
      <c r="O3344" s="2" t="s">
        <v>5</v>
      </c>
    </row>
    <row r="3345" spans="1:15" x14ac:dyDescent="0.2">
      <c r="A3345">
        <v>152</v>
      </c>
      <c r="B3345">
        <v>7</v>
      </c>
      <c r="C3345">
        <v>12</v>
      </c>
      <c r="D3345" s="2">
        <v>2</v>
      </c>
      <c r="E3345" s="2">
        <v>2</v>
      </c>
      <c r="F3345" s="2" t="s">
        <v>4</v>
      </c>
      <c r="G3345" s="2">
        <v>1022.19999999917</v>
      </c>
      <c r="H3345" s="2" t="s">
        <v>20</v>
      </c>
      <c r="I3345" s="2">
        <v>0</v>
      </c>
      <c r="J3345" s="2">
        <v>0</v>
      </c>
      <c r="K3345" s="2">
        <v>0</v>
      </c>
      <c r="L3345" s="2">
        <v>6000000</v>
      </c>
      <c r="M3345" s="2">
        <v>415627</v>
      </c>
      <c r="N3345">
        <f t="shared" si="69"/>
        <v>6001022.1999999993</v>
      </c>
      <c r="O3345" s="2" t="s">
        <v>4</v>
      </c>
    </row>
    <row r="3346" spans="1:15" x14ac:dyDescent="0.2">
      <c r="A3346">
        <v>153</v>
      </c>
      <c r="B3346">
        <v>7</v>
      </c>
      <c r="C3346">
        <v>11</v>
      </c>
      <c r="D3346" s="2">
        <v>3</v>
      </c>
      <c r="E3346" s="2">
        <v>3</v>
      </c>
      <c r="F3346" s="2" t="s">
        <v>4</v>
      </c>
      <c r="G3346" s="2">
        <v>1173.3999999997</v>
      </c>
      <c r="H3346" s="2" t="s">
        <v>20</v>
      </c>
      <c r="I3346" s="2">
        <v>0</v>
      </c>
      <c r="J3346" s="2">
        <v>0</v>
      </c>
      <c r="K3346" s="2">
        <v>0</v>
      </c>
      <c r="L3346" s="2">
        <v>6000000</v>
      </c>
      <c r="M3346" s="2">
        <v>353930</v>
      </c>
      <c r="N3346">
        <f t="shared" si="69"/>
        <v>6001173.3999999994</v>
      </c>
      <c r="O3346" s="2" t="s">
        <v>4</v>
      </c>
    </row>
    <row r="3347" spans="1:15" x14ac:dyDescent="0.2">
      <c r="A3347">
        <v>154</v>
      </c>
      <c r="B3347">
        <v>7</v>
      </c>
      <c r="C3347">
        <v>12</v>
      </c>
      <c r="D3347" s="2">
        <v>2</v>
      </c>
      <c r="E3347" s="2">
        <v>2</v>
      </c>
      <c r="F3347" s="2" t="s">
        <v>4</v>
      </c>
      <c r="G3347" s="2">
        <v>1026.5999999994301</v>
      </c>
      <c r="H3347" s="2" t="s">
        <v>20</v>
      </c>
      <c r="I3347" s="2">
        <v>0</v>
      </c>
      <c r="J3347" s="2">
        <v>0</v>
      </c>
      <c r="K3347" s="2">
        <v>0</v>
      </c>
      <c r="L3347" s="2">
        <v>6000000</v>
      </c>
      <c r="M3347" s="2">
        <v>269469</v>
      </c>
      <c r="N3347">
        <f t="shared" si="69"/>
        <v>6001026.5999999996</v>
      </c>
      <c r="O3347" s="2" t="s">
        <v>4</v>
      </c>
    </row>
    <row r="3348" spans="1:15" x14ac:dyDescent="0.2">
      <c r="A3348">
        <v>155</v>
      </c>
      <c r="B3348">
        <v>7</v>
      </c>
      <c r="C3348">
        <v>14</v>
      </c>
      <c r="D3348" s="2">
        <v>3</v>
      </c>
      <c r="E3348" s="2">
        <v>3</v>
      </c>
      <c r="F3348" s="2" t="s">
        <v>4</v>
      </c>
      <c r="G3348" s="2">
        <v>1529.80000000014</v>
      </c>
      <c r="H3348" s="2" t="s">
        <v>20</v>
      </c>
      <c r="I3348" s="2">
        <v>0</v>
      </c>
      <c r="J3348" s="2">
        <v>0</v>
      </c>
      <c r="K3348" s="2">
        <v>0</v>
      </c>
      <c r="L3348" s="2">
        <v>6000000</v>
      </c>
      <c r="M3348" s="2">
        <v>236446</v>
      </c>
      <c r="N3348">
        <f t="shared" si="69"/>
        <v>6001529.7999999998</v>
      </c>
      <c r="O3348" s="2" t="s">
        <v>4</v>
      </c>
    </row>
    <row r="3349" spans="1:15" x14ac:dyDescent="0.2">
      <c r="A3349">
        <v>156</v>
      </c>
      <c r="B3349">
        <v>7</v>
      </c>
      <c r="C3349">
        <v>14</v>
      </c>
      <c r="D3349" s="2">
        <v>2</v>
      </c>
      <c r="E3349" s="2">
        <v>2</v>
      </c>
      <c r="F3349" s="2" t="s">
        <v>4</v>
      </c>
      <c r="G3349" s="2">
        <v>1191.7999999994299</v>
      </c>
      <c r="H3349" s="2" t="s">
        <v>20</v>
      </c>
      <c r="I3349" s="2">
        <v>0</v>
      </c>
      <c r="J3349" s="2">
        <v>0</v>
      </c>
      <c r="K3349" s="2">
        <v>0</v>
      </c>
      <c r="L3349" s="2">
        <v>6000000</v>
      </c>
      <c r="M3349" s="2">
        <v>315680</v>
      </c>
      <c r="N3349">
        <f t="shared" si="69"/>
        <v>6001191.7999999998</v>
      </c>
      <c r="O3349" s="2" t="s">
        <v>4</v>
      </c>
    </row>
    <row r="3350" spans="1:15" x14ac:dyDescent="0.2">
      <c r="A3350">
        <v>157</v>
      </c>
      <c r="B3350">
        <v>7</v>
      </c>
      <c r="C3350">
        <v>12</v>
      </c>
      <c r="D3350" s="2">
        <v>3</v>
      </c>
      <c r="E3350" s="2">
        <v>3</v>
      </c>
      <c r="F3350" s="2" t="s">
        <v>4</v>
      </c>
      <c r="G3350" s="2">
        <v>1241.0000000002699</v>
      </c>
      <c r="H3350" s="2" t="s">
        <v>20</v>
      </c>
      <c r="I3350" s="2">
        <v>0</v>
      </c>
      <c r="J3350" s="2">
        <v>0</v>
      </c>
      <c r="K3350" s="2">
        <v>0</v>
      </c>
      <c r="L3350" s="2">
        <v>6000000</v>
      </c>
      <c r="M3350" s="2">
        <v>279242</v>
      </c>
      <c r="N3350">
        <f t="shared" si="69"/>
        <v>6001241</v>
      </c>
      <c r="O3350" s="2" t="s">
        <v>4</v>
      </c>
    </row>
    <row r="3351" spans="1:15" x14ac:dyDescent="0.2">
      <c r="A3351">
        <v>158</v>
      </c>
      <c r="B3351">
        <v>7</v>
      </c>
      <c r="C3351">
        <v>13</v>
      </c>
      <c r="D3351" s="2">
        <v>3</v>
      </c>
      <c r="E3351" s="2">
        <v>1</v>
      </c>
      <c r="F3351" s="2" t="s">
        <v>4</v>
      </c>
      <c r="G3351" s="2">
        <v>864.59999999988202</v>
      </c>
      <c r="H3351" s="2" t="s">
        <v>20</v>
      </c>
      <c r="I3351" s="2">
        <v>0</v>
      </c>
      <c r="J3351" s="2">
        <v>0</v>
      </c>
      <c r="K3351" s="2">
        <v>0</v>
      </c>
      <c r="L3351" s="2">
        <v>6000000</v>
      </c>
      <c r="M3351" s="2">
        <v>339181</v>
      </c>
      <c r="N3351">
        <f t="shared" si="69"/>
        <v>6000864.5999999996</v>
      </c>
      <c r="O3351" s="2" t="s">
        <v>5</v>
      </c>
    </row>
    <row r="3352" spans="1:15" x14ac:dyDescent="0.2">
      <c r="A3352">
        <v>159</v>
      </c>
      <c r="B3352">
        <v>7</v>
      </c>
      <c r="C3352">
        <v>15</v>
      </c>
      <c r="D3352" s="2">
        <v>3</v>
      </c>
      <c r="E3352" s="2">
        <v>1</v>
      </c>
      <c r="F3352" s="2" t="s">
        <v>4</v>
      </c>
      <c r="G3352" s="2">
        <v>989.39999999885197</v>
      </c>
      <c r="H3352" s="2" t="s">
        <v>20</v>
      </c>
      <c r="I3352" s="2">
        <v>0</v>
      </c>
      <c r="J3352" s="2">
        <v>0</v>
      </c>
      <c r="K3352" s="2">
        <v>0</v>
      </c>
      <c r="L3352" s="2">
        <v>6000000</v>
      </c>
      <c r="M3352" s="2">
        <v>357302</v>
      </c>
      <c r="N3352">
        <f t="shared" si="69"/>
        <v>6000989.3999999985</v>
      </c>
      <c r="O3352" s="2" t="s">
        <v>5</v>
      </c>
    </row>
    <row r="3353" spans="1:15" x14ac:dyDescent="0.2">
      <c r="A3353">
        <v>160</v>
      </c>
      <c r="B3353">
        <v>8</v>
      </c>
      <c r="C3353">
        <v>7</v>
      </c>
      <c r="D3353" s="2">
        <v>2</v>
      </c>
      <c r="E3353" s="2">
        <v>3</v>
      </c>
      <c r="F3353" s="2" t="s">
        <v>4</v>
      </c>
      <c r="G3353" s="2">
        <v>2124.6000000005001</v>
      </c>
      <c r="H3353" s="2" t="s">
        <v>20</v>
      </c>
      <c r="I3353" s="2">
        <v>0</v>
      </c>
      <c r="J3353" s="2">
        <v>0</v>
      </c>
      <c r="K3353" s="2">
        <v>0</v>
      </c>
      <c r="L3353" s="2">
        <v>6000000</v>
      </c>
      <c r="M3353" s="2">
        <v>315924</v>
      </c>
      <c r="N3353">
        <f t="shared" si="69"/>
        <v>6002124.6000000006</v>
      </c>
      <c r="O3353" s="2" t="s">
        <v>4</v>
      </c>
    </row>
    <row r="3354" spans="1:15" x14ac:dyDescent="0.2">
      <c r="A3354">
        <v>161</v>
      </c>
      <c r="B3354">
        <v>8</v>
      </c>
      <c r="C3354">
        <v>7</v>
      </c>
      <c r="D3354" s="2">
        <v>3</v>
      </c>
      <c r="E3354" s="2">
        <v>2</v>
      </c>
      <c r="F3354" s="2" t="s">
        <v>4</v>
      </c>
      <c r="G3354" s="2">
        <v>1285.8000000008501</v>
      </c>
      <c r="H3354" s="2" t="s">
        <v>20</v>
      </c>
      <c r="I3354" s="2">
        <v>0</v>
      </c>
      <c r="J3354" s="2">
        <v>0</v>
      </c>
      <c r="K3354" s="2">
        <v>0</v>
      </c>
      <c r="L3354" s="2">
        <v>6000000</v>
      </c>
      <c r="M3354" s="2">
        <v>332609</v>
      </c>
      <c r="N3354">
        <f t="shared" si="69"/>
        <v>6001285.8000000007</v>
      </c>
      <c r="O3354" s="2" t="s">
        <v>4</v>
      </c>
    </row>
    <row r="3355" spans="1:15" x14ac:dyDescent="0.2">
      <c r="A3355">
        <v>162</v>
      </c>
      <c r="B3355">
        <v>8</v>
      </c>
      <c r="C3355">
        <v>7</v>
      </c>
      <c r="D3355" s="2">
        <v>2</v>
      </c>
      <c r="E3355" s="2">
        <v>3</v>
      </c>
      <c r="F3355" s="2" t="s">
        <v>4</v>
      </c>
      <c r="G3355" s="2">
        <v>1788.7999999999199</v>
      </c>
      <c r="H3355" s="2" t="s">
        <v>20</v>
      </c>
      <c r="I3355" s="2">
        <v>0</v>
      </c>
      <c r="J3355" s="2">
        <v>0</v>
      </c>
      <c r="K3355" s="2">
        <v>0</v>
      </c>
      <c r="L3355" s="2">
        <v>6000000</v>
      </c>
      <c r="M3355" s="2">
        <v>317368</v>
      </c>
      <c r="N3355">
        <f t="shared" si="69"/>
        <v>6001788.7999999998</v>
      </c>
      <c r="O3355" s="2" t="s">
        <v>4</v>
      </c>
    </row>
    <row r="3356" spans="1:15" x14ac:dyDescent="0.2">
      <c r="A3356">
        <v>163</v>
      </c>
      <c r="B3356">
        <v>8</v>
      </c>
      <c r="C3356">
        <v>7</v>
      </c>
      <c r="D3356" s="2">
        <v>2</v>
      </c>
      <c r="E3356" s="2">
        <v>1</v>
      </c>
      <c r="F3356" s="2" t="s">
        <v>4</v>
      </c>
      <c r="G3356" s="2">
        <v>1078.5999999996</v>
      </c>
      <c r="H3356" s="2" t="s">
        <v>20</v>
      </c>
      <c r="I3356" s="2">
        <v>0</v>
      </c>
      <c r="J3356" s="2">
        <v>0</v>
      </c>
      <c r="K3356" s="2">
        <v>0</v>
      </c>
      <c r="L3356" s="2">
        <v>6000000</v>
      </c>
      <c r="M3356" s="2">
        <v>403850</v>
      </c>
      <c r="N3356">
        <f t="shared" si="69"/>
        <v>6001078.5999999996</v>
      </c>
      <c r="O3356" s="2" t="s">
        <v>4</v>
      </c>
    </row>
    <row r="3357" spans="1:15" x14ac:dyDescent="0.2">
      <c r="A3357">
        <v>164</v>
      </c>
      <c r="B3357">
        <v>8</v>
      </c>
      <c r="C3357">
        <v>7</v>
      </c>
      <c r="D3357" s="2">
        <v>2</v>
      </c>
      <c r="E3357" s="2">
        <v>2</v>
      </c>
      <c r="F3357" s="2" t="s">
        <v>4</v>
      </c>
      <c r="G3357" s="2">
        <v>1362.4000000000101</v>
      </c>
      <c r="H3357" s="2" t="s">
        <v>20</v>
      </c>
      <c r="I3357" s="2">
        <v>0</v>
      </c>
      <c r="J3357" s="2">
        <v>0</v>
      </c>
      <c r="K3357" s="2">
        <v>0</v>
      </c>
      <c r="L3357" s="2">
        <v>6000000</v>
      </c>
      <c r="M3357" s="2">
        <v>310843</v>
      </c>
      <c r="N3357">
        <f t="shared" si="69"/>
        <v>6001362.4000000004</v>
      </c>
      <c r="O3357" s="2" t="s">
        <v>4</v>
      </c>
    </row>
    <row r="3358" spans="1:15" x14ac:dyDescent="0.2">
      <c r="A3358">
        <v>165</v>
      </c>
      <c r="B3358">
        <v>8</v>
      </c>
      <c r="C3358">
        <v>7</v>
      </c>
      <c r="D3358" s="2">
        <v>2</v>
      </c>
      <c r="E3358" s="2">
        <v>3</v>
      </c>
      <c r="F3358" s="2" t="s">
        <v>4</v>
      </c>
      <c r="G3358" s="2">
        <v>1222.5999999998301</v>
      </c>
      <c r="H3358" s="2" t="s">
        <v>20</v>
      </c>
      <c r="I3358" s="2">
        <v>0</v>
      </c>
      <c r="J3358" s="2">
        <v>0</v>
      </c>
      <c r="K3358" s="2">
        <v>0</v>
      </c>
      <c r="L3358" s="2">
        <v>6000000</v>
      </c>
      <c r="M3358" s="2">
        <v>237499</v>
      </c>
      <c r="N3358">
        <f t="shared" si="69"/>
        <v>6001222.5999999996</v>
      </c>
      <c r="O3358" s="2" t="s">
        <v>4</v>
      </c>
    </row>
    <row r="3359" spans="1:15" x14ac:dyDescent="0.2">
      <c r="A3359">
        <v>166</v>
      </c>
      <c r="B3359">
        <v>8</v>
      </c>
      <c r="C3359">
        <v>7</v>
      </c>
      <c r="D3359" s="2">
        <v>2</v>
      </c>
      <c r="E3359" s="2">
        <v>1</v>
      </c>
      <c r="F3359" s="2" t="s">
        <v>4</v>
      </c>
      <c r="G3359" s="2">
        <v>828.39999999961799</v>
      </c>
      <c r="H3359" s="2" t="s">
        <v>20</v>
      </c>
      <c r="I3359" s="2">
        <v>0</v>
      </c>
      <c r="J3359" s="2">
        <v>0</v>
      </c>
      <c r="K3359" s="2">
        <v>0</v>
      </c>
      <c r="L3359" s="2">
        <v>6000000</v>
      </c>
      <c r="M3359" s="2">
        <v>396617</v>
      </c>
      <c r="N3359">
        <f t="shared" si="69"/>
        <v>6000828.3999999994</v>
      </c>
      <c r="O3359" s="2" t="s">
        <v>5</v>
      </c>
    </row>
    <row r="3360" spans="1:15" x14ac:dyDescent="0.2">
      <c r="A3360">
        <v>167</v>
      </c>
      <c r="B3360">
        <v>8</v>
      </c>
      <c r="C3360">
        <v>7</v>
      </c>
      <c r="D3360" s="2">
        <v>2</v>
      </c>
      <c r="E3360" s="2">
        <v>2</v>
      </c>
      <c r="F3360" s="2" t="s">
        <v>4</v>
      </c>
      <c r="G3360" s="2">
        <v>944.600000001117</v>
      </c>
      <c r="H3360" s="2" t="s">
        <v>20</v>
      </c>
      <c r="I3360" s="2">
        <v>0</v>
      </c>
      <c r="J3360" s="2">
        <v>0</v>
      </c>
      <c r="K3360" s="2">
        <v>0</v>
      </c>
      <c r="L3360" s="2">
        <v>6000000</v>
      </c>
      <c r="M3360" s="2">
        <v>380298</v>
      </c>
      <c r="N3360">
        <f t="shared" si="69"/>
        <v>6000944.6000000015</v>
      </c>
      <c r="O3360" s="2" t="s">
        <v>4</v>
      </c>
    </row>
    <row r="3361" spans="1:15" x14ac:dyDescent="0.2">
      <c r="A3361">
        <v>168</v>
      </c>
      <c r="B3361">
        <v>8</v>
      </c>
      <c r="C3361">
        <v>7</v>
      </c>
      <c r="D3361" s="2">
        <v>3</v>
      </c>
      <c r="E3361" s="2">
        <v>3</v>
      </c>
      <c r="F3361" s="2" t="s">
        <v>4</v>
      </c>
      <c r="G3361" s="2">
        <v>1162.7999999994599</v>
      </c>
      <c r="H3361" s="2" t="s">
        <v>20</v>
      </c>
      <c r="I3361" s="2">
        <v>0</v>
      </c>
      <c r="J3361" s="2">
        <v>0</v>
      </c>
      <c r="K3361" s="2">
        <v>0</v>
      </c>
      <c r="L3361" s="2">
        <v>6000000</v>
      </c>
      <c r="M3361" s="2">
        <v>276512</v>
      </c>
      <c r="N3361">
        <f t="shared" si="69"/>
        <v>6001162.7999999998</v>
      </c>
      <c r="O3361" s="2" t="s">
        <v>4</v>
      </c>
    </row>
    <row r="3362" spans="1:15" x14ac:dyDescent="0.2">
      <c r="A3362">
        <v>169</v>
      </c>
      <c r="B3362">
        <v>8</v>
      </c>
      <c r="C3362">
        <v>7</v>
      </c>
      <c r="D3362" s="2">
        <v>3</v>
      </c>
      <c r="E3362" s="2">
        <v>3</v>
      </c>
      <c r="F3362" s="2" t="s">
        <v>4</v>
      </c>
      <c r="G3362" s="2">
        <v>985.99999999962097</v>
      </c>
      <c r="H3362" s="2" t="s">
        <v>20</v>
      </c>
      <c r="I3362" s="2">
        <v>0</v>
      </c>
      <c r="J3362" s="2">
        <v>0</v>
      </c>
      <c r="K3362" s="2">
        <v>0</v>
      </c>
      <c r="L3362" s="2">
        <v>6000000</v>
      </c>
      <c r="M3362" s="2">
        <v>316418</v>
      </c>
      <c r="N3362">
        <f t="shared" si="69"/>
        <v>6000986</v>
      </c>
      <c r="O3362" s="2" t="s">
        <v>4</v>
      </c>
    </row>
    <row r="3363" spans="1:15" x14ac:dyDescent="0.2">
      <c r="A3363">
        <v>170</v>
      </c>
      <c r="B3363">
        <v>8</v>
      </c>
      <c r="C3363">
        <v>7</v>
      </c>
      <c r="D3363" s="2">
        <v>2</v>
      </c>
      <c r="E3363" s="2">
        <v>3</v>
      </c>
      <c r="F3363" s="2" t="s">
        <v>4</v>
      </c>
      <c r="G3363" s="2">
        <v>1070.39999999969</v>
      </c>
      <c r="H3363" s="2" t="s">
        <v>20</v>
      </c>
      <c r="I3363" s="2">
        <v>0</v>
      </c>
      <c r="J3363" s="2">
        <v>0</v>
      </c>
      <c r="K3363" s="2">
        <v>0</v>
      </c>
      <c r="L3363" s="2">
        <v>6000000</v>
      </c>
      <c r="M3363" s="2">
        <v>279055</v>
      </c>
      <c r="N3363">
        <f t="shared" si="69"/>
        <v>6001070.3999999994</v>
      </c>
      <c r="O3363" s="2" t="s">
        <v>4</v>
      </c>
    </row>
    <row r="3364" spans="1:15" x14ac:dyDescent="0.2">
      <c r="A3364">
        <v>171</v>
      </c>
      <c r="B3364">
        <v>8</v>
      </c>
      <c r="C3364">
        <v>7</v>
      </c>
      <c r="D3364" s="2">
        <v>3</v>
      </c>
      <c r="E3364" s="2">
        <v>3</v>
      </c>
      <c r="F3364" s="2" t="s">
        <v>4</v>
      </c>
      <c r="G3364" s="2">
        <v>1168.6000000004501</v>
      </c>
      <c r="H3364" s="2" t="s">
        <v>20</v>
      </c>
      <c r="I3364" s="2">
        <v>0</v>
      </c>
      <c r="J3364" s="2">
        <v>0</v>
      </c>
      <c r="K3364" s="2">
        <v>0</v>
      </c>
      <c r="L3364" s="2">
        <v>6000000</v>
      </c>
      <c r="M3364" s="2">
        <v>317056</v>
      </c>
      <c r="N3364">
        <f t="shared" si="69"/>
        <v>6001168.6000000006</v>
      </c>
      <c r="O3364" s="2" t="s">
        <v>4</v>
      </c>
    </row>
    <row r="3365" spans="1:15" x14ac:dyDescent="0.2">
      <c r="A3365">
        <v>172</v>
      </c>
      <c r="B3365">
        <v>8</v>
      </c>
      <c r="C3365">
        <v>7</v>
      </c>
      <c r="D3365" s="2">
        <v>2</v>
      </c>
      <c r="E3365" s="2">
        <v>2</v>
      </c>
      <c r="F3365" s="2" t="s">
        <v>4</v>
      </c>
      <c r="G3365" s="2">
        <v>975.20000000059804</v>
      </c>
      <c r="H3365" s="2" t="s">
        <v>20</v>
      </c>
      <c r="I3365" s="2">
        <v>0</v>
      </c>
      <c r="J3365" s="2">
        <v>0</v>
      </c>
      <c r="K3365" s="2">
        <v>0</v>
      </c>
      <c r="L3365" s="2">
        <v>6000000</v>
      </c>
      <c r="M3365" s="2">
        <v>308278</v>
      </c>
      <c r="N3365">
        <f t="shared" si="69"/>
        <v>6000975.2000000002</v>
      </c>
      <c r="O3365" s="2" t="s">
        <v>4</v>
      </c>
    </row>
    <row r="3366" spans="1:15" x14ac:dyDescent="0.2">
      <c r="A3366">
        <v>173</v>
      </c>
      <c r="B3366">
        <v>8</v>
      </c>
      <c r="C3366">
        <v>7</v>
      </c>
      <c r="D3366" s="2">
        <v>3</v>
      </c>
      <c r="E3366" s="2">
        <v>2</v>
      </c>
      <c r="F3366" s="2" t="s">
        <v>4</v>
      </c>
      <c r="G3366" s="2">
        <v>996.19999999944798</v>
      </c>
      <c r="H3366" s="2" t="s">
        <v>20</v>
      </c>
      <c r="I3366" s="2">
        <v>0</v>
      </c>
      <c r="J3366" s="2">
        <v>0</v>
      </c>
      <c r="K3366" s="2">
        <v>0</v>
      </c>
      <c r="L3366" s="2">
        <v>6000000</v>
      </c>
      <c r="M3366" s="2">
        <v>352687</v>
      </c>
      <c r="N3366">
        <f t="shared" si="69"/>
        <v>6000996.1999999993</v>
      </c>
      <c r="O3366" s="2" t="s">
        <v>4</v>
      </c>
    </row>
    <row r="3367" spans="1:15" x14ac:dyDescent="0.2">
      <c r="A3367">
        <v>174</v>
      </c>
      <c r="B3367">
        <v>8</v>
      </c>
      <c r="C3367">
        <v>7</v>
      </c>
      <c r="D3367" s="2">
        <v>2</v>
      </c>
      <c r="E3367" s="2">
        <v>2</v>
      </c>
      <c r="F3367" s="2" t="s">
        <v>4</v>
      </c>
      <c r="G3367" s="2">
        <v>987.00000000064904</v>
      </c>
      <c r="H3367" s="2" t="s">
        <v>20</v>
      </c>
      <c r="I3367" s="2">
        <v>0</v>
      </c>
      <c r="J3367" s="2">
        <v>0</v>
      </c>
      <c r="K3367" s="2">
        <v>0</v>
      </c>
      <c r="L3367" s="2">
        <v>6000000</v>
      </c>
      <c r="M3367" s="2">
        <v>314068</v>
      </c>
      <c r="N3367">
        <f t="shared" si="69"/>
        <v>6000987.0000000009</v>
      </c>
      <c r="O3367" s="2" t="s">
        <v>4</v>
      </c>
    </row>
    <row r="3368" spans="1:15" x14ac:dyDescent="0.2">
      <c r="A3368">
        <v>175</v>
      </c>
      <c r="B3368">
        <v>8</v>
      </c>
      <c r="C3368">
        <v>7</v>
      </c>
      <c r="D3368" s="2">
        <v>3</v>
      </c>
      <c r="E3368" s="2">
        <v>2</v>
      </c>
      <c r="F3368" s="2" t="s">
        <v>4</v>
      </c>
      <c r="G3368" s="2">
        <v>1086.1999999995901</v>
      </c>
      <c r="H3368" s="2" t="s">
        <v>20</v>
      </c>
      <c r="I3368" s="2">
        <v>0</v>
      </c>
      <c r="J3368" s="2">
        <v>0</v>
      </c>
      <c r="K3368" s="2">
        <v>0</v>
      </c>
      <c r="L3368" s="2">
        <v>6000000</v>
      </c>
      <c r="M3368" s="2">
        <v>355888</v>
      </c>
      <c r="N3368">
        <f t="shared" si="69"/>
        <v>6001086.1999999993</v>
      </c>
      <c r="O3368" s="2" t="s">
        <v>4</v>
      </c>
    </row>
    <row r="3369" spans="1:15" x14ac:dyDescent="0.2">
      <c r="A3369">
        <v>176</v>
      </c>
      <c r="B3369">
        <v>8</v>
      </c>
      <c r="C3369">
        <v>7</v>
      </c>
      <c r="D3369" s="2">
        <v>3</v>
      </c>
      <c r="E3369" s="2">
        <v>3</v>
      </c>
      <c r="F3369" s="2" t="s">
        <v>4</v>
      </c>
      <c r="G3369" s="2">
        <v>1291.2</v>
      </c>
      <c r="H3369" s="2" t="s">
        <v>20</v>
      </c>
      <c r="I3369" s="2">
        <v>0</v>
      </c>
      <c r="J3369" s="2">
        <v>0</v>
      </c>
      <c r="K3369" s="2">
        <v>0</v>
      </c>
      <c r="L3369" s="2">
        <v>6000000</v>
      </c>
      <c r="M3369" s="2">
        <v>237243</v>
      </c>
      <c r="N3369">
        <f t="shared" si="69"/>
        <v>6001291.2000000002</v>
      </c>
      <c r="O3369" s="2" t="s">
        <v>4</v>
      </c>
    </row>
    <row r="3370" spans="1:15" x14ac:dyDescent="0.2">
      <c r="A3370">
        <v>177</v>
      </c>
      <c r="B3370">
        <v>8</v>
      </c>
      <c r="C3370">
        <v>7</v>
      </c>
      <c r="D3370" s="2">
        <v>2</v>
      </c>
      <c r="E3370" s="2">
        <v>3</v>
      </c>
      <c r="F3370" s="2" t="s">
        <v>4</v>
      </c>
      <c r="G3370" s="2">
        <v>989.79999999926395</v>
      </c>
      <c r="H3370" s="2" t="s">
        <v>20</v>
      </c>
      <c r="I3370" s="2">
        <v>0</v>
      </c>
      <c r="J3370" s="2">
        <v>0</v>
      </c>
      <c r="K3370" s="2">
        <v>0</v>
      </c>
      <c r="L3370" s="2">
        <v>6000000</v>
      </c>
      <c r="M3370" s="2">
        <v>277063</v>
      </c>
      <c r="N3370">
        <f t="shared" si="69"/>
        <v>6000989.7999999989</v>
      </c>
      <c r="O3370" s="2" t="s">
        <v>4</v>
      </c>
    </row>
    <row r="3371" spans="1:15" x14ac:dyDescent="0.2">
      <c r="A3371">
        <v>178</v>
      </c>
      <c r="B3371">
        <v>8</v>
      </c>
      <c r="C3371">
        <v>7</v>
      </c>
      <c r="D3371" s="2">
        <v>3</v>
      </c>
      <c r="E3371" s="2">
        <v>3</v>
      </c>
      <c r="F3371" s="2" t="s">
        <v>4</v>
      </c>
      <c r="G3371" s="2">
        <v>977.60000000022296</v>
      </c>
      <c r="H3371" s="2" t="s">
        <v>20</v>
      </c>
      <c r="I3371" s="2">
        <v>0</v>
      </c>
      <c r="J3371" s="2">
        <v>0</v>
      </c>
      <c r="K3371" s="2">
        <v>0</v>
      </c>
      <c r="L3371" s="2">
        <v>6000000</v>
      </c>
      <c r="M3371" s="2">
        <v>237437</v>
      </c>
      <c r="N3371">
        <f t="shared" si="69"/>
        <v>6000977.6000000006</v>
      </c>
      <c r="O3371" s="2" t="s">
        <v>4</v>
      </c>
    </row>
    <row r="3372" spans="1:15" x14ac:dyDescent="0.2">
      <c r="A3372">
        <v>179</v>
      </c>
      <c r="B3372">
        <v>8</v>
      </c>
      <c r="C3372">
        <v>7</v>
      </c>
      <c r="D3372" s="2">
        <v>3</v>
      </c>
      <c r="E3372" s="2">
        <v>3</v>
      </c>
      <c r="F3372" s="2" t="s">
        <v>4</v>
      </c>
      <c r="G3372" s="2">
        <v>1027.39999999883</v>
      </c>
      <c r="H3372" s="2" t="s">
        <v>20</v>
      </c>
      <c r="I3372" s="2">
        <v>0</v>
      </c>
      <c r="J3372" s="2">
        <v>0</v>
      </c>
      <c r="K3372" s="2">
        <v>0</v>
      </c>
      <c r="L3372" s="2">
        <v>6000000</v>
      </c>
      <c r="M3372" s="2">
        <v>316655</v>
      </c>
      <c r="N3372">
        <f t="shared" si="69"/>
        <v>6001027.3999999985</v>
      </c>
      <c r="O3372" s="2" t="s">
        <v>4</v>
      </c>
    </row>
    <row r="3373" spans="1:15" x14ac:dyDescent="0.2">
      <c r="A3373">
        <v>180</v>
      </c>
      <c r="B3373">
        <v>8</v>
      </c>
      <c r="C3373">
        <v>7</v>
      </c>
      <c r="D3373" s="2">
        <v>3</v>
      </c>
      <c r="E3373" s="2">
        <v>3</v>
      </c>
      <c r="F3373" s="2" t="s">
        <v>4</v>
      </c>
      <c r="G3373" s="2">
        <v>997.40000000068096</v>
      </c>
      <c r="H3373" s="2" t="s">
        <v>20</v>
      </c>
      <c r="I3373" s="2">
        <v>0</v>
      </c>
      <c r="J3373" s="2">
        <v>0</v>
      </c>
      <c r="K3373" s="2">
        <v>0</v>
      </c>
      <c r="L3373" s="2">
        <v>6000000</v>
      </c>
      <c r="M3373" s="2">
        <v>316726</v>
      </c>
      <c r="N3373">
        <f t="shared" si="69"/>
        <v>6000997.4000000004</v>
      </c>
      <c r="O3373" s="2" t="s">
        <v>4</v>
      </c>
    </row>
    <row r="3374" spans="1:15" x14ac:dyDescent="0.2">
      <c r="A3374">
        <v>181</v>
      </c>
      <c r="B3374">
        <v>8</v>
      </c>
      <c r="C3374">
        <v>7</v>
      </c>
      <c r="D3374" s="2">
        <v>2</v>
      </c>
      <c r="E3374" s="2">
        <v>3</v>
      </c>
      <c r="F3374" s="2" t="s">
        <v>4</v>
      </c>
      <c r="G3374" s="2">
        <v>1310.9999999997499</v>
      </c>
      <c r="H3374" s="2" t="s">
        <v>20</v>
      </c>
      <c r="I3374" s="2">
        <v>0</v>
      </c>
      <c r="J3374" s="2">
        <v>0</v>
      </c>
      <c r="K3374" s="2">
        <v>0</v>
      </c>
      <c r="L3374" s="2">
        <v>6000000</v>
      </c>
      <c r="M3374" s="2">
        <v>277031</v>
      </c>
      <c r="N3374">
        <f t="shared" si="69"/>
        <v>6001311</v>
      </c>
      <c r="O3374" s="2" t="s">
        <v>4</v>
      </c>
    </row>
    <row r="3375" spans="1:15" x14ac:dyDescent="0.2">
      <c r="A3375">
        <v>182</v>
      </c>
      <c r="B3375">
        <v>8</v>
      </c>
      <c r="C3375">
        <v>7</v>
      </c>
      <c r="D3375" s="2">
        <v>2</v>
      </c>
      <c r="E3375" s="2">
        <v>3</v>
      </c>
      <c r="F3375" s="2" t="s">
        <v>4</v>
      </c>
      <c r="G3375" s="2">
        <v>1100.39999999927</v>
      </c>
      <c r="H3375" s="2" t="s">
        <v>20</v>
      </c>
      <c r="I3375" s="2">
        <v>0</v>
      </c>
      <c r="J3375" s="2">
        <v>0</v>
      </c>
      <c r="K3375" s="2">
        <v>0</v>
      </c>
      <c r="L3375" s="2">
        <v>6000000</v>
      </c>
      <c r="M3375" s="2">
        <v>277096</v>
      </c>
      <c r="N3375">
        <f t="shared" si="69"/>
        <v>6001100.3999999994</v>
      </c>
      <c r="O3375" s="2" t="s">
        <v>4</v>
      </c>
    </row>
    <row r="3376" spans="1:15" x14ac:dyDescent="0.2">
      <c r="A3376">
        <v>183</v>
      </c>
      <c r="B3376">
        <v>8</v>
      </c>
      <c r="C3376">
        <v>7</v>
      </c>
      <c r="D3376" s="2">
        <v>3</v>
      </c>
      <c r="E3376" s="2">
        <v>3</v>
      </c>
      <c r="F3376" s="2" t="s">
        <v>4</v>
      </c>
      <c r="G3376" s="2">
        <v>1108.40000000039</v>
      </c>
      <c r="H3376" s="2" t="s">
        <v>20</v>
      </c>
      <c r="I3376" s="2">
        <v>0</v>
      </c>
      <c r="J3376" s="2">
        <v>0</v>
      </c>
      <c r="K3376" s="2">
        <v>0</v>
      </c>
      <c r="L3376" s="2">
        <v>6000000</v>
      </c>
      <c r="M3376" s="2">
        <v>316840</v>
      </c>
      <c r="N3376">
        <f t="shared" si="69"/>
        <v>6001108.4000000004</v>
      </c>
      <c r="O3376" s="2" t="s">
        <v>4</v>
      </c>
    </row>
    <row r="3377" spans="1:15" x14ac:dyDescent="0.2">
      <c r="A3377">
        <v>184</v>
      </c>
      <c r="B3377">
        <v>8</v>
      </c>
      <c r="C3377">
        <v>7</v>
      </c>
      <c r="D3377" s="2">
        <v>2</v>
      </c>
      <c r="E3377" s="2">
        <v>2</v>
      </c>
      <c r="F3377" s="2" t="s">
        <v>4</v>
      </c>
      <c r="G3377" s="2">
        <v>941.200000000464</v>
      </c>
      <c r="H3377" s="2" t="s">
        <v>20</v>
      </c>
      <c r="I3377" s="2">
        <v>0</v>
      </c>
      <c r="J3377" s="2">
        <v>0</v>
      </c>
      <c r="K3377" s="2">
        <v>0</v>
      </c>
      <c r="L3377" s="2">
        <v>6000000</v>
      </c>
      <c r="M3377" s="2">
        <v>308544</v>
      </c>
      <c r="N3377">
        <f t="shared" si="69"/>
        <v>6000941.2000000002</v>
      </c>
      <c r="O3377" s="2" t="s">
        <v>4</v>
      </c>
    </row>
    <row r="3378" spans="1:15" x14ac:dyDescent="0.2">
      <c r="A3378">
        <v>185</v>
      </c>
      <c r="B3378">
        <v>8</v>
      </c>
      <c r="C3378">
        <v>7</v>
      </c>
      <c r="D3378" s="2">
        <v>2</v>
      </c>
      <c r="E3378" s="2">
        <v>3</v>
      </c>
      <c r="F3378" s="2" t="s">
        <v>4</v>
      </c>
      <c r="G3378" s="2">
        <v>1091.79999999967</v>
      </c>
      <c r="H3378" s="2" t="s">
        <v>20</v>
      </c>
      <c r="I3378" s="2">
        <v>0</v>
      </c>
      <c r="J3378" s="2">
        <v>0</v>
      </c>
      <c r="K3378" s="2">
        <v>0</v>
      </c>
      <c r="L3378" s="2">
        <v>6000000</v>
      </c>
      <c r="M3378" s="2">
        <v>158239</v>
      </c>
      <c r="N3378">
        <f t="shared" si="69"/>
        <v>6001091.7999999998</v>
      </c>
      <c r="O3378" s="2" t="s">
        <v>4</v>
      </c>
    </row>
    <row r="3379" spans="1:15" x14ac:dyDescent="0.2">
      <c r="A3379">
        <v>186</v>
      </c>
      <c r="B3379">
        <v>8</v>
      </c>
      <c r="C3379">
        <v>7</v>
      </c>
      <c r="D3379" s="2">
        <v>3</v>
      </c>
      <c r="E3379" s="2">
        <v>3</v>
      </c>
      <c r="F3379" s="2" t="s">
        <v>4</v>
      </c>
      <c r="G3379" s="2">
        <v>1080.40000000074</v>
      </c>
      <c r="H3379" s="2" t="s">
        <v>20</v>
      </c>
      <c r="I3379" s="2">
        <v>0</v>
      </c>
      <c r="J3379" s="2">
        <v>0</v>
      </c>
      <c r="K3379" s="2">
        <v>0</v>
      </c>
      <c r="L3379" s="2">
        <v>6000000</v>
      </c>
      <c r="M3379" s="2">
        <v>237667</v>
      </c>
      <c r="N3379">
        <f t="shared" si="69"/>
        <v>6001080.4000000004</v>
      </c>
      <c r="O3379" s="2" t="s">
        <v>4</v>
      </c>
    </row>
    <row r="3380" spans="1:15" x14ac:dyDescent="0.2">
      <c r="A3380">
        <v>187</v>
      </c>
      <c r="B3380">
        <v>8</v>
      </c>
      <c r="C3380">
        <v>7</v>
      </c>
      <c r="D3380" s="2">
        <v>3</v>
      </c>
      <c r="E3380" s="2">
        <v>2</v>
      </c>
      <c r="F3380" s="2" t="s">
        <v>4</v>
      </c>
      <c r="G3380" s="2">
        <v>864.19999999947095</v>
      </c>
      <c r="H3380" s="2" t="s">
        <v>20</v>
      </c>
      <c r="I3380" s="2">
        <v>0</v>
      </c>
      <c r="J3380" s="2">
        <v>0</v>
      </c>
      <c r="K3380" s="2">
        <v>0</v>
      </c>
      <c r="L3380" s="2">
        <v>6000000</v>
      </c>
      <c r="M3380" s="2">
        <v>185551</v>
      </c>
      <c r="N3380">
        <f t="shared" si="69"/>
        <v>6000864.1999999993</v>
      </c>
      <c r="O3380" s="2" t="s">
        <v>4</v>
      </c>
    </row>
    <row r="3381" spans="1:15" x14ac:dyDescent="0.2">
      <c r="A3381">
        <v>188</v>
      </c>
      <c r="B3381">
        <v>8</v>
      </c>
      <c r="C3381">
        <v>7</v>
      </c>
      <c r="D3381" s="2">
        <v>3</v>
      </c>
      <c r="E3381" s="2">
        <v>2</v>
      </c>
      <c r="F3381" s="2" t="s">
        <v>4</v>
      </c>
      <c r="G3381" s="2">
        <v>954.99999999972795</v>
      </c>
      <c r="H3381" s="2" t="s">
        <v>20</v>
      </c>
      <c r="I3381" s="2">
        <v>0</v>
      </c>
      <c r="J3381" s="2">
        <v>0</v>
      </c>
      <c r="K3381" s="2">
        <v>0</v>
      </c>
      <c r="L3381" s="2">
        <v>6000000</v>
      </c>
      <c r="M3381" s="2">
        <v>193101</v>
      </c>
      <c r="N3381">
        <f t="shared" si="69"/>
        <v>6000955</v>
      </c>
      <c r="O3381" s="2" t="s">
        <v>4</v>
      </c>
    </row>
    <row r="3382" spans="1:15" x14ac:dyDescent="0.2">
      <c r="A3382">
        <v>189</v>
      </c>
      <c r="B3382">
        <v>8</v>
      </c>
      <c r="C3382">
        <v>7</v>
      </c>
      <c r="D3382" s="2">
        <v>3</v>
      </c>
      <c r="E3382" s="2">
        <v>3</v>
      </c>
      <c r="F3382" s="2" t="s">
        <v>4</v>
      </c>
      <c r="G3382" s="2">
        <v>1226.7999999998799</v>
      </c>
      <c r="H3382" s="2" t="s">
        <v>20</v>
      </c>
      <c r="I3382" s="2">
        <v>0</v>
      </c>
      <c r="J3382" s="2">
        <v>0</v>
      </c>
      <c r="K3382" s="2">
        <v>0</v>
      </c>
      <c r="L3382" s="2">
        <v>6000000</v>
      </c>
      <c r="M3382" s="2">
        <v>238047</v>
      </c>
      <c r="N3382">
        <f t="shared" si="69"/>
        <v>6001226.7999999998</v>
      </c>
      <c r="O3382" s="2" t="s">
        <v>4</v>
      </c>
    </row>
    <row r="3383" spans="1:15" x14ac:dyDescent="0.2">
      <c r="A3383">
        <v>160</v>
      </c>
      <c r="B3383">
        <v>8</v>
      </c>
      <c r="C3383">
        <v>7</v>
      </c>
      <c r="D3383" s="2">
        <v>2</v>
      </c>
      <c r="E3383" s="2">
        <v>3</v>
      </c>
      <c r="F3383" s="2" t="s">
        <v>4</v>
      </c>
      <c r="G3383" s="2">
        <v>2124.6000000005001</v>
      </c>
      <c r="H3383" s="2" t="s">
        <v>20</v>
      </c>
      <c r="I3383" s="2">
        <v>0</v>
      </c>
      <c r="J3383" s="2">
        <v>0</v>
      </c>
      <c r="K3383" s="2">
        <v>0</v>
      </c>
      <c r="L3383" s="2">
        <v>9000000</v>
      </c>
      <c r="M3383" s="2">
        <v>236749</v>
      </c>
      <c r="N3383">
        <f t="shared" si="69"/>
        <v>9002124.5999999996</v>
      </c>
      <c r="O3383" s="2" t="s">
        <v>4</v>
      </c>
    </row>
    <row r="3384" spans="1:15" x14ac:dyDescent="0.2">
      <c r="A3384">
        <v>161</v>
      </c>
      <c r="B3384">
        <v>8</v>
      </c>
      <c r="C3384">
        <v>7</v>
      </c>
      <c r="D3384" s="2">
        <v>3</v>
      </c>
      <c r="E3384" s="2">
        <v>2</v>
      </c>
      <c r="F3384" s="2" t="s">
        <v>4</v>
      </c>
      <c r="G3384" s="2">
        <v>1285.8000000008501</v>
      </c>
      <c r="H3384" s="2" t="s">
        <v>20</v>
      </c>
      <c r="I3384" s="2">
        <v>0</v>
      </c>
      <c r="J3384" s="2">
        <v>0</v>
      </c>
      <c r="K3384" s="2">
        <v>0</v>
      </c>
      <c r="L3384" s="2">
        <v>9000000</v>
      </c>
      <c r="M3384" s="2">
        <v>554485</v>
      </c>
      <c r="N3384">
        <f t="shared" si="69"/>
        <v>9001285.8000000007</v>
      </c>
      <c r="O3384" s="2" t="s">
        <v>5</v>
      </c>
    </row>
    <row r="3385" spans="1:15" x14ac:dyDescent="0.2">
      <c r="A3385">
        <v>162</v>
      </c>
      <c r="B3385">
        <v>8</v>
      </c>
      <c r="C3385">
        <v>7</v>
      </c>
      <c r="D3385" s="2">
        <v>2</v>
      </c>
      <c r="E3385" s="2">
        <v>3</v>
      </c>
      <c r="F3385" s="2" t="s">
        <v>4</v>
      </c>
      <c r="G3385" s="2">
        <v>1788.7999999999199</v>
      </c>
      <c r="H3385" s="2" t="s">
        <v>20</v>
      </c>
      <c r="I3385" s="2">
        <v>0</v>
      </c>
      <c r="J3385" s="2">
        <v>0</v>
      </c>
      <c r="K3385" s="2">
        <v>0</v>
      </c>
      <c r="L3385" s="2">
        <v>9000000</v>
      </c>
      <c r="M3385" s="2">
        <v>476150</v>
      </c>
      <c r="N3385">
        <f t="shared" si="69"/>
        <v>9001788.8000000007</v>
      </c>
      <c r="O3385" s="2" t="s">
        <v>4</v>
      </c>
    </row>
    <row r="3386" spans="1:15" x14ac:dyDescent="0.2">
      <c r="A3386">
        <v>163</v>
      </c>
      <c r="B3386">
        <v>8</v>
      </c>
      <c r="C3386">
        <v>7</v>
      </c>
      <c r="D3386" s="2">
        <v>2</v>
      </c>
      <c r="E3386" s="2">
        <v>1</v>
      </c>
      <c r="F3386" s="2" t="s">
        <v>4</v>
      </c>
      <c r="G3386" s="2">
        <v>1078.5999999996</v>
      </c>
      <c r="H3386" s="2" t="s">
        <v>20</v>
      </c>
      <c r="I3386" s="2">
        <v>0</v>
      </c>
      <c r="J3386" s="2">
        <v>0</v>
      </c>
      <c r="K3386" s="2">
        <v>0</v>
      </c>
      <c r="L3386" s="2">
        <v>9000000</v>
      </c>
      <c r="M3386" s="2">
        <v>575337</v>
      </c>
      <c r="N3386">
        <f t="shared" si="69"/>
        <v>9001078.5999999996</v>
      </c>
      <c r="O3386" s="2" t="s">
        <v>5</v>
      </c>
    </row>
    <row r="3387" spans="1:15" x14ac:dyDescent="0.2">
      <c r="A3387">
        <v>164</v>
      </c>
      <c r="B3387">
        <v>8</v>
      </c>
      <c r="C3387">
        <v>7</v>
      </c>
      <c r="D3387" s="2">
        <v>2</v>
      </c>
      <c r="E3387" s="2">
        <v>2</v>
      </c>
      <c r="F3387" s="2" t="s">
        <v>4</v>
      </c>
      <c r="G3387" s="2">
        <v>1362.4000000000101</v>
      </c>
      <c r="H3387" s="2" t="s">
        <v>20</v>
      </c>
      <c r="I3387" s="2">
        <v>0</v>
      </c>
      <c r="J3387" s="2">
        <v>0</v>
      </c>
      <c r="K3387" s="2">
        <v>0</v>
      </c>
      <c r="L3387" s="2">
        <v>9000000</v>
      </c>
      <c r="M3387" s="2">
        <v>501040</v>
      </c>
      <c r="N3387">
        <f t="shared" si="69"/>
        <v>9001362.4000000004</v>
      </c>
      <c r="O3387" s="2" t="s">
        <v>4</v>
      </c>
    </row>
    <row r="3388" spans="1:15" x14ac:dyDescent="0.2">
      <c r="A3388">
        <v>165</v>
      </c>
      <c r="B3388">
        <v>8</v>
      </c>
      <c r="C3388">
        <v>7</v>
      </c>
      <c r="D3388" s="2">
        <v>2</v>
      </c>
      <c r="E3388" s="2">
        <v>3</v>
      </c>
      <c r="F3388" s="2" t="s">
        <v>4</v>
      </c>
      <c r="G3388" s="2">
        <v>1222.5999999998301</v>
      </c>
      <c r="H3388" s="2" t="s">
        <v>20</v>
      </c>
      <c r="I3388" s="2">
        <v>0</v>
      </c>
      <c r="J3388" s="2">
        <v>0</v>
      </c>
      <c r="K3388" s="2">
        <v>0</v>
      </c>
      <c r="L3388" s="2">
        <v>9000000</v>
      </c>
      <c r="M3388" s="2">
        <v>513209</v>
      </c>
      <c r="N3388">
        <f t="shared" ref="N3388:N3451" si="70">L3388+G3388</f>
        <v>9001222.5999999996</v>
      </c>
      <c r="O3388" s="2" t="s">
        <v>4</v>
      </c>
    </row>
    <row r="3389" spans="1:15" x14ac:dyDescent="0.2">
      <c r="A3389">
        <v>166</v>
      </c>
      <c r="B3389">
        <v>8</v>
      </c>
      <c r="C3389">
        <v>7</v>
      </c>
      <c r="D3389" s="2">
        <v>2</v>
      </c>
      <c r="E3389" s="2">
        <v>1</v>
      </c>
      <c r="F3389" s="2" t="s">
        <v>4</v>
      </c>
      <c r="G3389" s="2">
        <v>828.39999999961799</v>
      </c>
      <c r="H3389" s="2" t="s">
        <v>20</v>
      </c>
      <c r="I3389" s="2">
        <v>0</v>
      </c>
      <c r="J3389" s="2">
        <v>0</v>
      </c>
      <c r="K3389" s="2">
        <v>0</v>
      </c>
      <c r="L3389" s="2">
        <v>9000000</v>
      </c>
      <c r="M3389" s="2">
        <v>569773</v>
      </c>
      <c r="N3389">
        <f t="shared" si="70"/>
        <v>9000828.4000000004</v>
      </c>
      <c r="O3389" s="2" t="s">
        <v>5</v>
      </c>
    </row>
    <row r="3390" spans="1:15" x14ac:dyDescent="0.2">
      <c r="A3390">
        <v>167</v>
      </c>
      <c r="B3390">
        <v>8</v>
      </c>
      <c r="C3390">
        <v>7</v>
      </c>
      <c r="D3390" s="2">
        <v>2</v>
      </c>
      <c r="E3390" s="2">
        <v>2</v>
      </c>
      <c r="F3390" s="2" t="s">
        <v>4</v>
      </c>
      <c r="G3390" s="2">
        <v>944.600000001117</v>
      </c>
      <c r="H3390" s="2" t="s">
        <v>20</v>
      </c>
      <c r="I3390" s="2">
        <v>0</v>
      </c>
      <c r="J3390" s="2">
        <v>0</v>
      </c>
      <c r="K3390" s="2">
        <v>0</v>
      </c>
      <c r="L3390" s="2">
        <v>9000000</v>
      </c>
      <c r="M3390" s="2">
        <v>522694</v>
      </c>
      <c r="N3390">
        <f t="shared" si="70"/>
        <v>9000944.6000000015</v>
      </c>
      <c r="O3390" s="2" t="s">
        <v>4</v>
      </c>
    </row>
    <row r="3391" spans="1:15" x14ac:dyDescent="0.2">
      <c r="A3391">
        <v>168</v>
      </c>
      <c r="B3391">
        <v>8</v>
      </c>
      <c r="C3391">
        <v>7</v>
      </c>
      <c r="D3391" s="2">
        <v>3</v>
      </c>
      <c r="E3391" s="2">
        <v>3</v>
      </c>
      <c r="F3391" s="2" t="s">
        <v>4</v>
      </c>
      <c r="G3391" s="2">
        <v>1162.7999999994599</v>
      </c>
      <c r="H3391" s="2" t="s">
        <v>20</v>
      </c>
      <c r="I3391" s="2">
        <v>0</v>
      </c>
      <c r="J3391" s="2">
        <v>0</v>
      </c>
      <c r="K3391" s="2">
        <v>0</v>
      </c>
      <c r="L3391" s="2">
        <v>9000000</v>
      </c>
      <c r="M3391" s="2">
        <v>474914</v>
      </c>
      <c r="N3391">
        <f t="shared" si="70"/>
        <v>9001162.7999999989</v>
      </c>
      <c r="O3391" s="2" t="s">
        <v>4</v>
      </c>
    </row>
    <row r="3392" spans="1:15" x14ac:dyDescent="0.2">
      <c r="A3392">
        <v>169</v>
      </c>
      <c r="B3392">
        <v>8</v>
      </c>
      <c r="C3392">
        <v>7</v>
      </c>
      <c r="D3392" s="2">
        <v>3</v>
      </c>
      <c r="E3392" s="2">
        <v>3</v>
      </c>
      <c r="F3392" s="2" t="s">
        <v>4</v>
      </c>
      <c r="G3392" s="2">
        <v>985.99999999962097</v>
      </c>
      <c r="H3392" s="2" t="s">
        <v>20</v>
      </c>
      <c r="I3392" s="2">
        <v>0</v>
      </c>
      <c r="J3392" s="2">
        <v>0</v>
      </c>
      <c r="K3392" s="2">
        <v>0</v>
      </c>
      <c r="L3392" s="2">
        <v>9000000</v>
      </c>
      <c r="M3392" s="2">
        <v>512962</v>
      </c>
      <c r="N3392">
        <f t="shared" si="70"/>
        <v>9000986</v>
      </c>
      <c r="O3392" s="2" t="s">
        <v>4</v>
      </c>
    </row>
    <row r="3393" spans="1:15" x14ac:dyDescent="0.2">
      <c r="A3393">
        <v>170</v>
      </c>
      <c r="B3393">
        <v>8</v>
      </c>
      <c r="C3393">
        <v>7</v>
      </c>
      <c r="D3393" s="2">
        <v>2</v>
      </c>
      <c r="E3393" s="2">
        <v>3</v>
      </c>
      <c r="F3393" s="2" t="s">
        <v>4</v>
      </c>
      <c r="G3393" s="2">
        <v>1070.39999999969</v>
      </c>
      <c r="H3393" s="2" t="s">
        <v>20</v>
      </c>
      <c r="I3393" s="2">
        <v>0</v>
      </c>
      <c r="J3393" s="2">
        <v>0</v>
      </c>
      <c r="K3393" s="2">
        <v>0</v>
      </c>
      <c r="L3393" s="2">
        <v>9000000</v>
      </c>
      <c r="M3393" s="2">
        <v>318527</v>
      </c>
      <c r="N3393">
        <f t="shared" si="70"/>
        <v>9001070.4000000004</v>
      </c>
      <c r="O3393" s="2" t="s">
        <v>4</v>
      </c>
    </row>
    <row r="3394" spans="1:15" x14ac:dyDescent="0.2">
      <c r="A3394">
        <v>171</v>
      </c>
      <c r="B3394">
        <v>8</v>
      </c>
      <c r="C3394">
        <v>7</v>
      </c>
      <c r="D3394" s="2">
        <v>3</v>
      </c>
      <c r="E3394" s="2">
        <v>3</v>
      </c>
      <c r="F3394" s="2" t="s">
        <v>4</v>
      </c>
      <c r="G3394" s="2">
        <v>1168.6000000004501</v>
      </c>
      <c r="H3394" s="2" t="s">
        <v>20</v>
      </c>
      <c r="I3394" s="2">
        <v>0</v>
      </c>
      <c r="J3394" s="2">
        <v>0</v>
      </c>
      <c r="K3394" s="2">
        <v>0</v>
      </c>
      <c r="L3394" s="2">
        <v>9000000</v>
      </c>
      <c r="M3394" s="2">
        <v>357470</v>
      </c>
      <c r="N3394">
        <f t="shared" si="70"/>
        <v>9001168.5999999996</v>
      </c>
      <c r="O3394" s="2" t="s">
        <v>4</v>
      </c>
    </row>
    <row r="3395" spans="1:15" x14ac:dyDescent="0.2">
      <c r="A3395">
        <v>172</v>
      </c>
      <c r="B3395">
        <v>8</v>
      </c>
      <c r="C3395">
        <v>7</v>
      </c>
      <c r="D3395" s="2">
        <v>2</v>
      </c>
      <c r="E3395" s="2">
        <v>2</v>
      </c>
      <c r="F3395" s="2" t="s">
        <v>4</v>
      </c>
      <c r="G3395" s="2">
        <v>975.20000000059804</v>
      </c>
      <c r="H3395" s="2" t="s">
        <v>20</v>
      </c>
      <c r="I3395" s="2">
        <v>0</v>
      </c>
      <c r="J3395" s="2">
        <v>0</v>
      </c>
      <c r="K3395" s="2">
        <v>0</v>
      </c>
      <c r="L3395" s="2">
        <v>9000000</v>
      </c>
      <c r="M3395" s="2">
        <v>470343</v>
      </c>
      <c r="N3395">
        <f t="shared" si="70"/>
        <v>9000975.2000000011</v>
      </c>
      <c r="O3395" s="2" t="s">
        <v>4</v>
      </c>
    </row>
    <row r="3396" spans="1:15" x14ac:dyDescent="0.2">
      <c r="A3396">
        <v>173</v>
      </c>
      <c r="B3396">
        <v>8</v>
      </c>
      <c r="C3396">
        <v>7</v>
      </c>
      <c r="D3396" s="2">
        <v>3</v>
      </c>
      <c r="E3396" s="2">
        <v>2</v>
      </c>
      <c r="F3396" s="2" t="s">
        <v>4</v>
      </c>
      <c r="G3396" s="2">
        <v>996.19999999944798</v>
      </c>
      <c r="H3396" s="2" t="s">
        <v>20</v>
      </c>
      <c r="I3396" s="2">
        <v>0</v>
      </c>
      <c r="J3396" s="2">
        <v>0</v>
      </c>
      <c r="K3396" s="2">
        <v>0</v>
      </c>
      <c r="L3396" s="2">
        <v>9000000</v>
      </c>
      <c r="M3396" s="2">
        <v>509829</v>
      </c>
      <c r="N3396">
        <f t="shared" si="70"/>
        <v>9000996.1999999993</v>
      </c>
      <c r="O3396" s="2" t="s">
        <v>4</v>
      </c>
    </row>
    <row r="3397" spans="1:15" x14ac:dyDescent="0.2">
      <c r="A3397">
        <v>174</v>
      </c>
      <c r="B3397">
        <v>8</v>
      </c>
      <c r="C3397">
        <v>7</v>
      </c>
      <c r="D3397" s="2">
        <v>2</v>
      </c>
      <c r="E3397" s="2">
        <v>2</v>
      </c>
      <c r="F3397" s="2" t="s">
        <v>4</v>
      </c>
      <c r="G3397" s="2">
        <v>987.00000000064904</v>
      </c>
      <c r="H3397" s="2" t="s">
        <v>20</v>
      </c>
      <c r="I3397" s="2">
        <v>0</v>
      </c>
      <c r="J3397" s="2">
        <v>0</v>
      </c>
      <c r="K3397" s="2">
        <v>0</v>
      </c>
      <c r="L3397" s="2">
        <v>9000000</v>
      </c>
      <c r="M3397" s="2">
        <v>503238</v>
      </c>
      <c r="N3397">
        <f t="shared" si="70"/>
        <v>9000987</v>
      </c>
      <c r="O3397" s="2" t="s">
        <v>4</v>
      </c>
    </row>
    <row r="3398" spans="1:15" x14ac:dyDescent="0.2">
      <c r="A3398">
        <v>175</v>
      </c>
      <c r="B3398">
        <v>8</v>
      </c>
      <c r="C3398">
        <v>7</v>
      </c>
      <c r="D3398" s="2">
        <v>3</v>
      </c>
      <c r="E3398" s="2">
        <v>2</v>
      </c>
      <c r="F3398" s="2" t="s">
        <v>4</v>
      </c>
      <c r="G3398" s="2">
        <v>1086.1999999995901</v>
      </c>
      <c r="H3398" s="2" t="s">
        <v>20</v>
      </c>
      <c r="I3398" s="2">
        <v>0</v>
      </c>
      <c r="J3398" s="2">
        <v>0</v>
      </c>
      <c r="K3398" s="2">
        <v>0</v>
      </c>
      <c r="L3398" s="2">
        <v>9000000</v>
      </c>
      <c r="M3398" s="2">
        <v>394752</v>
      </c>
      <c r="N3398">
        <f t="shared" si="70"/>
        <v>9001086.1999999993</v>
      </c>
      <c r="O3398" s="2" t="s">
        <v>4</v>
      </c>
    </row>
    <row r="3399" spans="1:15" x14ac:dyDescent="0.2">
      <c r="A3399">
        <v>176</v>
      </c>
      <c r="B3399">
        <v>8</v>
      </c>
      <c r="C3399">
        <v>7</v>
      </c>
      <c r="D3399" s="2">
        <v>3</v>
      </c>
      <c r="E3399" s="2">
        <v>3</v>
      </c>
      <c r="F3399" s="2" t="s">
        <v>4</v>
      </c>
      <c r="G3399" s="2">
        <v>1291.2</v>
      </c>
      <c r="H3399" s="2" t="s">
        <v>20</v>
      </c>
      <c r="I3399" s="2">
        <v>0</v>
      </c>
      <c r="J3399" s="2">
        <v>0</v>
      </c>
      <c r="K3399" s="2">
        <v>0</v>
      </c>
      <c r="L3399" s="2">
        <v>9000000</v>
      </c>
      <c r="M3399" s="2">
        <v>397096</v>
      </c>
      <c r="N3399">
        <f t="shared" si="70"/>
        <v>9001291.1999999993</v>
      </c>
      <c r="O3399" s="2" t="s">
        <v>4</v>
      </c>
    </row>
    <row r="3400" spans="1:15" x14ac:dyDescent="0.2">
      <c r="A3400">
        <v>177</v>
      </c>
      <c r="B3400">
        <v>8</v>
      </c>
      <c r="C3400">
        <v>7</v>
      </c>
      <c r="D3400" s="2">
        <v>2</v>
      </c>
      <c r="E3400" s="2">
        <v>3</v>
      </c>
      <c r="F3400" s="2" t="s">
        <v>4</v>
      </c>
      <c r="G3400" s="2">
        <v>989.79999999926395</v>
      </c>
      <c r="H3400" s="2" t="s">
        <v>20</v>
      </c>
      <c r="I3400" s="2">
        <v>0</v>
      </c>
      <c r="J3400" s="2">
        <v>0</v>
      </c>
      <c r="K3400" s="2">
        <v>0</v>
      </c>
      <c r="L3400" s="2">
        <v>9000000</v>
      </c>
      <c r="M3400" s="2">
        <v>474860</v>
      </c>
      <c r="N3400">
        <f t="shared" si="70"/>
        <v>9000989.7999999989</v>
      </c>
      <c r="O3400" s="2" t="s">
        <v>4</v>
      </c>
    </row>
    <row r="3401" spans="1:15" x14ac:dyDescent="0.2">
      <c r="A3401">
        <v>178</v>
      </c>
      <c r="B3401">
        <v>8</v>
      </c>
      <c r="C3401">
        <v>7</v>
      </c>
      <c r="D3401" s="2">
        <v>3</v>
      </c>
      <c r="E3401" s="2">
        <v>3</v>
      </c>
      <c r="F3401" s="2" t="s">
        <v>4</v>
      </c>
      <c r="G3401" s="2">
        <v>977.60000000022296</v>
      </c>
      <c r="H3401" s="2" t="s">
        <v>20</v>
      </c>
      <c r="I3401" s="2">
        <v>0</v>
      </c>
      <c r="J3401" s="2">
        <v>0</v>
      </c>
      <c r="K3401" s="2">
        <v>0</v>
      </c>
      <c r="L3401" s="2">
        <v>9000000</v>
      </c>
      <c r="M3401" s="2">
        <v>511972</v>
      </c>
      <c r="N3401">
        <f t="shared" si="70"/>
        <v>9000977.5999999996</v>
      </c>
      <c r="O3401" s="2" t="s">
        <v>4</v>
      </c>
    </row>
    <row r="3402" spans="1:15" x14ac:dyDescent="0.2">
      <c r="A3402">
        <v>179</v>
      </c>
      <c r="B3402">
        <v>8</v>
      </c>
      <c r="C3402">
        <v>7</v>
      </c>
      <c r="D3402" s="2">
        <v>3</v>
      </c>
      <c r="E3402" s="2">
        <v>3</v>
      </c>
      <c r="F3402" s="2" t="s">
        <v>4</v>
      </c>
      <c r="G3402" s="2">
        <v>1027.39999999883</v>
      </c>
      <c r="H3402" s="2" t="s">
        <v>20</v>
      </c>
      <c r="I3402" s="2">
        <v>0</v>
      </c>
      <c r="J3402" s="2">
        <v>0</v>
      </c>
      <c r="K3402" s="2">
        <v>0</v>
      </c>
      <c r="L3402" s="2">
        <v>9000000</v>
      </c>
      <c r="M3402" s="2">
        <v>474937</v>
      </c>
      <c r="N3402">
        <f t="shared" si="70"/>
        <v>9001027.3999999985</v>
      </c>
      <c r="O3402" s="2" t="s">
        <v>4</v>
      </c>
    </row>
    <row r="3403" spans="1:15" x14ac:dyDescent="0.2">
      <c r="A3403">
        <v>180</v>
      </c>
      <c r="B3403">
        <v>8</v>
      </c>
      <c r="C3403">
        <v>7</v>
      </c>
      <c r="D3403" s="2">
        <v>3</v>
      </c>
      <c r="E3403" s="2">
        <v>3</v>
      </c>
      <c r="F3403" s="2" t="s">
        <v>4</v>
      </c>
      <c r="G3403" s="2">
        <v>997.40000000068096</v>
      </c>
      <c r="H3403" s="2" t="s">
        <v>20</v>
      </c>
      <c r="I3403" s="2">
        <v>0</v>
      </c>
      <c r="J3403" s="2">
        <v>0</v>
      </c>
      <c r="K3403" s="2">
        <v>0</v>
      </c>
      <c r="L3403" s="2">
        <v>9000000</v>
      </c>
      <c r="M3403" s="2">
        <v>474267</v>
      </c>
      <c r="N3403">
        <f t="shared" si="70"/>
        <v>9000997.4000000004</v>
      </c>
      <c r="O3403" s="2" t="s">
        <v>4</v>
      </c>
    </row>
    <row r="3404" spans="1:15" x14ac:dyDescent="0.2">
      <c r="A3404">
        <v>181</v>
      </c>
      <c r="B3404">
        <v>8</v>
      </c>
      <c r="C3404">
        <v>7</v>
      </c>
      <c r="D3404" s="2">
        <v>2</v>
      </c>
      <c r="E3404" s="2">
        <v>3</v>
      </c>
      <c r="F3404" s="2" t="s">
        <v>4</v>
      </c>
      <c r="G3404" s="2">
        <v>1310.9999999997499</v>
      </c>
      <c r="H3404" s="2" t="s">
        <v>20</v>
      </c>
      <c r="I3404" s="2">
        <v>0</v>
      </c>
      <c r="J3404" s="2">
        <v>0</v>
      </c>
      <c r="K3404" s="2">
        <v>0</v>
      </c>
      <c r="L3404" s="2">
        <v>9000000</v>
      </c>
      <c r="M3404" s="2">
        <v>435566</v>
      </c>
      <c r="N3404">
        <f t="shared" si="70"/>
        <v>9001311</v>
      </c>
      <c r="O3404" s="2" t="s">
        <v>4</v>
      </c>
    </row>
    <row r="3405" spans="1:15" x14ac:dyDescent="0.2">
      <c r="A3405">
        <v>182</v>
      </c>
      <c r="B3405">
        <v>8</v>
      </c>
      <c r="C3405">
        <v>7</v>
      </c>
      <c r="D3405" s="2">
        <v>2</v>
      </c>
      <c r="E3405" s="2">
        <v>3</v>
      </c>
      <c r="F3405" s="2" t="s">
        <v>4</v>
      </c>
      <c r="G3405" s="2">
        <v>1100.39999999927</v>
      </c>
      <c r="H3405" s="2" t="s">
        <v>20</v>
      </c>
      <c r="I3405" s="2">
        <v>0</v>
      </c>
      <c r="J3405" s="2">
        <v>0</v>
      </c>
      <c r="K3405" s="2">
        <v>0</v>
      </c>
      <c r="L3405" s="2">
        <v>9000000</v>
      </c>
      <c r="M3405" s="2">
        <v>515582</v>
      </c>
      <c r="N3405">
        <f t="shared" si="70"/>
        <v>9001100.3999999985</v>
      </c>
      <c r="O3405" s="2" t="s">
        <v>4</v>
      </c>
    </row>
    <row r="3406" spans="1:15" x14ac:dyDescent="0.2">
      <c r="A3406">
        <v>183</v>
      </c>
      <c r="B3406">
        <v>8</v>
      </c>
      <c r="C3406">
        <v>7</v>
      </c>
      <c r="D3406" s="2">
        <v>3</v>
      </c>
      <c r="E3406" s="2">
        <v>3</v>
      </c>
      <c r="F3406" s="2" t="s">
        <v>4</v>
      </c>
      <c r="G3406" s="2">
        <v>1108.40000000039</v>
      </c>
      <c r="H3406" s="2" t="s">
        <v>20</v>
      </c>
      <c r="I3406" s="2">
        <v>0</v>
      </c>
      <c r="J3406" s="2">
        <v>0</v>
      </c>
      <c r="K3406" s="2">
        <v>0</v>
      </c>
      <c r="L3406" s="2">
        <v>9000000</v>
      </c>
      <c r="M3406" s="2">
        <v>475051</v>
      </c>
      <c r="N3406">
        <f t="shared" si="70"/>
        <v>9001108.4000000004</v>
      </c>
      <c r="O3406" s="2" t="s">
        <v>4</v>
      </c>
    </row>
    <row r="3407" spans="1:15" x14ac:dyDescent="0.2">
      <c r="A3407">
        <v>184</v>
      </c>
      <c r="B3407">
        <v>8</v>
      </c>
      <c r="C3407">
        <v>7</v>
      </c>
      <c r="D3407" s="2">
        <v>2</v>
      </c>
      <c r="E3407" s="2">
        <v>2</v>
      </c>
      <c r="F3407" s="2" t="s">
        <v>4</v>
      </c>
      <c r="G3407" s="2">
        <v>941.200000000464</v>
      </c>
      <c r="H3407" s="2" t="s">
        <v>20</v>
      </c>
      <c r="I3407" s="2">
        <v>0</v>
      </c>
      <c r="J3407" s="2">
        <v>0</v>
      </c>
      <c r="K3407" s="2">
        <v>0</v>
      </c>
      <c r="L3407" s="2">
        <v>9000000</v>
      </c>
      <c r="M3407" s="2">
        <v>543140</v>
      </c>
      <c r="N3407">
        <f t="shared" si="70"/>
        <v>9000941.2000000011</v>
      </c>
      <c r="O3407" s="2" t="s">
        <v>4</v>
      </c>
    </row>
    <row r="3408" spans="1:15" x14ac:dyDescent="0.2">
      <c r="A3408">
        <v>185</v>
      </c>
      <c r="B3408">
        <v>8</v>
      </c>
      <c r="C3408">
        <v>7</v>
      </c>
      <c r="D3408" s="2">
        <v>2</v>
      </c>
      <c r="E3408" s="2">
        <v>3</v>
      </c>
      <c r="F3408" s="2" t="s">
        <v>4</v>
      </c>
      <c r="G3408" s="2">
        <v>1091.79999999967</v>
      </c>
      <c r="H3408" s="2" t="s">
        <v>20</v>
      </c>
      <c r="I3408" s="2">
        <v>0</v>
      </c>
      <c r="J3408" s="2">
        <v>0</v>
      </c>
      <c r="K3408" s="2">
        <v>0</v>
      </c>
      <c r="L3408" s="2">
        <v>9000000</v>
      </c>
      <c r="M3408" s="2">
        <v>475501</v>
      </c>
      <c r="N3408">
        <f t="shared" si="70"/>
        <v>9001091.7999999989</v>
      </c>
      <c r="O3408" s="2" t="s">
        <v>4</v>
      </c>
    </row>
    <row r="3409" spans="1:15" x14ac:dyDescent="0.2">
      <c r="A3409">
        <v>186</v>
      </c>
      <c r="B3409">
        <v>8</v>
      </c>
      <c r="C3409">
        <v>7</v>
      </c>
      <c r="D3409" s="2">
        <v>3</v>
      </c>
      <c r="E3409" s="2">
        <v>3</v>
      </c>
      <c r="F3409" s="2" t="s">
        <v>4</v>
      </c>
      <c r="G3409" s="2">
        <v>1080.40000000074</v>
      </c>
      <c r="H3409" s="2" t="s">
        <v>20</v>
      </c>
      <c r="I3409" s="2">
        <v>0</v>
      </c>
      <c r="J3409" s="2">
        <v>0</v>
      </c>
      <c r="K3409" s="2">
        <v>0</v>
      </c>
      <c r="L3409" s="2">
        <v>9000000</v>
      </c>
      <c r="M3409" s="2">
        <v>514758</v>
      </c>
      <c r="N3409">
        <f t="shared" si="70"/>
        <v>9001080.4000000004</v>
      </c>
      <c r="O3409" s="2" t="s">
        <v>4</v>
      </c>
    </row>
    <row r="3410" spans="1:15" x14ac:dyDescent="0.2">
      <c r="A3410">
        <v>187</v>
      </c>
      <c r="B3410">
        <v>8</v>
      </c>
      <c r="C3410">
        <v>7</v>
      </c>
      <c r="D3410" s="2">
        <v>3</v>
      </c>
      <c r="E3410" s="2">
        <v>2</v>
      </c>
      <c r="F3410" s="2" t="s">
        <v>4</v>
      </c>
      <c r="G3410" s="2">
        <v>864.19999999947095</v>
      </c>
      <c r="H3410" s="2" t="s">
        <v>20</v>
      </c>
      <c r="I3410" s="2">
        <v>0</v>
      </c>
      <c r="J3410" s="2">
        <v>0</v>
      </c>
      <c r="K3410" s="2">
        <v>0</v>
      </c>
      <c r="L3410" s="2">
        <v>9000000</v>
      </c>
      <c r="M3410" s="2">
        <v>445912</v>
      </c>
      <c r="N3410">
        <f t="shared" si="70"/>
        <v>9000864.1999999993</v>
      </c>
      <c r="O3410" s="2" t="s">
        <v>4</v>
      </c>
    </row>
    <row r="3411" spans="1:15" x14ac:dyDescent="0.2">
      <c r="A3411">
        <v>188</v>
      </c>
      <c r="B3411">
        <v>8</v>
      </c>
      <c r="C3411">
        <v>7</v>
      </c>
      <c r="D3411" s="2">
        <v>3</v>
      </c>
      <c r="E3411" s="2">
        <v>2</v>
      </c>
      <c r="F3411" s="2" t="s">
        <v>4</v>
      </c>
      <c r="G3411" s="2">
        <v>954.99999999972795</v>
      </c>
      <c r="H3411" s="2" t="s">
        <v>20</v>
      </c>
      <c r="I3411" s="2">
        <v>0</v>
      </c>
      <c r="J3411" s="2">
        <v>0</v>
      </c>
      <c r="K3411" s="2">
        <v>0</v>
      </c>
      <c r="L3411" s="2">
        <v>9000000</v>
      </c>
      <c r="M3411" s="2">
        <v>541742</v>
      </c>
      <c r="N3411">
        <f t="shared" si="70"/>
        <v>9000955</v>
      </c>
      <c r="O3411" s="2" t="s">
        <v>4</v>
      </c>
    </row>
    <row r="3412" spans="1:15" x14ac:dyDescent="0.2">
      <c r="A3412">
        <v>189</v>
      </c>
      <c r="B3412">
        <v>8</v>
      </c>
      <c r="C3412">
        <v>7</v>
      </c>
      <c r="D3412" s="2">
        <v>3</v>
      </c>
      <c r="E3412" s="2">
        <v>3</v>
      </c>
      <c r="F3412" s="2" t="s">
        <v>4</v>
      </c>
      <c r="G3412" s="2">
        <v>1226.7999999998799</v>
      </c>
      <c r="H3412" s="2" t="s">
        <v>20</v>
      </c>
      <c r="I3412" s="2">
        <v>0</v>
      </c>
      <c r="J3412" s="2">
        <v>0</v>
      </c>
      <c r="K3412" s="2">
        <v>0</v>
      </c>
      <c r="L3412" s="2">
        <v>9000000</v>
      </c>
      <c r="M3412" s="2">
        <v>438225</v>
      </c>
      <c r="N3412">
        <f t="shared" si="70"/>
        <v>9001226.8000000007</v>
      </c>
      <c r="O3412" s="2" t="s">
        <v>4</v>
      </c>
    </row>
    <row r="3413" spans="1:15" x14ac:dyDescent="0.2">
      <c r="A3413">
        <v>160</v>
      </c>
      <c r="B3413">
        <v>8</v>
      </c>
      <c r="C3413">
        <v>7</v>
      </c>
      <c r="D3413" s="2">
        <v>2</v>
      </c>
      <c r="E3413" s="2">
        <v>3</v>
      </c>
      <c r="F3413" s="2" t="s">
        <v>4</v>
      </c>
      <c r="G3413" s="2">
        <v>2124.6000000005001</v>
      </c>
      <c r="H3413" s="2" t="s">
        <v>20</v>
      </c>
      <c r="I3413" s="2">
        <v>0</v>
      </c>
      <c r="J3413" s="2">
        <v>0</v>
      </c>
      <c r="K3413" s="2">
        <v>0</v>
      </c>
      <c r="L3413" s="2">
        <v>12000000</v>
      </c>
      <c r="M3413" s="2">
        <v>672186</v>
      </c>
      <c r="N3413">
        <f t="shared" si="70"/>
        <v>12002124.6</v>
      </c>
      <c r="O3413" s="2" t="s">
        <v>4</v>
      </c>
    </row>
    <row r="3414" spans="1:15" x14ac:dyDescent="0.2">
      <c r="A3414">
        <v>161</v>
      </c>
      <c r="B3414">
        <v>8</v>
      </c>
      <c r="C3414">
        <v>7</v>
      </c>
      <c r="D3414" s="2">
        <v>3</v>
      </c>
      <c r="E3414" s="2">
        <v>2</v>
      </c>
      <c r="F3414" s="2" t="s">
        <v>4</v>
      </c>
      <c r="G3414" s="2">
        <v>1285.8000000008501</v>
      </c>
      <c r="H3414" s="2" t="s">
        <v>20</v>
      </c>
      <c r="I3414" s="2">
        <v>0</v>
      </c>
      <c r="J3414" s="2">
        <v>0</v>
      </c>
      <c r="K3414" s="2">
        <v>0</v>
      </c>
      <c r="L3414" s="2">
        <v>12000000</v>
      </c>
      <c r="M3414" s="2">
        <v>595484</v>
      </c>
      <c r="N3414">
        <f t="shared" si="70"/>
        <v>12001285.800000001</v>
      </c>
      <c r="O3414" s="2" t="s">
        <v>5</v>
      </c>
    </row>
    <row r="3415" spans="1:15" x14ac:dyDescent="0.2">
      <c r="A3415">
        <v>162</v>
      </c>
      <c r="B3415">
        <v>8</v>
      </c>
      <c r="C3415">
        <v>7</v>
      </c>
      <c r="D3415" s="2">
        <v>2</v>
      </c>
      <c r="E3415" s="2">
        <v>3</v>
      </c>
      <c r="F3415" s="2" t="s">
        <v>4</v>
      </c>
      <c r="G3415" s="2">
        <v>1788.7999999999199</v>
      </c>
      <c r="H3415" s="2" t="s">
        <v>20</v>
      </c>
      <c r="I3415" s="2">
        <v>0</v>
      </c>
      <c r="J3415" s="2">
        <v>0</v>
      </c>
      <c r="K3415" s="2">
        <v>0</v>
      </c>
      <c r="L3415" s="2">
        <v>12000000</v>
      </c>
      <c r="M3415" s="2">
        <v>593507</v>
      </c>
      <c r="N3415">
        <f t="shared" si="70"/>
        <v>12001788.800000001</v>
      </c>
      <c r="O3415" s="2" t="s">
        <v>4</v>
      </c>
    </row>
    <row r="3416" spans="1:15" x14ac:dyDescent="0.2">
      <c r="A3416">
        <v>163</v>
      </c>
      <c r="B3416">
        <v>8</v>
      </c>
      <c r="C3416">
        <v>7</v>
      </c>
      <c r="D3416" s="2">
        <v>2</v>
      </c>
      <c r="E3416" s="2">
        <v>1</v>
      </c>
      <c r="F3416" s="2" t="s">
        <v>4</v>
      </c>
      <c r="G3416" s="2">
        <v>1078.5999999996</v>
      </c>
      <c r="H3416" s="2" t="s">
        <v>20</v>
      </c>
      <c r="I3416" s="2">
        <v>0</v>
      </c>
      <c r="J3416" s="2">
        <v>0</v>
      </c>
      <c r="K3416" s="2">
        <v>0</v>
      </c>
      <c r="L3416" s="2">
        <v>12000000</v>
      </c>
      <c r="M3416" s="2">
        <v>841558</v>
      </c>
      <c r="N3416">
        <f t="shared" si="70"/>
        <v>12001078.6</v>
      </c>
      <c r="O3416" s="2" t="s">
        <v>5</v>
      </c>
    </row>
    <row r="3417" spans="1:15" x14ac:dyDescent="0.2">
      <c r="A3417">
        <v>164</v>
      </c>
      <c r="B3417">
        <v>8</v>
      </c>
      <c r="C3417">
        <v>7</v>
      </c>
      <c r="D3417" s="2">
        <v>2</v>
      </c>
      <c r="E3417" s="2">
        <v>2</v>
      </c>
      <c r="F3417" s="2" t="s">
        <v>4</v>
      </c>
      <c r="G3417" s="2">
        <v>1362.4000000000101</v>
      </c>
      <c r="H3417" s="2" t="s">
        <v>20</v>
      </c>
      <c r="I3417" s="2">
        <v>0</v>
      </c>
      <c r="J3417" s="2">
        <v>0</v>
      </c>
      <c r="K3417" s="2">
        <v>0</v>
      </c>
      <c r="L3417" s="2">
        <v>12000000</v>
      </c>
      <c r="M3417" s="2">
        <v>738503</v>
      </c>
      <c r="N3417">
        <f t="shared" si="70"/>
        <v>12001362.4</v>
      </c>
      <c r="O3417" s="2" t="s">
        <v>4</v>
      </c>
    </row>
    <row r="3418" spans="1:15" x14ac:dyDescent="0.2">
      <c r="A3418">
        <v>165</v>
      </c>
      <c r="B3418">
        <v>8</v>
      </c>
      <c r="C3418">
        <v>7</v>
      </c>
      <c r="D3418" s="2">
        <v>2</v>
      </c>
      <c r="E3418" s="2">
        <v>3</v>
      </c>
      <c r="F3418" s="2" t="s">
        <v>4</v>
      </c>
      <c r="G3418" s="2">
        <v>1222.5999999998301</v>
      </c>
      <c r="H3418" s="2" t="s">
        <v>20</v>
      </c>
      <c r="I3418" s="2">
        <v>0</v>
      </c>
      <c r="J3418" s="2">
        <v>0</v>
      </c>
      <c r="K3418" s="2">
        <v>0</v>
      </c>
      <c r="L3418" s="2">
        <v>12000000</v>
      </c>
      <c r="M3418" s="2">
        <v>673226</v>
      </c>
      <c r="N3418">
        <f t="shared" si="70"/>
        <v>12001222.6</v>
      </c>
      <c r="O3418" s="2" t="s">
        <v>4</v>
      </c>
    </row>
    <row r="3419" spans="1:15" x14ac:dyDescent="0.2">
      <c r="A3419">
        <v>166</v>
      </c>
      <c r="B3419">
        <v>8</v>
      </c>
      <c r="C3419">
        <v>7</v>
      </c>
      <c r="D3419" s="2">
        <v>2</v>
      </c>
      <c r="E3419" s="2">
        <v>1</v>
      </c>
      <c r="F3419" s="2" t="s">
        <v>4</v>
      </c>
      <c r="G3419" s="2">
        <v>828.39999999961799</v>
      </c>
      <c r="H3419" s="2" t="s">
        <v>20</v>
      </c>
      <c r="I3419" s="2">
        <v>0</v>
      </c>
      <c r="J3419" s="2">
        <v>0</v>
      </c>
      <c r="K3419" s="2">
        <v>0</v>
      </c>
      <c r="L3419" s="2">
        <v>12000000</v>
      </c>
      <c r="M3419" s="2">
        <v>742878</v>
      </c>
      <c r="N3419">
        <f t="shared" si="70"/>
        <v>12000828.4</v>
      </c>
      <c r="O3419" s="2" t="s">
        <v>5</v>
      </c>
    </row>
    <row r="3420" spans="1:15" x14ac:dyDescent="0.2">
      <c r="A3420">
        <v>167</v>
      </c>
      <c r="B3420">
        <v>8</v>
      </c>
      <c r="C3420">
        <v>7</v>
      </c>
      <c r="D3420" s="2">
        <v>2</v>
      </c>
      <c r="E3420" s="2">
        <v>2</v>
      </c>
      <c r="F3420" s="2" t="s">
        <v>4</v>
      </c>
      <c r="G3420" s="2">
        <v>944.600000001117</v>
      </c>
      <c r="H3420" s="2" t="s">
        <v>20</v>
      </c>
      <c r="I3420" s="2">
        <v>0</v>
      </c>
      <c r="J3420" s="2">
        <v>0</v>
      </c>
      <c r="K3420" s="2">
        <v>0</v>
      </c>
      <c r="L3420" s="2">
        <v>12000000</v>
      </c>
      <c r="M3420" s="2">
        <v>812227</v>
      </c>
      <c r="N3420">
        <f t="shared" si="70"/>
        <v>12000944.600000001</v>
      </c>
      <c r="O3420" s="2" t="s">
        <v>4</v>
      </c>
    </row>
    <row r="3421" spans="1:15" x14ac:dyDescent="0.2">
      <c r="A3421">
        <v>168</v>
      </c>
      <c r="B3421">
        <v>8</v>
      </c>
      <c r="C3421">
        <v>7</v>
      </c>
      <c r="D3421" s="2">
        <v>3</v>
      </c>
      <c r="E3421" s="2">
        <v>3</v>
      </c>
      <c r="F3421" s="2" t="s">
        <v>4</v>
      </c>
      <c r="G3421" s="2">
        <v>1162.7999999994599</v>
      </c>
      <c r="H3421" s="2" t="s">
        <v>20</v>
      </c>
      <c r="I3421" s="2">
        <v>0</v>
      </c>
      <c r="J3421" s="2">
        <v>0</v>
      </c>
      <c r="K3421" s="2">
        <v>0</v>
      </c>
      <c r="L3421" s="2">
        <v>12000000</v>
      </c>
      <c r="M3421" s="2">
        <v>672895</v>
      </c>
      <c r="N3421">
        <f t="shared" si="70"/>
        <v>12001162.799999999</v>
      </c>
      <c r="O3421" s="2" t="s">
        <v>4</v>
      </c>
    </row>
    <row r="3422" spans="1:15" x14ac:dyDescent="0.2">
      <c r="A3422">
        <v>169</v>
      </c>
      <c r="B3422">
        <v>8</v>
      </c>
      <c r="C3422">
        <v>7</v>
      </c>
      <c r="D3422" s="2">
        <v>3</v>
      </c>
      <c r="E3422" s="2">
        <v>3</v>
      </c>
      <c r="F3422" s="2" t="s">
        <v>4</v>
      </c>
      <c r="G3422" s="2">
        <v>985.99999999962097</v>
      </c>
      <c r="H3422" s="2" t="s">
        <v>20</v>
      </c>
      <c r="I3422" s="2">
        <v>0</v>
      </c>
      <c r="J3422" s="2">
        <v>0</v>
      </c>
      <c r="K3422" s="2">
        <v>0</v>
      </c>
      <c r="L3422" s="2">
        <v>12000000</v>
      </c>
      <c r="M3422" s="2">
        <v>670988</v>
      </c>
      <c r="N3422">
        <f t="shared" si="70"/>
        <v>12000986</v>
      </c>
      <c r="O3422" s="2" t="s">
        <v>4</v>
      </c>
    </row>
    <row r="3423" spans="1:15" x14ac:dyDescent="0.2">
      <c r="A3423">
        <v>170</v>
      </c>
      <c r="B3423">
        <v>8</v>
      </c>
      <c r="C3423">
        <v>7</v>
      </c>
      <c r="D3423" s="2">
        <v>2</v>
      </c>
      <c r="E3423" s="2">
        <v>3</v>
      </c>
      <c r="F3423" s="2" t="s">
        <v>4</v>
      </c>
      <c r="G3423" s="2">
        <v>1070.39999999969</v>
      </c>
      <c r="H3423" s="2" t="s">
        <v>20</v>
      </c>
      <c r="I3423" s="2">
        <v>0</v>
      </c>
      <c r="J3423" s="2">
        <v>0</v>
      </c>
      <c r="K3423" s="2">
        <v>0</v>
      </c>
      <c r="L3423" s="2">
        <v>12000000</v>
      </c>
      <c r="M3423" s="2">
        <v>595808</v>
      </c>
      <c r="N3423">
        <f t="shared" si="70"/>
        <v>12001070.4</v>
      </c>
      <c r="O3423" s="2" t="s">
        <v>4</v>
      </c>
    </row>
    <row r="3424" spans="1:15" x14ac:dyDescent="0.2">
      <c r="A3424">
        <v>171</v>
      </c>
      <c r="B3424">
        <v>8</v>
      </c>
      <c r="C3424">
        <v>7</v>
      </c>
      <c r="D3424" s="2">
        <v>3</v>
      </c>
      <c r="E3424" s="2">
        <v>3</v>
      </c>
      <c r="F3424" s="2" t="s">
        <v>4</v>
      </c>
      <c r="G3424" s="2">
        <v>1168.6000000004501</v>
      </c>
      <c r="H3424" s="2" t="s">
        <v>20</v>
      </c>
      <c r="I3424" s="2">
        <v>0</v>
      </c>
      <c r="J3424" s="2">
        <v>0</v>
      </c>
      <c r="K3424" s="2">
        <v>0</v>
      </c>
      <c r="L3424" s="2">
        <v>12000000</v>
      </c>
      <c r="M3424" s="2">
        <v>635208</v>
      </c>
      <c r="N3424">
        <f t="shared" si="70"/>
        <v>12001168.6</v>
      </c>
      <c r="O3424" s="2" t="s">
        <v>4</v>
      </c>
    </row>
    <row r="3425" spans="1:15" x14ac:dyDescent="0.2">
      <c r="A3425">
        <v>172</v>
      </c>
      <c r="B3425">
        <v>8</v>
      </c>
      <c r="C3425">
        <v>7</v>
      </c>
      <c r="D3425" s="2">
        <v>2</v>
      </c>
      <c r="E3425" s="2">
        <v>2</v>
      </c>
      <c r="F3425" s="2" t="s">
        <v>4</v>
      </c>
      <c r="G3425" s="2">
        <v>975.20000000059804</v>
      </c>
      <c r="H3425" s="2" t="s">
        <v>20</v>
      </c>
      <c r="I3425" s="2">
        <v>0</v>
      </c>
      <c r="J3425" s="2">
        <v>0</v>
      </c>
      <c r="K3425" s="2">
        <v>0</v>
      </c>
      <c r="L3425" s="2">
        <v>12000000</v>
      </c>
      <c r="M3425" s="2">
        <v>735895</v>
      </c>
      <c r="N3425">
        <f t="shared" si="70"/>
        <v>12000975.200000001</v>
      </c>
      <c r="O3425" s="2" t="s">
        <v>4</v>
      </c>
    </row>
    <row r="3426" spans="1:15" x14ac:dyDescent="0.2">
      <c r="A3426">
        <v>173</v>
      </c>
      <c r="B3426">
        <v>8</v>
      </c>
      <c r="C3426">
        <v>7</v>
      </c>
      <c r="D3426" s="2">
        <v>3</v>
      </c>
      <c r="E3426" s="2">
        <v>2</v>
      </c>
      <c r="F3426" s="2" t="s">
        <v>4</v>
      </c>
      <c r="G3426" s="2">
        <v>996.19999999944798</v>
      </c>
      <c r="H3426" s="2" t="s">
        <v>20</v>
      </c>
      <c r="I3426" s="2">
        <v>0</v>
      </c>
      <c r="J3426" s="2">
        <v>0</v>
      </c>
      <c r="K3426" s="2">
        <v>0</v>
      </c>
      <c r="L3426" s="2">
        <v>12000000</v>
      </c>
      <c r="M3426" s="2">
        <v>732402</v>
      </c>
      <c r="N3426">
        <f t="shared" si="70"/>
        <v>12000996.199999999</v>
      </c>
      <c r="O3426" s="2" t="s">
        <v>4</v>
      </c>
    </row>
    <row r="3427" spans="1:15" x14ac:dyDescent="0.2">
      <c r="A3427">
        <v>174</v>
      </c>
      <c r="B3427">
        <v>8</v>
      </c>
      <c r="C3427">
        <v>7</v>
      </c>
      <c r="D3427" s="2">
        <v>2</v>
      </c>
      <c r="E3427" s="2">
        <v>2</v>
      </c>
      <c r="F3427" s="2" t="s">
        <v>4</v>
      </c>
      <c r="G3427" s="2">
        <v>987.00000000064904</v>
      </c>
      <c r="H3427" s="2" t="s">
        <v>20</v>
      </c>
      <c r="I3427" s="2">
        <v>0</v>
      </c>
      <c r="J3427" s="2">
        <v>0</v>
      </c>
      <c r="K3427" s="2">
        <v>0</v>
      </c>
      <c r="L3427" s="2">
        <v>12000000</v>
      </c>
      <c r="M3427" s="2">
        <v>729552</v>
      </c>
      <c r="N3427">
        <f t="shared" si="70"/>
        <v>12000987</v>
      </c>
      <c r="O3427" s="2" t="s">
        <v>4</v>
      </c>
    </row>
    <row r="3428" spans="1:15" x14ac:dyDescent="0.2">
      <c r="A3428">
        <v>175</v>
      </c>
      <c r="B3428">
        <v>8</v>
      </c>
      <c r="C3428">
        <v>7</v>
      </c>
      <c r="D3428" s="2">
        <v>3</v>
      </c>
      <c r="E3428" s="2">
        <v>2</v>
      </c>
      <c r="F3428" s="2" t="s">
        <v>4</v>
      </c>
      <c r="G3428" s="2">
        <v>1086.1999999995901</v>
      </c>
      <c r="H3428" s="2" t="s">
        <v>20</v>
      </c>
      <c r="I3428" s="2">
        <v>0</v>
      </c>
      <c r="J3428" s="2">
        <v>0</v>
      </c>
      <c r="K3428" s="2">
        <v>0</v>
      </c>
      <c r="L3428" s="2">
        <v>12000000</v>
      </c>
      <c r="M3428" s="2">
        <v>709837</v>
      </c>
      <c r="N3428">
        <f t="shared" si="70"/>
        <v>12001086.199999999</v>
      </c>
      <c r="O3428" s="2" t="s">
        <v>4</v>
      </c>
    </row>
    <row r="3429" spans="1:15" x14ac:dyDescent="0.2">
      <c r="A3429">
        <v>176</v>
      </c>
      <c r="B3429">
        <v>8</v>
      </c>
      <c r="C3429">
        <v>7</v>
      </c>
      <c r="D3429" s="2">
        <v>3</v>
      </c>
      <c r="E3429" s="2">
        <v>3</v>
      </c>
      <c r="F3429" s="2" t="s">
        <v>4</v>
      </c>
      <c r="G3429" s="2">
        <v>1291.2</v>
      </c>
      <c r="H3429" s="2" t="s">
        <v>20</v>
      </c>
      <c r="I3429" s="2">
        <v>0</v>
      </c>
      <c r="J3429" s="2">
        <v>0</v>
      </c>
      <c r="K3429" s="2">
        <v>0</v>
      </c>
      <c r="L3429" s="2">
        <v>12000000</v>
      </c>
      <c r="M3429" s="2">
        <v>596125</v>
      </c>
      <c r="N3429">
        <f t="shared" si="70"/>
        <v>12001291.199999999</v>
      </c>
      <c r="O3429" s="2" t="s">
        <v>4</v>
      </c>
    </row>
    <row r="3430" spans="1:15" x14ac:dyDescent="0.2">
      <c r="A3430">
        <v>177</v>
      </c>
      <c r="B3430">
        <v>8</v>
      </c>
      <c r="C3430">
        <v>7</v>
      </c>
      <c r="D3430" s="2">
        <v>2</v>
      </c>
      <c r="E3430" s="2">
        <v>3</v>
      </c>
      <c r="F3430" s="2" t="s">
        <v>4</v>
      </c>
      <c r="G3430" s="2">
        <v>989.79999999926395</v>
      </c>
      <c r="H3430" s="2" t="s">
        <v>20</v>
      </c>
      <c r="I3430" s="2">
        <v>0</v>
      </c>
      <c r="J3430" s="2">
        <v>0</v>
      </c>
      <c r="K3430" s="2">
        <v>0</v>
      </c>
      <c r="L3430" s="2">
        <v>12000000</v>
      </c>
      <c r="M3430" s="2">
        <v>672975</v>
      </c>
      <c r="N3430">
        <f t="shared" si="70"/>
        <v>12000989.799999999</v>
      </c>
      <c r="O3430" s="2" t="s">
        <v>4</v>
      </c>
    </row>
    <row r="3431" spans="1:15" x14ac:dyDescent="0.2">
      <c r="A3431">
        <v>178</v>
      </c>
      <c r="B3431">
        <v>8</v>
      </c>
      <c r="C3431">
        <v>7</v>
      </c>
      <c r="D3431" s="2">
        <v>3</v>
      </c>
      <c r="E3431" s="2">
        <v>3</v>
      </c>
      <c r="F3431" s="2" t="s">
        <v>4</v>
      </c>
      <c r="G3431" s="2">
        <v>977.60000000022296</v>
      </c>
      <c r="H3431" s="2" t="s">
        <v>20</v>
      </c>
      <c r="I3431" s="2">
        <v>0</v>
      </c>
      <c r="J3431" s="2">
        <v>0</v>
      </c>
      <c r="K3431" s="2">
        <v>0</v>
      </c>
      <c r="L3431" s="2">
        <v>12000000</v>
      </c>
      <c r="M3431" s="2">
        <v>712011</v>
      </c>
      <c r="N3431">
        <f t="shared" si="70"/>
        <v>12000977.6</v>
      </c>
      <c r="O3431" s="2" t="s">
        <v>4</v>
      </c>
    </row>
    <row r="3432" spans="1:15" x14ac:dyDescent="0.2">
      <c r="A3432">
        <v>179</v>
      </c>
      <c r="B3432">
        <v>8</v>
      </c>
      <c r="C3432">
        <v>7</v>
      </c>
      <c r="D3432" s="2">
        <v>3</v>
      </c>
      <c r="E3432" s="2">
        <v>3</v>
      </c>
      <c r="F3432" s="2" t="s">
        <v>4</v>
      </c>
      <c r="G3432" s="2">
        <v>1027.39999999883</v>
      </c>
      <c r="H3432" s="2" t="s">
        <v>20</v>
      </c>
      <c r="I3432" s="2">
        <v>0</v>
      </c>
      <c r="J3432" s="2">
        <v>0</v>
      </c>
      <c r="K3432" s="2">
        <v>0</v>
      </c>
      <c r="L3432" s="2">
        <v>12000000</v>
      </c>
      <c r="M3432" s="2">
        <v>709966</v>
      </c>
      <c r="N3432">
        <f t="shared" si="70"/>
        <v>12001027.399999999</v>
      </c>
      <c r="O3432" s="2" t="s">
        <v>4</v>
      </c>
    </row>
    <row r="3433" spans="1:15" x14ac:dyDescent="0.2">
      <c r="A3433">
        <v>180</v>
      </c>
      <c r="B3433">
        <v>8</v>
      </c>
      <c r="C3433">
        <v>7</v>
      </c>
      <c r="D3433" s="2">
        <v>3</v>
      </c>
      <c r="E3433" s="2">
        <v>3</v>
      </c>
      <c r="F3433" s="2" t="s">
        <v>4</v>
      </c>
      <c r="G3433" s="2">
        <v>997.40000000068096</v>
      </c>
      <c r="H3433" s="2" t="s">
        <v>20</v>
      </c>
      <c r="I3433" s="2">
        <v>0</v>
      </c>
      <c r="J3433" s="2">
        <v>0</v>
      </c>
      <c r="K3433" s="2">
        <v>0</v>
      </c>
      <c r="L3433" s="2">
        <v>12000000</v>
      </c>
      <c r="M3433" s="2">
        <v>709928</v>
      </c>
      <c r="N3433">
        <f t="shared" si="70"/>
        <v>12000997.4</v>
      </c>
      <c r="O3433" s="2" t="s">
        <v>4</v>
      </c>
    </row>
    <row r="3434" spans="1:15" x14ac:dyDescent="0.2">
      <c r="A3434">
        <v>181</v>
      </c>
      <c r="B3434">
        <v>8</v>
      </c>
      <c r="C3434">
        <v>7</v>
      </c>
      <c r="D3434" s="2">
        <v>2</v>
      </c>
      <c r="E3434" s="2">
        <v>3</v>
      </c>
      <c r="F3434" s="2" t="s">
        <v>4</v>
      </c>
      <c r="G3434" s="2">
        <v>1310.9999999997499</v>
      </c>
      <c r="H3434" s="2" t="s">
        <v>20</v>
      </c>
      <c r="I3434" s="2">
        <v>0</v>
      </c>
      <c r="J3434" s="2">
        <v>0</v>
      </c>
      <c r="K3434" s="2">
        <v>0</v>
      </c>
      <c r="L3434" s="2">
        <v>12000000</v>
      </c>
      <c r="M3434" s="2">
        <v>596071</v>
      </c>
      <c r="N3434">
        <f t="shared" si="70"/>
        <v>12001311</v>
      </c>
      <c r="O3434" s="2" t="s">
        <v>4</v>
      </c>
    </row>
    <row r="3435" spans="1:15" x14ac:dyDescent="0.2">
      <c r="A3435">
        <v>182</v>
      </c>
      <c r="B3435">
        <v>8</v>
      </c>
      <c r="C3435">
        <v>7</v>
      </c>
      <c r="D3435" s="2">
        <v>2</v>
      </c>
      <c r="E3435" s="2">
        <v>3</v>
      </c>
      <c r="F3435" s="2" t="s">
        <v>4</v>
      </c>
      <c r="G3435" s="2">
        <v>1100.39999999927</v>
      </c>
      <c r="H3435" s="2" t="s">
        <v>20</v>
      </c>
      <c r="I3435" s="2">
        <v>0</v>
      </c>
      <c r="J3435" s="2">
        <v>0</v>
      </c>
      <c r="K3435" s="2">
        <v>0</v>
      </c>
      <c r="L3435" s="2">
        <v>12000000</v>
      </c>
      <c r="M3435" s="2">
        <v>711911</v>
      </c>
      <c r="N3435">
        <f t="shared" si="70"/>
        <v>12001100.399999999</v>
      </c>
      <c r="O3435" s="2" t="s">
        <v>4</v>
      </c>
    </row>
    <row r="3436" spans="1:15" x14ac:dyDescent="0.2">
      <c r="A3436">
        <v>183</v>
      </c>
      <c r="B3436">
        <v>8</v>
      </c>
      <c r="C3436">
        <v>7</v>
      </c>
      <c r="D3436" s="2">
        <v>3</v>
      </c>
      <c r="E3436" s="2">
        <v>3</v>
      </c>
      <c r="F3436" s="2" t="s">
        <v>4</v>
      </c>
      <c r="G3436" s="2">
        <v>1108.40000000039</v>
      </c>
      <c r="H3436" s="2" t="s">
        <v>20</v>
      </c>
      <c r="I3436" s="2">
        <v>0</v>
      </c>
      <c r="J3436" s="2">
        <v>0</v>
      </c>
      <c r="K3436" s="2">
        <v>0</v>
      </c>
      <c r="L3436" s="2">
        <v>12000000</v>
      </c>
      <c r="M3436" s="2">
        <v>514120</v>
      </c>
      <c r="N3436">
        <f t="shared" si="70"/>
        <v>12001108.4</v>
      </c>
      <c r="O3436" s="2" t="s">
        <v>4</v>
      </c>
    </row>
    <row r="3437" spans="1:15" x14ac:dyDescent="0.2">
      <c r="A3437">
        <v>184</v>
      </c>
      <c r="B3437">
        <v>8</v>
      </c>
      <c r="C3437">
        <v>7</v>
      </c>
      <c r="D3437" s="2">
        <v>2</v>
      </c>
      <c r="E3437" s="2">
        <v>2</v>
      </c>
      <c r="F3437" s="2" t="s">
        <v>4</v>
      </c>
      <c r="G3437" s="2">
        <v>941.200000000464</v>
      </c>
      <c r="H3437" s="2" t="s">
        <v>20</v>
      </c>
      <c r="I3437" s="2">
        <v>0</v>
      </c>
      <c r="J3437" s="2">
        <v>0</v>
      </c>
      <c r="K3437" s="2">
        <v>0</v>
      </c>
      <c r="L3437" s="2">
        <v>12000000</v>
      </c>
      <c r="M3437" s="2">
        <v>763505</v>
      </c>
      <c r="N3437">
        <f t="shared" si="70"/>
        <v>12000941.200000001</v>
      </c>
      <c r="O3437" s="2" t="s">
        <v>5</v>
      </c>
    </row>
    <row r="3438" spans="1:15" x14ac:dyDescent="0.2">
      <c r="A3438">
        <v>185</v>
      </c>
      <c r="B3438">
        <v>8</v>
      </c>
      <c r="C3438">
        <v>7</v>
      </c>
      <c r="D3438" s="2">
        <v>2</v>
      </c>
      <c r="E3438" s="2">
        <v>3</v>
      </c>
      <c r="F3438" s="2" t="s">
        <v>4</v>
      </c>
      <c r="G3438" s="2">
        <v>1091.79999999967</v>
      </c>
      <c r="H3438" s="2" t="s">
        <v>20</v>
      </c>
      <c r="I3438" s="2">
        <v>0</v>
      </c>
      <c r="J3438" s="2">
        <v>0</v>
      </c>
      <c r="K3438" s="2">
        <v>0</v>
      </c>
      <c r="L3438" s="2">
        <v>12000000</v>
      </c>
      <c r="M3438" s="2">
        <v>633293</v>
      </c>
      <c r="N3438">
        <f t="shared" si="70"/>
        <v>12001091.799999999</v>
      </c>
      <c r="O3438" s="2" t="s">
        <v>4</v>
      </c>
    </row>
    <row r="3439" spans="1:15" x14ac:dyDescent="0.2">
      <c r="A3439">
        <v>186</v>
      </c>
      <c r="B3439">
        <v>8</v>
      </c>
      <c r="C3439">
        <v>7</v>
      </c>
      <c r="D3439" s="2">
        <v>3</v>
      </c>
      <c r="E3439" s="2">
        <v>3</v>
      </c>
      <c r="F3439" s="2" t="s">
        <v>4</v>
      </c>
      <c r="G3439" s="2">
        <v>1080.40000000074</v>
      </c>
      <c r="H3439" s="2" t="s">
        <v>20</v>
      </c>
      <c r="I3439" s="2">
        <v>0</v>
      </c>
      <c r="J3439" s="2">
        <v>0</v>
      </c>
      <c r="K3439" s="2">
        <v>0</v>
      </c>
      <c r="L3439" s="2">
        <v>12000000</v>
      </c>
      <c r="M3439" s="2">
        <v>632575</v>
      </c>
      <c r="N3439">
        <f t="shared" si="70"/>
        <v>12001080.4</v>
      </c>
      <c r="O3439" s="2" t="s">
        <v>4</v>
      </c>
    </row>
    <row r="3440" spans="1:15" x14ac:dyDescent="0.2">
      <c r="A3440">
        <v>187</v>
      </c>
      <c r="B3440">
        <v>8</v>
      </c>
      <c r="C3440">
        <v>7</v>
      </c>
      <c r="D3440" s="2">
        <v>3</v>
      </c>
      <c r="E3440" s="2">
        <v>2</v>
      </c>
      <c r="F3440" s="2" t="s">
        <v>4</v>
      </c>
      <c r="G3440" s="2">
        <v>864.19999999947095</v>
      </c>
      <c r="H3440" s="2" t="s">
        <v>20</v>
      </c>
      <c r="I3440" s="2">
        <v>0</v>
      </c>
      <c r="J3440" s="2">
        <v>0</v>
      </c>
      <c r="K3440" s="2">
        <v>0</v>
      </c>
      <c r="L3440" s="2">
        <v>12000000</v>
      </c>
      <c r="M3440" s="2">
        <v>741579</v>
      </c>
      <c r="N3440">
        <f t="shared" si="70"/>
        <v>12000864.199999999</v>
      </c>
      <c r="O3440" s="2" t="s">
        <v>4</v>
      </c>
    </row>
    <row r="3441" spans="1:15" x14ac:dyDescent="0.2">
      <c r="A3441">
        <v>188</v>
      </c>
      <c r="B3441">
        <v>8</v>
      </c>
      <c r="C3441">
        <v>7</v>
      </c>
      <c r="D3441" s="2">
        <v>3</v>
      </c>
      <c r="E3441" s="2">
        <v>2</v>
      </c>
      <c r="F3441" s="2" t="s">
        <v>4</v>
      </c>
      <c r="G3441" s="2">
        <v>954.99999999972795</v>
      </c>
      <c r="H3441" s="2" t="s">
        <v>20</v>
      </c>
      <c r="I3441" s="2">
        <v>0</v>
      </c>
      <c r="J3441" s="2">
        <v>0</v>
      </c>
      <c r="K3441" s="2">
        <v>0</v>
      </c>
      <c r="L3441" s="2">
        <v>12000000</v>
      </c>
      <c r="M3441" s="2">
        <v>743254</v>
      </c>
      <c r="N3441">
        <f t="shared" si="70"/>
        <v>12000955</v>
      </c>
      <c r="O3441" s="2" t="s">
        <v>4</v>
      </c>
    </row>
    <row r="3442" spans="1:15" x14ac:dyDescent="0.2">
      <c r="A3442">
        <v>189</v>
      </c>
      <c r="B3442">
        <v>8</v>
      </c>
      <c r="C3442">
        <v>7</v>
      </c>
      <c r="D3442" s="2">
        <v>3</v>
      </c>
      <c r="E3442" s="2">
        <v>3</v>
      </c>
      <c r="F3442" s="2" t="s">
        <v>4</v>
      </c>
      <c r="G3442" s="2">
        <v>1226.7999999998799</v>
      </c>
      <c r="H3442" s="2" t="s">
        <v>20</v>
      </c>
      <c r="I3442" s="2">
        <v>0</v>
      </c>
      <c r="J3442" s="2">
        <v>0</v>
      </c>
      <c r="K3442" s="2">
        <v>0</v>
      </c>
      <c r="L3442" s="2">
        <v>12000000</v>
      </c>
      <c r="M3442" s="2">
        <v>634213</v>
      </c>
      <c r="N3442">
        <f t="shared" si="70"/>
        <v>12001226.800000001</v>
      </c>
      <c r="O3442" s="2" t="s">
        <v>4</v>
      </c>
    </row>
    <row r="3443" spans="1:15" x14ac:dyDescent="0.2">
      <c r="A3443">
        <v>160</v>
      </c>
      <c r="B3443">
        <v>8</v>
      </c>
      <c r="C3443">
        <v>7</v>
      </c>
      <c r="D3443" s="2">
        <v>2</v>
      </c>
      <c r="E3443" s="2">
        <v>3</v>
      </c>
      <c r="F3443" s="2" t="s">
        <v>4</v>
      </c>
      <c r="G3443" s="2">
        <v>2124.6000000005001</v>
      </c>
      <c r="H3443" s="2" t="s">
        <v>20</v>
      </c>
      <c r="I3443" s="2">
        <v>0</v>
      </c>
      <c r="J3443" s="2">
        <v>0</v>
      </c>
      <c r="K3443" s="2">
        <v>0</v>
      </c>
      <c r="L3443" s="2">
        <v>15000000</v>
      </c>
      <c r="M3443" s="2">
        <v>829176</v>
      </c>
      <c r="N3443">
        <f t="shared" si="70"/>
        <v>15002124.6</v>
      </c>
      <c r="O3443" s="2" t="s">
        <v>4</v>
      </c>
    </row>
    <row r="3444" spans="1:15" x14ac:dyDescent="0.2">
      <c r="A3444">
        <v>161</v>
      </c>
      <c r="B3444">
        <v>8</v>
      </c>
      <c r="C3444">
        <v>7</v>
      </c>
      <c r="D3444" s="2">
        <v>3</v>
      </c>
      <c r="E3444" s="2">
        <v>2</v>
      </c>
      <c r="F3444" s="2" t="s">
        <v>4</v>
      </c>
      <c r="G3444" s="2">
        <v>1285.8000000008501</v>
      </c>
      <c r="H3444" s="2" t="s">
        <v>20</v>
      </c>
      <c r="I3444" s="2">
        <v>0</v>
      </c>
      <c r="J3444" s="2">
        <v>0</v>
      </c>
      <c r="K3444" s="2">
        <v>0</v>
      </c>
      <c r="L3444" s="2">
        <v>15000000</v>
      </c>
      <c r="M3444" s="2">
        <v>928947</v>
      </c>
      <c r="N3444">
        <f t="shared" si="70"/>
        <v>15001285.800000001</v>
      </c>
      <c r="O3444" s="2" t="s">
        <v>5</v>
      </c>
    </row>
    <row r="3445" spans="1:15" x14ac:dyDescent="0.2">
      <c r="A3445">
        <v>162</v>
      </c>
      <c r="B3445">
        <v>8</v>
      </c>
      <c r="C3445">
        <v>7</v>
      </c>
      <c r="D3445" s="2">
        <v>2</v>
      </c>
      <c r="E3445" s="2">
        <v>3</v>
      </c>
      <c r="F3445" s="2" t="s">
        <v>4</v>
      </c>
      <c r="G3445" s="2">
        <v>1788.7999999999199</v>
      </c>
      <c r="H3445" s="2" t="s">
        <v>20</v>
      </c>
      <c r="I3445" s="2">
        <v>0</v>
      </c>
      <c r="J3445" s="2">
        <v>0</v>
      </c>
      <c r="K3445" s="2">
        <v>0</v>
      </c>
      <c r="L3445" s="2">
        <v>15000000</v>
      </c>
      <c r="M3445" s="2">
        <v>870889</v>
      </c>
      <c r="N3445">
        <f t="shared" si="70"/>
        <v>15001788.800000001</v>
      </c>
      <c r="O3445" s="2" t="s">
        <v>4</v>
      </c>
    </row>
    <row r="3446" spans="1:15" x14ac:dyDescent="0.2">
      <c r="A3446">
        <v>163</v>
      </c>
      <c r="B3446">
        <v>8</v>
      </c>
      <c r="C3446">
        <v>7</v>
      </c>
      <c r="D3446" s="2">
        <v>2</v>
      </c>
      <c r="E3446" s="2">
        <v>1</v>
      </c>
      <c r="F3446" s="2" t="s">
        <v>4</v>
      </c>
      <c r="G3446" s="2">
        <v>1078.5999999996</v>
      </c>
      <c r="H3446" s="2" t="s">
        <v>20</v>
      </c>
      <c r="I3446" s="2">
        <v>0</v>
      </c>
      <c r="J3446" s="2">
        <v>0</v>
      </c>
      <c r="K3446" s="2">
        <v>0</v>
      </c>
      <c r="L3446" s="2">
        <v>15000000</v>
      </c>
      <c r="M3446" s="2">
        <v>1041581</v>
      </c>
      <c r="N3446">
        <f t="shared" si="70"/>
        <v>15001078.6</v>
      </c>
      <c r="O3446" s="2" t="s">
        <v>4</v>
      </c>
    </row>
    <row r="3447" spans="1:15" x14ac:dyDescent="0.2">
      <c r="A3447">
        <v>164</v>
      </c>
      <c r="B3447">
        <v>8</v>
      </c>
      <c r="C3447">
        <v>7</v>
      </c>
      <c r="D3447" s="2">
        <v>2</v>
      </c>
      <c r="E3447" s="2">
        <v>2</v>
      </c>
      <c r="F3447" s="2" t="s">
        <v>4</v>
      </c>
      <c r="G3447" s="2">
        <v>1362.4000000000101</v>
      </c>
      <c r="H3447" s="2" t="s">
        <v>20</v>
      </c>
      <c r="I3447" s="2">
        <v>0</v>
      </c>
      <c r="J3447" s="2">
        <v>0</v>
      </c>
      <c r="K3447" s="2">
        <v>0</v>
      </c>
      <c r="L3447" s="2">
        <v>15000000</v>
      </c>
      <c r="M3447" s="2">
        <v>930371</v>
      </c>
      <c r="N3447">
        <f t="shared" si="70"/>
        <v>15001362.4</v>
      </c>
      <c r="O3447" s="2" t="s">
        <v>4</v>
      </c>
    </row>
    <row r="3448" spans="1:15" x14ac:dyDescent="0.2">
      <c r="A3448">
        <v>165</v>
      </c>
      <c r="B3448">
        <v>8</v>
      </c>
      <c r="C3448">
        <v>7</v>
      </c>
      <c r="D3448" s="2">
        <v>2</v>
      </c>
      <c r="E3448" s="2">
        <v>3</v>
      </c>
      <c r="F3448" s="2" t="s">
        <v>4</v>
      </c>
      <c r="G3448" s="2">
        <v>1222.5999999998301</v>
      </c>
      <c r="H3448" s="2" t="s">
        <v>20</v>
      </c>
      <c r="I3448" s="2">
        <v>0</v>
      </c>
      <c r="J3448" s="2">
        <v>0</v>
      </c>
      <c r="K3448" s="2">
        <v>0</v>
      </c>
      <c r="L3448" s="2">
        <v>15000000</v>
      </c>
      <c r="M3448" s="2">
        <v>831048</v>
      </c>
      <c r="N3448">
        <f t="shared" si="70"/>
        <v>15001222.6</v>
      </c>
      <c r="O3448" s="2" t="s">
        <v>4</v>
      </c>
    </row>
    <row r="3449" spans="1:15" x14ac:dyDescent="0.2">
      <c r="A3449">
        <v>166</v>
      </c>
      <c r="B3449">
        <v>8</v>
      </c>
      <c r="C3449">
        <v>7</v>
      </c>
      <c r="D3449" s="2">
        <v>2</v>
      </c>
      <c r="E3449" s="2">
        <v>1</v>
      </c>
      <c r="F3449" s="2" t="s">
        <v>4</v>
      </c>
      <c r="G3449" s="2">
        <v>828.39999999961799</v>
      </c>
      <c r="H3449" s="2" t="s">
        <v>20</v>
      </c>
      <c r="I3449" s="2">
        <v>0</v>
      </c>
      <c r="J3449" s="2">
        <v>0</v>
      </c>
      <c r="K3449" s="2">
        <v>0</v>
      </c>
      <c r="L3449" s="2">
        <v>15000000</v>
      </c>
      <c r="M3449" s="2">
        <v>1007097</v>
      </c>
      <c r="N3449">
        <f t="shared" si="70"/>
        <v>15000828.4</v>
      </c>
      <c r="O3449" s="2" t="s">
        <v>5</v>
      </c>
    </row>
    <row r="3450" spans="1:15" x14ac:dyDescent="0.2">
      <c r="A3450">
        <v>167</v>
      </c>
      <c r="B3450">
        <v>8</v>
      </c>
      <c r="C3450">
        <v>7</v>
      </c>
      <c r="D3450" s="2">
        <v>2</v>
      </c>
      <c r="E3450" s="2">
        <v>2</v>
      </c>
      <c r="F3450" s="2" t="s">
        <v>4</v>
      </c>
      <c r="G3450" s="2">
        <v>944.600000001117</v>
      </c>
      <c r="H3450" s="2" t="s">
        <v>20</v>
      </c>
      <c r="I3450" s="2">
        <v>0</v>
      </c>
      <c r="J3450" s="2">
        <v>0</v>
      </c>
      <c r="K3450" s="2">
        <v>0</v>
      </c>
      <c r="L3450" s="2">
        <v>15000000</v>
      </c>
      <c r="M3450" s="2">
        <v>936687</v>
      </c>
      <c r="N3450">
        <f t="shared" si="70"/>
        <v>15000944.600000001</v>
      </c>
      <c r="O3450" s="2" t="s">
        <v>4</v>
      </c>
    </row>
    <row r="3451" spans="1:15" x14ac:dyDescent="0.2">
      <c r="A3451">
        <v>168</v>
      </c>
      <c r="B3451">
        <v>8</v>
      </c>
      <c r="C3451">
        <v>7</v>
      </c>
      <c r="D3451" s="2">
        <v>3</v>
      </c>
      <c r="E3451" s="2">
        <v>3</v>
      </c>
      <c r="F3451" s="2" t="s">
        <v>4</v>
      </c>
      <c r="G3451" s="2">
        <v>1162.7999999994599</v>
      </c>
      <c r="H3451" s="2" t="s">
        <v>20</v>
      </c>
      <c r="I3451" s="2">
        <v>0</v>
      </c>
      <c r="J3451" s="2">
        <v>0</v>
      </c>
      <c r="K3451" s="2">
        <v>0</v>
      </c>
      <c r="L3451" s="2">
        <v>15000000</v>
      </c>
      <c r="M3451" s="2">
        <v>790883</v>
      </c>
      <c r="N3451">
        <f t="shared" si="70"/>
        <v>15001162.799999999</v>
      </c>
      <c r="O3451" s="2" t="s">
        <v>4</v>
      </c>
    </row>
    <row r="3452" spans="1:15" x14ac:dyDescent="0.2">
      <c r="A3452">
        <v>169</v>
      </c>
      <c r="B3452">
        <v>8</v>
      </c>
      <c r="C3452">
        <v>7</v>
      </c>
      <c r="D3452" s="2">
        <v>3</v>
      </c>
      <c r="E3452" s="2">
        <v>3</v>
      </c>
      <c r="F3452" s="2" t="s">
        <v>4</v>
      </c>
      <c r="G3452" s="2">
        <v>985.99999999962097</v>
      </c>
      <c r="H3452" s="2" t="s">
        <v>20</v>
      </c>
      <c r="I3452" s="2">
        <v>0</v>
      </c>
      <c r="J3452" s="2">
        <v>0</v>
      </c>
      <c r="K3452" s="2">
        <v>0</v>
      </c>
      <c r="L3452" s="2">
        <v>15000000</v>
      </c>
      <c r="M3452" s="2">
        <v>792206</v>
      </c>
      <c r="N3452">
        <f t="shared" ref="N3452:N3502" si="71">L3452+G3452</f>
        <v>15000986</v>
      </c>
      <c r="O3452" s="2" t="s">
        <v>4</v>
      </c>
    </row>
    <row r="3453" spans="1:15" x14ac:dyDescent="0.2">
      <c r="A3453">
        <v>170</v>
      </c>
      <c r="B3453">
        <v>8</v>
      </c>
      <c r="C3453">
        <v>7</v>
      </c>
      <c r="D3453" s="2">
        <v>2</v>
      </c>
      <c r="E3453" s="2">
        <v>3</v>
      </c>
      <c r="F3453" s="2" t="s">
        <v>4</v>
      </c>
      <c r="G3453" s="2">
        <v>1070.39999999969</v>
      </c>
      <c r="H3453" s="2" t="s">
        <v>20</v>
      </c>
      <c r="I3453" s="2">
        <v>0</v>
      </c>
      <c r="J3453" s="2">
        <v>0</v>
      </c>
      <c r="K3453" s="2">
        <v>0</v>
      </c>
      <c r="L3453" s="2">
        <v>15000000</v>
      </c>
      <c r="M3453" s="2">
        <v>316758</v>
      </c>
      <c r="N3453">
        <f t="shared" si="71"/>
        <v>15001070.4</v>
      </c>
      <c r="O3453" s="2" t="s">
        <v>4</v>
      </c>
    </row>
    <row r="3454" spans="1:15" x14ac:dyDescent="0.2">
      <c r="A3454">
        <v>171</v>
      </c>
      <c r="B3454">
        <v>8</v>
      </c>
      <c r="C3454">
        <v>7</v>
      </c>
      <c r="D3454" s="2">
        <v>3</v>
      </c>
      <c r="E3454" s="2">
        <v>3</v>
      </c>
      <c r="F3454" s="2" t="s">
        <v>4</v>
      </c>
      <c r="G3454" s="2">
        <v>1168.6000000004501</v>
      </c>
      <c r="H3454" s="2" t="s">
        <v>20</v>
      </c>
      <c r="I3454" s="2">
        <v>0</v>
      </c>
      <c r="J3454" s="2">
        <v>0</v>
      </c>
      <c r="K3454" s="2">
        <v>0</v>
      </c>
      <c r="L3454" s="2">
        <v>15000000</v>
      </c>
      <c r="M3454" s="2">
        <v>792463</v>
      </c>
      <c r="N3454">
        <f t="shared" si="71"/>
        <v>15001168.6</v>
      </c>
      <c r="O3454" s="2" t="s">
        <v>4</v>
      </c>
    </row>
    <row r="3455" spans="1:15" x14ac:dyDescent="0.2">
      <c r="A3455">
        <v>172</v>
      </c>
      <c r="B3455">
        <v>8</v>
      </c>
      <c r="C3455">
        <v>7</v>
      </c>
      <c r="D3455" s="2">
        <v>2</v>
      </c>
      <c r="E3455" s="2">
        <v>2</v>
      </c>
      <c r="F3455" s="2" t="s">
        <v>4</v>
      </c>
      <c r="G3455" s="2">
        <v>975.20000000059804</v>
      </c>
      <c r="H3455" s="2" t="s">
        <v>20</v>
      </c>
      <c r="I3455" s="2">
        <v>0</v>
      </c>
      <c r="J3455" s="2">
        <v>0</v>
      </c>
      <c r="K3455" s="2">
        <v>0</v>
      </c>
      <c r="L3455" s="2">
        <v>15000000</v>
      </c>
      <c r="M3455" s="2">
        <v>888200</v>
      </c>
      <c r="N3455">
        <f t="shared" si="71"/>
        <v>15000975.200000001</v>
      </c>
      <c r="O3455" s="2" t="s">
        <v>4</v>
      </c>
    </row>
    <row r="3456" spans="1:15" x14ac:dyDescent="0.2">
      <c r="A3456">
        <v>173</v>
      </c>
      <c r="B3456">
        <v>8</v>
      </c>
      <c r="C3456">
        <v>7</v>
      </c>
      <c r="D3456" s="2">
        <v>3</v>
      </c>
      <c r="E3456" s="2">
        <v>2</v>
      </c>
      <c r="F3456" s="2" t="s">
        <v>4</v>
      </c>
      <c r="G3456" s="2">
        <v>996.19999999944798</v>
      </c>
      <c r="H3456" s="2" t="s">
        <v>20</v>
      </c>
      <c r="I3456" s="2">
        <v>0</v>
      </c>
      <c r="J3456" s="2">
        <v>0</v>
      </c>
      <c r="K3456" s="2">
        <v>0</v>
      </c>
      <c r="L3456" s="2">
        <v>15000000</v>
      </c>
      <c r="M3456" s="2">
        <v>892856</v>
      </c>
      <c r="N3456">
        <f t="shared" si="71"/>
        <v>15000996.199999999</v>
      </c>
      <c r="O3456" s="2" t="s">
        <v>4</v>
      </c>
    </row>
    <row r="3457" spans="1:15" x14ac:dyDescent="0.2">
      <c r="A3457">
        <v>174</v>
      </c>
      <c r="B3457">
        <v>8</v>
      </c>
      <c r="C3457">
        <v>7</v>
      </c>
      <c r="D3457" s="2">
        <v>2</v>
      </c>
      <c r="E3457" s="2">
        <v>2</v>
      </c>
      <c r="F3457" s="2" t="s">
        <v>4</v>
      </c>
      <c r="G3457" s="2">
        <v>987.00000000064904</v>
      </c>
      <c r="H3457" s="2" t="s">
        <v>20</v>
      </c>
      <c r="I3457" s="2">
        <v>0</v>
      </c>
      <c r="J3457" s="2">
        <v>0</v>
      </c>
      <c r="K3457" s="2">
        <v>0</v>
      </c>
      <c r="L3457" s="2">
        <v>15000000</v>
      </c>
      <c r="M3457" s="2">
        <v>919791</v>
      </c>
      <c r="N3457">
        <f t="shared" si="71"/>
        <v>15000987</v>
      </c>
      <c r="O3457" s="2" t="s">
        <v>4</v>
      </c>
    </row>
    <row r="3458" spans="1:15" x14ac:dyDescent="0.2">
      <c r="A3458">
        <v>175</v>
      </c>
      <c r="B3458">
        <v>8</v>
      </c>
      <c r="C3458">
        <v>7</v>
      </c>
      <c r="D3458" s="2">
        <v>3</v>
      </c>
      <c r="E3458" s="2">
        <v>2</v>
      </c>
      <c r="F3458" s="2" t="s">
        <v>4</v>
      </c>
      <c r="G3458" s="2">
        <v>1086.1999999995901</v>
      </c>
      <c r="H3458" s="2" t="s">
        <v>20</v>
      </c>
      <c r="I3458" s="2">
        <v>0</v>
      </c>
      <c r="J3458" s="2">
        <v>0</v>
      </c>
      <c r="K3458" s="2">
        <v>0</v>
      </c>
      <c r="L3458" s="2">
        <v>15000000</v>
      </c>
      <c r="M3458" s="2">
        <v>831246</v>
      </c>
      <c r="N3458">
        <f t="shared" si="71"/>
        <v>15001086.199999999</v>
      </c>
      <c r="O3458" s="2" t="s">
        <v>4</v>
      </c>
    </row>
    <row r="3459" spans="1:15" x14ac:dyDescent="0.2">
      <c r="A3459">
        <v>176</v>
      </c>
      <c r="B3459">
        <v>8</v>
      </c>
      <c r="C3459">
        <v>7</v>
      </c>
      <c r="D3459" s="2">
        <v>3</v>
      </c>
      <c r="E3459" s="2">
        <v>3</v>
      </c>
      <c r="F3459" s="2" t="s">
        <v>4</v>
      </c>
      <c r="G3459" s="2">
        <v>1291.2</v>
      </c>
      <c r="H3459" s="2" t="s">
        <v>20</v>
      </c>
      <c r="I3459" s="2">
        <v>0</v>
      </c>
      <c r="J3459" s="2">
        <v>0</v>
      </c>
      <c r="K3459" s="2">
        <v>0</v>
      </c>
      <c r="L3459" s="2">
        <v>15000000</v>
      </c>
      <c r="M3459" s="2">
        <v>714505</v>
      </c>
      <c r="N3459">
        <f t="shared" si="71"/>
        <v>15001291.199999999</v>
      </c>
      <c r="O3459" s="2" t="s">
        <v>4</v>
      </c>
    </row>
    <row r="3460" spans="1:15" x14ac:dyDescent="0.2">
      <c r="A3460">
        <v>177</v>
      </c>
      <c r="B3460">
        <v>8</v>
      </c>
      <c r="C3460">
        <v>7</v>
      </c>
      <c r="D3460" s="2">
        <v>2</v>
      </c>
      <c r="E3460" s="2">
        <v>3</v>
      </c>
      <c r="F3460" s="2" t="s">
        <v>4</v>
      </c>
      <c r="G3460" s="2">
        <v>989.79999999926395</v>
      </c>
      <c r="H3460" s="2" t="s">
        <v>20</v>
      </c>
      <c r="I3460" s="2">
        <v>0</v>
      </c>
      <c r="J3460" s="2">
        <v>0</v>
      </c>
      <c r="K3460" s="2">
        <v>0</v>
      </c>
      <c r="L3460" s="2">
        <v>15000000</v>
      </c>
      <c r="M3460" s="2">
        <v>830692</v>
      </c>
      <c r="N3460">
        <f t="shared" si="71"/>
        <v>15000989.799999999</v>
      </c>
      <c r="O3460" s="2" t="s">
        <v>4</v>
      </c>
    </row>
    <row r="3461" spans="1:15" x14ac:dyDescent="0.2">
      <c r="A3461">
        <v>178</v>
      </c>
      <c r="B3461">
        <v>8</v>
      </c>
      <c r="C3461">
        <v>7</v>
      </c>
      <c r="D3461" s="2">
        <v>3</v>
      </c>
      <c r="E3461" s="2">
        <v>3</v>
      </c>
      <c r="F3461" s="2" t="s">
        <v>4</v>
      </c>
      <c r="G3461" s="2">
        <v>977.60000000022296</v>
      </c>
      <c r="H3461" s="2" t="s">
        <v>20</v>
      </c>
      <c r="I3461" s="2">
        <v>0</v>
      </c>
      <c r="J3461" s="2">
        <v>0</v>
      </c>
      <c r="K3461" s="2">
        <v>0</v>
      </c>
      <c r="L3461" s="2">
        <v>15000000</v>
      </c>
      <c r="M3461" s="2">
        <v>790636</v>
      </c>
      <c r="N3461">
        <f t="shared" si="71"/>
        <v>15000977.6</v>
      </c>
      <c r="O3461" s="2" t="s">
        <v>4</v>
      </c>
    </row>
    <row r="3462" spans="1:15" x14ac:dyDescent="0.2">
      <c r="A3462">
        <v>179</v>
      </c>
      <c r="B3462">
        <v>8</v>
      </c>
      <c r="C3462">
        <v>7</v>
      </c>
      <c r="D3462" s="2">
        <v>3</v>
      </c>
      <c r="E3462" s="2">
        <v>3</v>
      </c>
      <c r="F3462" s="2" t="s">
        <v>4</v>
      </c>
      <c r="G3462" s="2">
        <v>1027.39999999883</v>
      </c>
      <c r="H3462" s="2" t="s">
        <v>20</v>
      </c>
      <c r="I3462" s="2">
        <v>0</v>
      </c>
      <c r="J3462" s="2">
        <v>0</v>
      </c>
      <c r="K3462" s="2">
        <v>0</v>
      </c>
      <c r="L3462" s="2">
        <v>15000000</v>
      </c>
      <c r="M3462" s="2">
        <v>905056</v>
      </c>
      <c r="N3462">
        <f t="shared" si="71"/>
        <v>15001027.399999999</v>
      </c>
      <c r="O3462" s="2" t="s">
        <v>4</v>
      </c>
    </row>
    <row r="3463" spans="1:15" x14ac:dyDescent="0.2">
      <c r="A3463">
        <v>180</v>
      </c>
      <c r="B3463">
        <v>8</v>
      </c>
      <c r="C3463">
        <v>7</v>
      </c>
      <c r="D3463" s="2">
        <v>3</v>
      </c>
      <c r="E3463" s="2">
        <v>3</v>
      </c>
      <c r="F3463" s="2" t="s">
        <v>4</v>
      </c>
      <c r="G3463" s="2">
        <v>997.40000000068096</v>
      </c>
      <c r="H3463" s="2" t="s">
        <v>20</v>
      </c>
      <c r="I3463" s="2">
        <v>0</v>
      </c>
      <c r="J3463" s="2">
        <v>0</v>
      </c>
      <c r="K3463" s="2">
        <v>0</v>
      </c>
      <c r="L3463" s="2">
        <v>15000000</v>
      </c>
      <c r="M3463" s="2">
        <v>869053</v>
      </c>
      <c r="N3463">
        <f t="shared" si="71"/>
        <v>15000997.4</v>
      </c>
      <c r="O3463" s="2" t="s">
        <v>4</v>
      </c>
    </row>
    <row r="3464" spans="1:15" x14ac:dyDescent="0.2">
      <c r="A3464">
        <v>181</v>
      </c>
      <c r="B3464">
        <v>8</v>
      </c>
      <c r="C3464">
        <v>7</v>
      </c>
      <c r="D3464" s="2">
        <v>2</v>
      </c>
      <c r="E3464" s="2">
        <v>3</v>
      </c>
      <c r="F3464" s="2" t="s">
        <v>4</v>
      </c>
      <c r="G3464" s="2">
        <v>1310.9999999997499</v>
      </c>
      <c r="H3464" s="2" t="s">
        <v>20</v>
      </c>
      <c r="I3464" s="2">
        <v>0</v>
      </c>
      <c r="J3464" s="2">
        <v>0</v>
      </c>
      <c r="K3464" s="2">
        <v>0</v>
      </c>
      <c r="L3464" s="2">
        <v>15000000</v>
      </c>
      <c r="M3464" s="2">
        <v>752334</v>
      </c>
      <c r="N3464">
        <f t="shared" si="71"/>
        <v>15001311</v>
      </c>
      <c r="O3464" s="2" t="s">
        <v>4</v>
      </c>
    </row>
    <row r="3465" spans="1:15" x14ac:dyDescent="0.2">
      <c r="A3465">
        <v>182</v>
      </c>
      <c r="B3465">
        <v>8</v>
      </c>
      <c r="C3465">
        <v>7</v>
      </c>
      <c r="D3465" s="2">
        <v>2</v>
      </c>
      <c r="E3465" s="2">
        <v>3</v>
      </c>
      <c r="F3465" s="2" t="s">
        <v>4</v>
      </c>
      <c r="G3465" s="2">
        <v>1100.39999999927</v>
      </c>
      <c r="H3465" s="2" t="s">
        <v>20</v>
      </c>
      <c r="I3465" s="2">
        <v>0</v>
      </c>
      <c r="J3465" s="2">
        <v>0</v>
      </c>
      <c r="K3465" s="2">
        <v>0</v>
      </c>
      <c r="L3465" s="2">
        <v>15000000</v>
      </c>
      <c r="M3465" s="2">
        <v>435722</v>
      </c>
      <c r="N3465">
        <f t="shared" si="71"/>
        <v>15001100.399999999</v>
      </c>
      <c r="O3465" s="2" t="s">
        <v>4</v>
      </c>
    </row>
    <row r="3466" spans="1:15" x14ac:dyDescent="0.2">
      <c r="A3466">
        <v>183</v>
      </c>
      <c r="B3466">
        <v>8</v>
      </c>
      <c r="C3466">
        <v>7</v>
      </c>
      <c r="D3466" s="2">
        <v>3</v>
      </c>
      <c r="E3466" s="2">
        <v>3</v>
      </c>
      <c r="F3466" s="2" t="s">
        <v>4</v>
      </c>
      <c r="G3466" s="2">
        <v>1108.40000000039</v>
      </c>
      <c r="H3466" s="2" t="s">
        <v>20</v>
      </c>
      <c r="I3466" s="2">
        <v>0</v>
      </c>
      <c r="J3466" s="2">
        <v>0</v>
      </c>
      <c r="K3466" s="2">
        <v>0</v>
      </c>
      <c r="L3466" s="2">
        <v>15000000</v>
      </c>
      <c r="M3466" s="2">
        <v>712686</v>
      </c>
      <c r="N3466">
        <f t="shared" si="71"/>
        <v>15001108.4</v>
      </c>
      <c r="O3466" s="2" t="s">
        <v>4</v>
      </c>
    </row>
    <row r="3467" spans="1:15" x14ac:dyDescent="0.2">
      <c r="A3467">
        <v>184</v>
      </c>
      <c r="B3467">
        <v>8</v>
      </c>
      <c r="C3467">
        <v>7</v>
      </c>
      <c r="D3467" s="2">
        <v>2</v>
      </c>
      <c r="E3467" s="2">
        <v>2</v>
      </c>
      <c r="F3467" s="2" t="s">
        <v>4</v>
      </c>
      <c r="G3467" s="2">
        <v>941.200000000464</v>
      </c>
      <c r="H3467" s="2" t="s">
        <v>20</v>
      </c>
      <c r="I3467" s="2">
        <v>0</v>
      </c>
      <c r="J3467" s="2">
        <v>0</v>
      </c>
      <c r="K3467" s="2">
        <v>0</v>
      </c>
      <c r="L3467" s="2">
        <v>15000000</v>
      </c>
      <c r="M3467" s="2">
        <v>894614</v>
      </c>
      <c r="N3467">
        <f t="shared" si="71"/>
        <v>15000941.200000001</v>
      </c>
      <c r="O3467" s="2" t="s">
        <v>4</v>
      </c>
    </row>
    <row r="3468" spans="1:15" x14ac:dyDescent="0.2">
      <c r="A3468">
        <v>185</v>
      </c>
      <c r="B3468">
        <v>8</v>
      </c>
      <c r="C3468">
        <v>7</v>
      </c>
      <c r="D3468" s="2">
        <v>2</v>
      </c>
      <c r="E3468" s="2">
        <v>3</v>
      </c>
      <c r="F3468" s="2" t="s">
        <v>4</v>
      </c>
      <c r="G3468" s="2">
        <v>1091.79999999967</v>
      </c>
      <c r="H3468" s="2" t="s">
        <v>20</v>
      </c>
      <c r="I3468" s="2">
        <v>0</v>
      </c>
      <c r="J3468" s="2">
        <v>0</v>
      </c>
      <c r="K3468" s="2">
        <v>0</v>
      </c>
      <c r="L3468" s="2">
        <v>15000000</v>
      </c>
      <c r="M3468" s="2">
        <v>756192</v>
      </c>
      <c r="N3468">
        <f t="shared" si="71"/>
        <v>15001091.799999999</v>
      </c>
      <c r="O3468" s="2" t="s">
        <v>4</v>
      </c>
    </row>
    <row r="3469" spans="1:15" x14ac:dyDescent="0.2">
      <c r="A3469">
        <v>186</v>
      </c>
      <c r="B3469">
        <v>8</v>
      </c>
      <c r="C3469">
        <v>7</v>
      </c>
      <c r="D3469" s="2">
        <v>3</v>
      </c>
      <c r="E3469" s="2">
        <v>3</v>
      </c>
      <c r="F3469" s="2" t="s">
        <v>4</v>
      </c>
      <c r="G3469" s="2">
        <v>1080.40000000074</v>
      </c>
      <c r="H3469" s="2" t="s">
        <v>20</v>
      </c>
      <c r="I3469" s="2">
        <v>0</v>
      </c>
      <c r="J3469" s="2">
        <v>0</v>
      </c>
      <c r="K3469" s="2">
        <v>0</v>
      </c>
      <c r="L3469" s="2">
        <v>15000000</v>
      </c>
      <c r="M3469" s="2">
        <v>832322</v>
      </c>
      <c r="N3469">
        <f t="shared" si="71"/>
        <v>15001080.4</v>
      </c>
      <c r="O3469" s="2" t="s">
        <v>4</v>
      </c>
    </row>
    <row r="3470" spans="1:15" x14ac:dyDescent="0.2">
      <c r="A3470">
        <v>187</v>
      </c>
      <c r="B3470">
        <v>8</v>
      </c>
      <c r="C3470">
        <v>7</v>
      </c>
      <c r="D3470" s="2">
        <v>3</v>
      </c>
      <c r="E3470" s="2">
        <v>2</v>
      </c>
      <c r="F3470" s="2" t="s">
        <v>4</v>
      </c>
      <c r="G3470" s="2">
        <v>864.19999999947095</v>
      </c>
      <c r="H3470" s="2" t="s">
        <v>20</v>
      </c>
      <c r="I3470" s="2">
        <v>0</v>
      </c>
      <c r="J3470" s="2">
        <v>0</v>
      </c>
      <c r="K3470" s="2">
        <v>0</v>
      </c>
      <c r="L3470" s="2">
        <v>15000000</v>
      </c>
      <c r="M3470" s="2">
        <v>966760</v>
      </c>
      <c r="N3470">
        <f t="shared" si="71"/>
        <v>15000864.199999999</v>
      </c>
      <c r="O3470" s="2" t="s">
        <v>4</v>
      </c>
    </row>
    <row r="3471" spans="1:15" x14ac:dyDescent="0.2">
      <c r="A3471">
        <v>188</v>
      </c>
      <c r="B3471">
        <v>8</v>
      </c>
      <c r="C3471">
        <v>7</v>
      </c>
      <c r="D3471" s="2">
        <v>3</v>
      </c>
      <c r="E3471" s="2">
        <v>2</v>
      </c>
      <c r="F3471" s="2" t="s">
        <v>4</v>
      </c>
      <c r="G3471" s="2">
        <v>954.99999999972795</v>
      </c>
      <c r="H3471" s="2" t="s">
        <v>20</v>
      </c>
      <c r="I3471" s="2">
        <v>0</v>
      </c>
      <c r="J3471" s="2">
        <v>0</v>
      </c>
      <c r="K3471" s="2">
        <v>0</v>
      </c>
      <c r="L3471" s="2">
        <v>15000000</v>
      </c>
      <c r="M3471" s="2">
        <v>890239</v>
      </c>
      <c r="N3471">
        <f t="shared" si="71"/>
        <v>15000955</v>
      </c>
      <c r="O3471" s="2" t="s">
        <v>4</v>
      </c>
    </row>
    <row r="3472" spans="1:15" x14ac:dyDescent="0.2">
      <c r="A3472">
        <v>189</v>
      </c>
      <c r="B3472">
        <v>8</v>
      </c>
      <c r="C3472">
        <v>7</v>
      </c>
      <c r="D3472" s="2">
        <v>3</v>
      </c>
      <c r="E3472" s="2">
        <v>3</v>
      </c>
      <c r="F3472" s="2" t="s">
        <v>4</v>
      </c>
      <c r="G3472" s="2">
        <v>1226.7999999998799</v>
      </c>
      <c r="H3472" s="2" t="s">
        <v>20</v>
      </c>
      <c r="I3472" s="2">
        <v>0</v>
      </c>
      <c r="J3472" s="2">
        <v>0</v>
      </c>
      <c r="K3472" s="2">
        <v>0</v>
      </c>
      <c r="L3472" s="2">
        <v>15000000</v>
      </c>
      <c r="M3472" s="2">
        <v>595985</v>
      </c>
      <c r="N3472">
        <f t="shared" si="71"/>
        <v>15001226.800000001</v>
      </c>
      <c r="O3472" s="2" t="s">
        <v>4</v>
      </c>
    </row>
    <row r="3473" spans="1:15" x14ac:dyDescent="0.2">
      <c r="A3473">
        <v>160</v>
      </c>
      <c r="B3473">
        <v>8</v>
      </c>
      <c r="C3473">
        <v>7</v>
      </c>
      <c r="D3473" s="2">
        <v>2</v>
      </c>
      <c r="E3473" s="2">
        <v>3</v>
      </c>
      <c r="F3473" s="2" t="s">
        <v>4</v>
      </c>
      <c r="G3473" s="2">
        <v>2124.6000000005001</v>
      </c>
      <c r="H3473" s="2" t="s">
        <v>20</v>
      </c>
      <c r="I3473" s="2">
        <v>0</v>
      </c>
      <c r="J3473" s="2">
        <v>0</v>
      </c>
      <c r="K3473" s="2">
        <v>0</v>
      </c>
      <c r="L3473" s="2">
        <v>18000000</v>
      </c>
      <c r="M3473" s="2">
        <v>985472</v>
      </c>
      <c r="N3473">
        <f t="shared" si="71"/>
        <v>18002124.600000001</v>
      </c>
      <c r="O3473" s="2" t="s">
        <v>4</v>
      </c>
    </row>
    <row r="3474" spans="1:15" x14ac:dyDescent="0.2">
      <c r="A3474">
        <v>161</v>
      </c>
      <c r="B3474">
        <v>8</v>
      </c>
      <c r="C3474">
        <v>7</v>
      </c>
      <c r="D3474" s="2">
        <v>3</v>
      </c>
      <c r="E3474" s="2">
        <v>2</v>
      </c>
      <c r="F3474" s="2" t="s">
        <v>4</v>
      </c>
      <c r="G3474" s="2">
        <v>1285.8000000008501</v>
      </c>
      <c r="H3474" s="2" t="s">
        <v>20</v>
      </c>
      <c r="I3474" s="2">
        <v>0</v>
      </c>
      <c r="J3474" s="2">
        <v>0</v>
      </c>
      <c r="K3474" s="2">
        <v>0</v>
      </c>
      <c r="L3474" s="2">
        <v>18000000</v>
      </c>
      <c r="M3474" s="2">
        <v>1218224</v>
      </c>
      <c r="N3474">
        <f t="shared" si="71"/>
        <v>18001285.800000001</v>
      </c>
      <c r="O3474" s="2" t="s">
        <v>5</v>
      </c>
    </row>
    <row r="3475" spans="1:15" x14ac:dyDescent="0.2">
      <c r="A3475">
        <v>162</v>
      </c>
      <c r="B3475">
        <v>8</v>
      </c>
      <c r="C3475">
        <v>7</v>
      </c>
      <c r="D3475" s="2">
        <v>2</v>
      </c>
      <c r="E3475" s="2">
        <v>3</v>
      </c>
      <c r="F3475" s="2" t="s">
        <v>4</v>
      </c>
      <c r="G3475" s="2">
        <v>1788.7999999999199</v>
      </c>
      <c r="H3475" s="2" t="s">
        <v>20</v>
      </c>
      <c r="I3475" s="2">
        <v>0</v>
      </c>
      <c r="J3475" s="2">
        <v>0</v>
      </c>
      <c r="K3475" s="2">
        <v>0</v>
      </c>
      <c r="L3475" s="2">
        <v>18000000</v>
      </c>
      <c r="M3475" s="2">
        <v>988940</v>
      </c>
      <c r="N3475">
        <f t="shared" si="71"/>
        <v>18001788.800000001</v>
      </c>
      <c r="O3475" s="2" t="s">
        <v>4</v>
      </c>
    </row>
    <row r="3476" spans="1:15" x14ac:dyDescent="0.2">
      <c r="A3476">
        <v>163</v>
      </c>
      <c r="B3476">
        <v>8</v>
      </c>
      <c r="C3476">
        <v>7</v>
      </c>
      <c r="D3476" s="2">
        <v>2</v>
      </c>
      <c r="E3476" s="2">
        <v>1</v>
      </c>
      <c r="F3476" s="2" t="s">
        <v>4</v>
      </c>
      <c r="G3476" s="2">
        <v>1078.5999999996</v>
      </c>
      <c r="H3476" s="2" t="s">
        <v>20</v>
      </c>
      <c r="I3476" s="2">
        <v>0</v>
      </c>
      <c r="J3476" s="2">
        <v>0</v>
      </c>
      <c r="K3476" s="2">
        <v>0</v>
      </c>
      <c r="L3476" s="2">
        <v>18000000</v>
      </c>
      <c r="M3476" s="2">
        <v>1233481</v>
      </c>
      <c r="N3476">
        <f t="shared" si="71"/>
        <v>18001078.599999998</v>
      </c>
      <c r="O3476" s="2" t="s">
        <v>4</v>
      </c>
    </row>
    <row r="3477" spans="1:15" x14ac:dyDescent="0.2">
      <c r="A3477">
        <v>164</v>
      </c>
      <c r="B3477">
        <v>8</v>
      </c>
      <c r="C3477">
        <v>7</v>
      </c>
      <c r="D3477" s="2">
        <v>2</v>
      </c>
      <c r="E3477" s="2">
        <v>2</v>
      </c>
      <c r="F3477" s="2" t="s">
        <v>4</v>
      </c>
      <c r="G3477" s="2">
        <v>1362.4000000000101</v>
      </c>
      <c r="H3477" s="2" t="s">
        <v>20</v>
      </c>
      <c r="I3477" s="2">
        <v>0</v>
      </c>
      <c r="J3477" s="2">
        <v>0</v>
      </c>
      <c r="K3477" s="2">
        <v>0</v>
      </c>
      <c r="L3477" s="2">
        <v>18000000</v>
      </c>
      <c r="M3477" s="2">
        <v>1156330</v>
      </c>
      <c r="N3477">
        <f t="shared" si="71"/>
        <v>18001362.399999999</v>
      </c>
      <c r="O3477" s="2" t="s">
        <v>4</v>
      </c>
    </row>
    <row r="3478" spans="1:15" x14ac:dyDescent="0.2">
      <c r="A3478">
        <v>165</v>
      </c>
      <c r="B3478">
        <v>8</v>
      </c>
      <c r="C3478">
        <v>7</v>
      </c>
      <c r="D3478" s="2">
        <v>2</v>
      </c>
      <c r="E3478" s="2">
        <v>3</v>
      </c>
      <c r="F3478" s="2" t="s">
        <v>4</v>
      </c>
      <c r="G3478" s="2">
        <v>1222.5999999998301</v>
      </c>
      <c r="H3478" s="2" t="s">
        <v>20</v>
      </c>
      <c r="I3478" s="2">
        <v>0</v>
      </c>
      <c r="J3478" s="2">
        <v>0</v>
      </c>
      <c r="K3478" s="2">
        <v>0</v>
      </c>
      <c r="L3478" s="2">
        <v>18000000</v>
      </c>
      <c r="M3478" s="2">
        <v>1138308</v>
      </c>
      <c r="N3478">
        <f t="shared" si="71"/>
        <v>18001222.600000001</v>
      </c>
      <c r="O3478" s="2" t="s">
        <v>4</v>
      </c>
    </row>
    <row r="3479" spans="1:15" x14ac:dyDescent="0.2">
      <c r="A3479">
        <v>166</v>
      </c>
      <c r="B3479">
        <v>8</v>
      </c>
      <c r="C3479">
        <v>7</v>
      </c>
      <c r="D3479" s="2">
        <v>2</v>
      </c>
      <c r="E3479" s="2">
        <v>1</v>
      </c>
      <c r="F3479" s="2" t="s">
        <v>4</v>
      </c>
      <c r="G3479" s="2">
        <v>828.39999999961799</v>
      </c>
      <c r="H3479" s="2" t="s">
        <v>20</v>
      </c>
      <c r="I3479" s="2">
        <v>0</v>
      </c>
      <c r="J3479" s="2">
        <v>0</v>
      </c>
      <c r="K3479" s="2">
        <v>0</v>
      </c>
      <c r="L3479" s="2">
        <v>18000000</v>
      </c>
      <c r="M3479" s="2">
        <v>1245196</v>
      </c>
      <c r="N3479">
        <f t="shared" si="71"/>
        <v>18000828.399999999</v>
      </c>
      <c r="O3479" s="2" t="s">
        <v>5</v>
      </c>
    </row>
    <row r="3480" spans="1:15" x14ac:dyDescent="0.2">
      <c r="A3480">
        <v>167</v>
      </c>
      <c r="B3480">
        <v>8</v>
      </c>
      <c r="C3480">
        <v>7</v>
      </c>
      <c r="D3480" s="2">
        <v>2</v>
      </c>
      <c r="E3480" s="2">
        <v>2</v>
      </c>
      <c r="F3480" s="2" t="s">
        <v>4</v>
      </c>
      <c r="G3480" s="2">
        <v>944.600000001117</v>
      </c>
      <c r="H3480" s="2" t="s">
        <v>20</v>
      </c>
      <c r="I3480" s="2">
        <v>0</v>
      </c>
      <c r="J3480" s="2">
        <v>0</v>
      </c>
      <c r="K3480" s="2">
        <v>0</v>
      </c>
      <c r="L3480" s="2">
        <v>18000000</v>
      </c>
      <c r="M3480" s="2">
        <v>1105148</v>
      </c>
      <c r="N3480">
        <f t="shared" si="71"/>
        <v>18000944.600000001</v>
      </c>
      <c r="O3480" s="2" t="s">
        <v>4</v>
      </c>
    </row>
    <row r="3481" spans="1:15" x14ac:dyDescent="0.2">
      <c r="A3481">
        <v>168</v>
      </c>
      <c r="B3481">
        <v>8</v>
      </c>
      <c r="C3481">
        <v>7</v>
      </c>
      <c r="D3481" s="2">
        <v>3</v>
      </c>
      <c r="E3481" s="2">
        <v>3</v>
      </c>
      <c r="F3481" s="2" t="s">
        <v>4</v>
      </c>
      <c r="G3481" s="2">
        <v>1162.7999999994599</v>
      </c>
      <c r="H3481" s="2" t="s">
        <v>20</v>
      </c>
      <c r="I3481" s="2">
        <v>0</v>
      </c>
      <c r="J3481" s="2">
        <v>0</v>
      </c>
      <c r="K3481" s="2">
        <v>0</v>
      </c>
      <c r="L3481" s="2">
        <v>18000000</v>
      </c>
      <c r="M3481" s="2">
        <v>991792</v>
      </c>
      <c r="N3481">
        <f t="shared" si="71"/>
        <v>18001162.800000001</v>
      </c>
      <c r="O3481" s="2" t="s">
        <v>4</v>
      </c>
    </row>
    <row r="3482" spans="1:15" x14ac:dyDescent="0.2">
      <c r="A3482">
        <v>169</v>
      </c>
      <c r="B3482">
        <v>8</v>
      </c>
      <c r="C3482">
        <v>7</v>
      </c>
      <c r="D3482" s="2">
        <v>3</v>
      </c>
      <c r="E3482" s="2">
        <v>3</v>
      </c>
      <c r="F3482" s="2" t="s">
        <v>4</v>
      </c>
      <c r="G3482" s="2">
        <v>985.99999999962097</v>
      </c>
      <c r="H3482" s="2" t="s">
        <v>20</v>
      </c>
      <c r="I3482" s="2">
        <v>0</v>
      </c>
      <c r="J3482" s="2">
        <v>0</v>
      </c>
      <c r="K3482" s="2">
        <v>0</v>
      </c>
      <c r="L3482" s="2">
        <v>18000000</v>
      </c>
      <c r="M3482" s="2">
        <v>672881</v>
      </c>
      <c r="N3482">
        <f t="shared" si="71"/>
        <v>18000986</v>
      </c>
      <c r="O3482" s="2" t="s">
        <v>4</v>
      </c>
    </row>
    <row r="3483" spans="1:15" x14ac:dyDescent="0.2">
      <c r="A3483">
        <v>170</v>
      </c>
      <c r="B3483">
        <v>8</v>
      </c>
      <c r="C3483">
        <v>7</v>
      </c>
      <c r="D3483" s="2">
        <v>2</v>
      </c>
      <c r="E3483" s="2">
        <v>3</v>
      </c>
      <c r="F3483" s="2" t="s">
        <v>4</v>
      </c>
      <c r="G3483" s="2">
        <v>1070.39999999969</v>
      </c>
      <c r="H3483" s="2" t="s">
        <v>20</v>
      </c>
      <c r="I3483" s="2">
        <v>0</v>
      </c>
      <c r="J3483" s="2">
        <v>0</v>
      </c>
      <c r="K3483" s="2">
        <v>0</v>
      </c>
      <c r="L3483" s="2">
        <v>18000000</v>
      </c>
      <c r="M3483" s="2">
        <v>988388</v>
      </c>
      <c r="N3483">
        <f t="shared" si="71"/>
        <v>18001070.399999999</v>
      </c>
      <c r="O3483" s="2" t="s">
        <v>4</v>
      </c>
    </row>
    <row r="3484" spans="1:15" x14ac:dyDescent="0.2">
      <c r="A3484">
        <v>171</v>
      </c>
      <c r="B3484">
        <v>8</v>
      </c>
      <c r="C3484">
        <v>7</v>
      </c>
      <c r="D3484" s="2">
        <v>3</v>
      </c>
      <c r="E3484" s="2">
        <v>3</v>
      </c>
      <c r="F3484" s="2" t="s">
        <v>4</v>
      </c>
      <c r="G3484" s="2">
        <v>1168.6000000004501</v>
      </c>
      <c r="H3484" s="2" t="s">
        <v>20</v>
      </c>
      <c r="I3484" s="2">
        <v>0</v>
      </c>
      <c r="J3484" s="2">
        <v>0</v>
      </c>
      <c r="K3484" s="2">
        <v>0</v>
      </c>
      <c r="L3484" s="2">
        <v>18000000</v>
      </c>
      <c r="M3484" s="2">
        <v>954016</v>
      </c>
      <c r="N3484">
        <f t="shared" si="71"/>
        <v>18001168.600000001</v>
      </c>
      <c r="O3484" s="2" t="s">
        <v>4</v>
      </c>
    </row>
    <row r="3485" spans="1:15" x14ac:dyDescent="0.2">
      <c r="A3485">
        <v>172</v>
      </c>
      <c r="B3485">
        <v>8</v>
      </c>
      <c r="C3485">
        <v>7</v>
      </c>
      <c r="D3485" s="2">
        <v>2</v>
      </c>
      <c r="E3485" s="2">
        <v>2</v>
      </c>
      <c r="F3485" s="2" t="s">
        <v>4</v>
      </c>
      <c r="G3485" s="2">
        <v>975.20000000059804</v>
      </c>
      <c r="H3485" s="2" t="s">
        <v>20</v>
      </c>
      <c r="I3485" s="2">
        <v>0</v>
      </c>
      <c r="J3485" s="2">
        <v>0</v>
      </c>
      <c r="K3485" s="2">
        <v>0</v>
      </c>
      <c r="L3485" s="2">
        <v>18000000</v>
      </c>
      <c r="M3485" s="2">
        <v>1152647</v>
      </c>
      <c r="N3485">
        <f t="shared" si="71"/>
        <v>18000975.199999999</v>
      </c>
      <c r="O3485" s="2" t="s">
        <v>4</v>
      </c>
    </row>
    <row r="3486" spans="1:15" x14ac:dyDescent="0.2">
      <c r="A3486">
        <v>173</v>
      </c>
      <c r="B3486">
        <v>8</v>
      </c>
      <c r="C3486">
        <v>7</v>
      </c>
      <c r="D3486" s="2">
        <v>3</v>
      </c>
      <c r="E3486" s="2">
        <v>2</v>
      </c>
      <c r="F3486" s="2" t="s">
        <v>4</v>
      </c>
      <c r="G3486" s="2">
        <v>996.19999999944798</v>
      </c>
      <c r="H3486" s="2" t="s">
        <v>20</v>
      </c>
      <c r="I3486" s="2">
        <v>0</v>
      </c>
      <c r="J3486" s="2">
        <v>0</v>
      </c>
      <c r="K3486" s="2">
        <v>0</v>
      </c>
      <c r="L3486" s="2">
        <v>18000000</v>
      </c>
      <c r="M3486" s="2">
        <v>1085181</v>
      </c>
      <c r="N3486">
        <f t="shared" si="71"/>
        <v>18000996.199999999</v>
      </c>
      <c r="O3486" s="2" t="s">
        <v>4</v>
      </c>
    </row>
    <row r="3487" spans="1:15" x14ac:dyDescent="0.2">
      <c r="A3487">
        <v>174</v>
      </c>
      <c r="B3487">
        <v>8</v>
      </c>
      <c r="C3487">
        <v>7</v>
      </c>
      <c r="D3487" s="2">
        <v>2</v>
      </c>
      <c r="E3487" s="2">
        <v>2</v>
      </c>
      <c r="F3487" s="2" t="s">
        <v>4</v>
      </c>
      <c r="G3487" s="2">
        <v>987.00000000064904</v>
      </c>
      <c r="H3487" s="2" t="s">
        <v>20</v>
      </c>
      <c r="I3487" s="2">
        <v>0</v>
      </c>
      <c r="J3487" s="2">
        <v>0</v>
      </c>
      <c r="K3487" s="2">
        <v>0</v>
      </c>
      <c r="L3487" s="2">
        <v>18000000</v>
      </c>
      <c r="M3487" s="2">
        <v>1073839</v>
      </c>
      <c r="N3487">
        <f t="shared" si="71"/>
        <v>18000987</v>
      </c>
      <c r="O3487" s="2" t="s">
        <v>4</v>
      </c>
    </row>
    <row r="3488" spans="1:15" x14ac:dyDescent="0.2">
      <c r="A3488">
        <v>175</v>
      </c>
      <c r="B3488">
        <v>8</v>
      </c>
      <c r="C3488">
        <v>7</v>
      </c>
      <c r="D3488" s="2">
        <v>3</v>
      </c>
      <c r="E3488" s="2">
        <v>2</v>
      </c>
      <c r="F3488" s="2" t="s">
        <v>4</v>
      </c>
      <c r="G3488" s="2">
        <v>1086.1999999995901</v>
      </c>
      <c r="H3488" s="2" t="s">
        <v>20</v>
      </c>
      <c r="I3488" s="2">
        <v>0</v>
      </c>
      <c r="J3488" s="2">
        <v>0</v>
      </c>
      <c r="K3488" s="2">
        <v>0</v>
      </c>
      <c r="L3488" s="2">
        <v>18000000</v>
      </c>
      <c r="M3488" s="2">
        <v>1066023</v>
      </c>
      <c r="N3488">
        <f t="shared" si="71"/>
        <v>18001086.199999999</v>
      </c>
      <c r="O3488" s="2" t="s">
        <v>4</v>
      </c>
    </row>
    <row r="3489" spans="1:15" x14ac:dyDescent="0.2">
      <c r="A3489">
        <v>176</v>
      </c>
      <c r="B3489">
        <v>8</v>
      </c>
      <c r="C3489">
        <v>7</v>
      </c>
      <c r="D3489" s="2">
        <v>3</v>
      </c>
      <c r="E3489" s="2">
        <v>3</v>
      </c>
      <c r="F3489" s="2" t="s">
        <v>4</v>
      </c>
      <c r="G3489" s="2">
        <v>1291.2</v>
      </c>
      <c r="H3489" s="2" t="s">
        <v>20</v>
      </c>
      <c r="I3489" s="2">
        <v>0</v>
      </c>
      <c r="J3489" s="2">
        <v>0</v>
      </c>
      <c r="K3489" s="2">
        <v>0</v>
      </c>
      <c r="L3489" s="2">
        <v>18000000</v>
      </c>
      <c r="M3489" s="2">
        <v>872672</v>
      </c>
      <c r="N3489">
        <f t="shared" si="71"/>
        <v>18001291.199999999</v>
      </c>
      <c r="O3489" s="2" t="s">
        <v>4</v>
      </c>
    </row>
    <row r="3490" spans="1:15" x14ac:dyDescent="0.2">
      <c r="A3490">
        <v>177</v>
      </c>
      <c r="B3490">
        <v>8</v>
      </c>
      <c r="C3490">
        <v>7</v>
      </c>
      <c r="D3490" s="2">
        <v>2</v>
      </c>
      <c r="E3490" s="2">
        <v>3</v>
      </c>
      <c r="F3490" s="2" t="s">
        <v>4</v>
      </c>
      <c r="G3490" s="2">
        <v>989.79999999926395</v>
      </c>
      <c r="H3490" s="2" t="s">
        <v>20</v>
      </c>
      <c r="I3490" s="2">
        <v>0</v>
      </c>
      <c r="J3490" s="2">
        <v>0</v>
      </c>
      <c r="K3490" s="2">
        <v>0</v>
      </c>
      <c r="L3490" s="2">
        <v>18000000</v>
      </c>
      <c r="M3490" s="2">
        <v>1066479</v>
      </c>
      <c r="N3490">
        <f t="shared" si="71"/>
        <v>18000989.800000001</v>
      </c>
      <c r="O3490" s="2" t="s">
        <v>4</v>
      </c>
    </row>
    <row r="3491" spans="1:15" x14ac:dyDescent="0.2">
      <c r="A3491">
        <v>178</v>
      </c>
      <c r="B3491">
        <v>8</v>
      </c>
      <c r="C3491">
        <v>7</v>
      </c>
      <c r="D3491" s="2">
        <v>3</v>
      </c>
      <c r="E3491" s="2">
        <v>3</v>
      </c>
      <c r="F3491" s="2" t="s">
        <v>4</v>
      </c>
      <c r="G3491" s="2">
        <v>977.60000000022296</v>
      </c>
      <c r="H3491" s="2" t="s">
        <v>20</v>
      </c>
      <c r="I3491" s="2">
        <v>0</v>
      </c>
      <c r="J3491" s="2">
        <v>0</v>
      </c>
      <c r="K3491" s="2">
        <v>0</v>
      </c>
      <c r="L3491" s="2">
        <v>18000000</v>
      </c>
      <c r="M3491" s="2">
        <v>1066955</v>
      </c>
      <c r="N3491">
        <f t="shared" si="71"/>
        <v>18000977.600000001</v>
      </c>
      <c r="O3491" s="2" t="s">
        <v>4</v>
      </c>
    </row>
    <row r="3492" spans="1:15" x14ac:dyDescent="0.2">
      <c r="A3492">
        <v>179</v>
      </c>
      <c r="B3492">
        <v>8</v>
      </c>
      <c r="C3492">
        <v>7</v>
      </c>
      <c r="D3492" s="2">
        <v>3</v>
      </c>
      <c r="E3492" s="2">
        <v>3</v>
      </c>
      <c r="F3492" s="2" t="s">
        <v>4</v>
      </c>
      <c r="G3492" s="2">
        <v>1027.39999999883</v>
      </c>
      <c r="H3492" s="2" t="s">
        <v>20</v>
      </c>
      <c r="I3492" s="2">
        <v>0</v>
      </c>
      <c r="J3492" s="2">
        <v>0</v>
      </c>
      <c r="K3492" s="2">
        <v>0</v>
      </c>
      <c r="L3492" s="2">
        <v>18000000</v>
      </c>
      <c r="M3492" s="2">
        <v>904702</v>
      </c>
      <c r="N3492">
        <f t="shared" si="71"/>
        <v>18001027.399999999</v>
      </c>
      <c r="O3492" s="2" t="s">
        <v>4</v>
      </c>
    </row>
    <row r="3493" spans="1:15" x14ac:dyDescent="0.2">
      <c r="A3493">
        <v>180</v>
      </c>
      <c r="B3493">
        <v>8</v>
      </c>
      <c r="C3493">
        <v>7</v>
      </c>
      <c r="D3493" s="2">
        <v>3</v>
      </c>
      <c r="E3493" s="2">
        <v>3</v>
      </c>
      <c r="F3493" s="2" t="s">
        <v>4</v>
      </c>
      <c r="G3493" s="2">
        <v>997.40000000068096</v>
      </c>
      <c r="H3493" s="2" t="s">
        <v>20</v>
      </c>
      <c r="I3493" s="2">
        <v>0</v>
      </c>
      <c r="J3493" s="2">
        <v>0</v>
      </c>
      <c r="K3493" s="2">
        <v>0</v>
      </c>
      <c r="L3493" s="2">
        <v>18000000</v>
      </c>
      <c r="M3493" s="2">
        <v>1024992</v>
      </c>
      <c r="N3493">
        <f t="shared" si="71"/>
        <v>18000997.400000002</v>
      </c>
      <c r="O3493" s="2" t="s">
        <v>4</v>
      </c>
    </row>
    <row r="3494" spans="1:15" x14ac:dyDescent="0.2">
      <c r="A3494">
        <v>181</v>
      </c>
      <c r="B3494">
        <v>8</v>
      </c>
      <c r="C3494">
        <v>7</v>
      </c>
      <c r="D3494" s="2">
        <v>2</v>
      </c>
      <c r="E3494" s="2">
        <v>3</v>
      </c>
      <c r="F3494" s="2" t="s">
        <v>4</v>
      </c>
      <c r="G3494" s="2">
        <v>1310.9999999997499</v>
      </c>
      <c r="H3494" s="2" t="s">
        <v>20</v>
      </c>
      <c r="I3494" s="2">
        <v>0</v>
      </c>
      <c r="J3494" s="2">
        <v>0</v>
      </c>
      <c r="K3494" s="2">
        <v>0</v>
      </c>
      <c r="L3494" s="2">
        <v>18000000</v>
      </c>
      <c r="M3494" s="2">
        <v>952252</v>
      </c>
      <c r="N3494">
        <f t="shared" si="71"/>
        <v>18001311</v>
      </c>
      <c r="O3494" s="2" t="s">
        <v>4</v>
      </c>
    </row>
    <row r="3495" spans="1:15" x14ac:dyDescent="0.2">
      <c r="A3495">
        <v>182</v>
      </c>
      <c r="B3495">
        <v>8</v>
      </c>
      <c r="C3495">
        <v>7</v>
      </c>
      <c r="D3495" s="2">
        <v>2</v>
      </c>
      <c r="E3495" s="2">
        <v>3</v>
      </c>
      <c r="F3495" s="2" t="s">
        <v>4</v>
      </c>
      <c r="G3495" s="2">
        <v>1100.39999999927</v>
      </c>
      <c r="H3495" s="2" t="s">
        <v>20</v>
      </c>
      <c r="I3495" s="2">
        <v>0</v>
      </c>
      <c r="J3495" s="2">
        <v>0</v>
      </c>
      <c r="K3495" s="2">
        <v>0</v>
      </c>
      <c r="L3495" s="2">
        <v>18000000</v>
      </c>
      <c r="M3495" s="2">
        <v>989292</v>
      </c>
      <c r="N3495">
        <f t="shared" si="71"/>
        <v>18001100.399999999</v>
      </c>
      <c r="O3495" s="2" t="s">
        <v>4</v>
      </c>
    </row>
    <row r="3496" spans="1:15" x14ac:dyDescent="0.2">
      <c r="A3496">
        <v>183</v>
      </c>
      <c r="B3496">
        <v>8</v>
      </c>
      <c r="C3496">
        <v>7</v>
      </c>
      <c r="D3496" s="2">
        <v>3</v>
      </c>
      <c r="E3496" s="2">
        <v>3</v>
      </c>
      <c r="F3496" s="2" t="s">
        <v>4</v>
      </c>
      <c r="G3496" s="2">
        <v>1108.40000000039</v>
      </c>
      <c r="H3496" s="2" t="s">
        <v>20</v>
      </c>
      <c r="I3496" s="2">
        <v>0</v>
      </c>
      <c r="J3496" s="2">
        <v>0</v>
      </c>
      <c r="K3496" s="2">
        <v>0</v>
      </c>
      <c r="L3496" s="2">
        <v>18000000</v>
      </c>
      <c r="M3496" s="2">
        <v>990424</v>
      </c>
      <c r="N3496">
        <f t="shared" si="71"/>
        <v>18001108.400000002</v>
      </c>
      <c r="O3496" s="2" t="s">
        <v>4</v>
      </c>
    </row>
    <row r="3497" spans="1:15" x14ac:dyDescent="0.2">
      <c r="A3497">
        <v>184</v>
      </c>
      <c r="B3497">
        <v>8</v>
      </c>
      <c r="C3497">
        <v>7</v>
      </c>
      <c r="D3497" s="2">
        <v>2</v>
      </c>
      <c r="E3497" s="2">
        <v>2</v>
      </c>
      <c r="F3497" s="2" t="s">
        <v>4</v>
      </c>
      <c r="G3497" s="2">
        <v>941.200000000464</v>
      </c>
      <c r="H3497" s="2" t="s">
        <v>20</v>
      </c>
      <c r="I3497" s="2">
        <v>0</v>
      </c>
      <c r="J3497" s="2">
        <v>0</v>
      </c>
      <c r="K3497" s="2">
        <v>0</v>
      </c>
      <c r="L3497" s="2">
        <v>18000000</v>
      </c>
      <c r="M3497" s="2">
        <v>1152654</v>
      </c>
      <c r="N3497">
        <f t="shared" si="71"/>
        <v>18000941.199999999</v>
      </c>
      <c r="O3497" s="2" t="s">
        <v>4</v>
      </c>
    </row>
    <row r="3498" spans="1:15" x14ac:dyDescent="0.2">
      <c r="A3498">
        <v>185</v>
      </c>
      <c r="B3498">
        <v>8</v>
      </c>
      <c r="C3498">
        <v>7</v>
      </c>
      <c r="D3498" s="2">
        <v>2</v>
      </c>
      <c r="E3498" s="2">
        <v>3</v>
      </c>
      <c r="F3498" s="2" t="s">
        <v>4</v>
      </c>
      <c r="G3498" s="2">
        <v>1091.79999999967</v>
      </c>
      <c r="H3498" s="2" t="s">
        <v>20</v>
      </c>
      <c r="I3498" s="2">
        <v>0</v>
      </c>
      <c r="J3498" s="2">
        <v>0</v>
      </c>
      <c r="K3498" s="2">
        <v>0</v>
      </c>
      <c r="L3498" s="2">
        <v>18000000</v>
      </c>
      <c r="M3498" s="2">
        <v>990462</v>
      </c>
      <c r="N3498">
        <f t="shared" si="71"/>
        <v>18001091.800000001</v>
      </c>
      <c r="O3498" s="2" t="s">
        <v>4</v>
      </c>
    </row>
    <row r="3499" spans="1:15" x14ac:dyDescent="0.2">
      <c r="A3499">
        <v>186</v>
      </c>
      <c r="B3499">
        <v>8</v>
      </c>
      <c r="C3499">
        <v>7</v>
      </c>
      <c r="D3499" s="2">
        <v>3</v>
      </c>
      <c r="E3499" s="2">
        <v>3</v>
      </c>
      <c r="F3499" s="2" t="s">
        <v>4</v>
      </c>
      <c r="G3499" s="2">
        <v>1080.40000000074</v>
      </c>
      <c r="H3499" s="2" t="s">
        <v>20</v>
      </c>
      <c r="I3499" s="2">
        <v>0</v>
      </c>
      <c r="J3499" s="2">
        <v>0</v>
      </c>
      <c r="K3499" s="2">
        <v>0</v>
      </c>
      <c r="L3499" s="2">
        <v>18000000</v>
      </c>
      <c r="M3499" s="2">
        <v>952186</v>
      </c>
      <c r="N3499">
        <f t="shared" si="71"/>
        <v>18001080.400000002</v>
      </c>
      <c r="O3499" s="2" t="s">
        <v>4</v>
      </c>
    </row>
    <row r="3500" spans="1:15" x14ac:dyDescent="0.2">
      <c r="A3500">
        <v>187</v>
      </c>
      <c r="B3500">
        <v>8</v>
      </c>
      <c r="C3500">
        <v>7</v>
      </c>
      <c r="D3500" s="2">
        <v>3</v>
      </c>
      <c r="E3500" s="2">
        <v>2</v>
      </c>
      <c r="F3500" s="2" t="s">
        <v>4</v>
      </c>
      <c r="G3500" s="2">
        <v>864.19999999947095</v>
      </c>
      <c r="H3500" s="2" t="s">
        <v>20</v>
      </c>
      <c r="I3500" s="2">
        <v>0</v>
      </c>
      <c r="J3500" s="2">
        <v>0</v>
      </c>
      <c r="K3500" s="2">
        <v>0</v>
      </c>
      <c r="L3500" s="2">
        <v>18000000</v>
      </c>
      <c r="M3500" s="2">
        <v>1194516</v>
      </c>
      <c r="N3500">
        <f t="shared" si="71"/>
        <v>18000864.199999999</v>
      </c>
      <c r="O3500" s="2" t="s">
        <v>4</v>
      </c>
    </row>
    <row r="3501" spans="1:15" x14ac:dyDescent="0.2">
      <c r="A3501">
        <v>188</v>
      </c>
      <c r="B3501">
        <v>8</v>
      </c>
      <c r="C3501">
        <v>7</v>
      </c>
      <c r="D3501" s="2">
        <v>3</v>
      </c>
      <c r="E3501" s="2">
        <v>2</v>
      </c>
      <c r="F3501" s="2" t="s">
        <v>4</v>
      </c>
      <c r="G3501" s="2">
        <v>954.99999999972795</v>
      </c>
      <c r="H3501" s="2" t="s">
        <v>20</v>
      </c>
      <c r="I3501" s="2">
        <v>0</v>
      </c>
      <c r="J3501" s="2">
        <v>0</v>
      </c>
      <c r="K3501" s="2">
        <v>0</v>
      </c>
      <c r="L3501" s="2">
        <v>18000000</v>
      </c>
      <c r="M3501" s="2">
        <v>499986</v>
      </c>
      <c r="N3501">
        <f t="shared" si="71"/>
        <v>18000955</v>
      </c>
      <c r="O3501" s="2" t="s">
        <v>4</v>
      </c>
    </row>
    <row r="3502" spans="1:15" x14ac:dyDescent="0.2">
      <c r="A3502">
        <v>189</v>
      </c>
      <c r="B3502">
        <v>8</v>
      </c>
      <c r="C3502">
        <v>7</v>
      </c>
      <c r="D3502" s="2">
        <v>3</v>
      </c>
      <c r="E3502" s="2">
        <v>3</v>
      </c>
      <c r="F3502" s="2" t="s">
        <v>4</v>
      </c>
      <c r="G3502" s="2">
        <v>1226.7999999998799</v>
      </c>
      <c r="H3502" s="2" t="s">
        <v>20</v>
      </c>
      <c r="I3502" s="2">
        <v>0</v>
      </c>
      <c r="J3502" s="2">
        <v>0</v>
      </c>
      <c r="K3502" s="2">
        <v>0</v>
      </c>
      <c r="L3502" s="2">
        <v>18000000</v>
      </c>
      <c r="M3502" s="2">
        <v>911211</v>
      </c>
      <c r="N3502">
        <f t="shared" si="71"/>
        <v>18001226.800000001</v>
      </c>
      <c r="O3502" s="2" t="s">
        <v>4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B887-32DC-444B-B968-D46D63806430}">
  <dimension ref="A2:M914"/>
  <sheetViews>
    <sheetView tabSelected="1" workbookViewId="0">
      <selection activeCell="D31" sqref="D31"/>
    </sheetView>
  </sheetViews>
  <sheetFormatPr baseColWidth="10" defaultRowHeight="16" x14ac:dyDescent="0.2"/>
  <cols>
    <col min="1" max="1" width="13" bestFit="1" customWidth="1"/>
    <col min="2" max="2" width="12.6640625" bestFit="1" customWidth="1"/>
    <col min="3" max="6" width="25" bestFit="1" customWidth="1"/>
    <col min="7" max="7" width="29.83203125" bestFit="1" customWidth="1"/>
    <col min="8" max="8" width="20" bestFit="1" customWidth="1"/>
    <col min="9" max="9" width="26.6640625" bestFit="1" customWidth="1"/>
    <col min="10" max="10" width="20" bestFit="1" customWidth="1"/>
    <col min="11" max="11" width="24.33203125" bestFit="1" customWidth="1"/>
    <col min="12" max="12" width="24.33203125" style="10" bestFit="1" customWidth="1"/>
    <col min="13" max="13" width="21.83203125" style="10" bestFit="1" customWidth="1"/>
    <col min="14" max="17" width="21.83203125" bestFit="1" customWidth="1"/>
    <col min="18" max="18" width="25.5" bestFit="1" customWidth="1"/>
    <col min="19" max="19" width="19" bestFit="1" customWidth="1"/>
    <col min="20" max="20" width="23.33203125" bestFit="1" customWidth="1"/>
    <col min="21" max="21" width="26.6640625" bestFit="1" customWidth="1"/>
    <col min="22" max="22" width="20" bestFit="1" customWidth="1"/>
    <col min="23" max="23" width="24.33203125" bestFit="1" customWidth="1"/>
    <col min="24" max="27" width="16.33203125" bestFit="1" customWidth="1"/>
    <col min="28" max="28" width="24" bestFit="1" customWidth="1"/>
    <col min="29" max="29" width="25" bestFit="1" customWidth="1"/>
    <col min="30" max="31" width="16.33203125" bestFit="1" customWidth="1"/>
    <col min="32" max="32" width="24" bestFit="1" customWidth="1"/>
    <col min="33" max="33" width="25" bestFit="1" customWidth="1"/>
    <col min="34" max="34" width="21.5" bestFit="1" customWidth="1"/>
    <col min="35" max="35" width="22.5" bestFit="1" customWidth="1"/>
    <col min="36" max="39" width="16.33203125" bestFit="1" customWidth="1"/>
    <col min="40" max="40" width="16.83203125" bestFit="1" customWidth="1"/>
    <col min="41" max="41" width="17.83203125" bestFit="1" customWidth="1"/>
    <col min="42" max="42" width="19" bestFit="1" customWidth="1"/>
    <col min="43" max="44" width="20" bestFit="1" customWidth="1"/>
    <col min="45" max="45" width="21" bestFit="1" customWidth="1"/>
    <col min="46" max="46" width="9.83203125" bestFit="1" customWidth="1"/>
    <col min="47" max="51" width="7.83203125" bestFit="1" customWidth="1"/>
    <col min="52" max="52" width="8.83203125" bestFit="1" customWidth="1"/>
    <col min="53" max="54" width="7.83203125" bestFit="1" customWidth="1"/>
    <col min="55" max="55" width="8.83203125" bestFit="1" customWidth="1"/>
    <col min="56" max="57" width="7.83203125" bestFit="1" customWidth="1"/>
    <col min="58" max="58" width="8.83203125" bestFit="1" customWidth="1"/>
    <col min="59" max="59" width="9.83203125" bestFit="1" customWidth="1"/>
    <col min="60" max="62" width="7.83203125" bestFit="1" customWidth="1"/>
    <col min="63" max="63" width="9.83203125" bestFit="1" customWidth="1"/>
    <col min="64" max="66" width="7.83203125" bestFit="1" customWidth="1"/>
    <col min="67" max="67" width="9.83203125" bestFit="1" customWidth="1"/>
    <col min="68" max="68" width="6.83203125" bestFit="1" customWidth="1"/>
    <col min="69" max="74" width="7.83203125" bestFit="1" customWidth="1"/>
    <col min="75" max="75" width="8.83203125" bestFit="1" customWidth="1"/>
    <col min="76" max="76" width="9.83203125" bestFit="1" customWidth="1"/>
    <col min="77" max="77" width="7.33203125" bestFit="1" customWidth="1"/>
    <col min="78" max="78" width="7.83203125" bestFit="1" customWidth="1"/>
    <col min="79" max="79" width="6.83203125" bestFit="1" customWidth="1"/>
    <col min="80" max="80" width="8.83203125" bestFit="1" customWidth="1"/>
    <col min="81" max="81" width="9.83203125" bestFit="1" customWidth="1"/>
    <col min="82" max="84" width="7.83203125" bestFit="1" customWidth="1"/>
    <col min="85" max="85" width="9.83203125" bestFit="1" customWidth="1"/>
    <col min="86" max="86" width="6.83203125" bestFit="1" customWidth="1"/>
  </cols>
  <sheetData>
    <row r="2" spans="1:13" x14ac:dyDescent="0.2">
      <c r="A2" s="4" t="s">
        <v>7</v>
      </c>
      <c r="B2" t="s">
        <v>4</v>
      </c>
    </row>
    <row r="4" spans="1:13" x14ac:dyDescent="0.2">
      <c r="A4" s="4" t="s">
        <v>6</v>
      </c>
      <c r="B4" s="4" t="s">
        <v>2</v>
      </c>
      <c r="C4" t="s">
        <v>67</v>
      </c>
      <c r="L4"/>
      <c r="M4"/>
    </row>
    <row r="5" spans="1:13" x14ac:dyDescent="0.2">
      <c r="A5" t="s">
        <v>8</v>
      </c>
      <c r="B5">
        <v>4</v>
      </c>
      <c r="C5" s="66">
        <v>532067.62962962966</v>
      </c>
      <c r="L5"/>
      <c r="M5"/>
    </row>
    <row r="6" spans="1:13" x14ac:dyDescent="0.2">
      <c r="B6">
        <v>5</v>
      </c>
      <c r="C6" s="66">
        <v>1337367.2142857143</v>
      </c>
      <c r="L6"/>
      <c r="M6"/>
    </row>
    <row r="7" spans="1:13" x14ac:dyDescent="0.2">
      <c r="A7" t="s">
        <v>65</v>
      </c>
      <c r="C7" s="66">
        <v>932673.51438240276</v>
      </c>
      <c r="L7"/>
      <c r="M7"/>
    </row>
    <row r="8" spans="1:13" x14ac:dyDescent="0.2">
      <c r="A8" t="s">
        <v>16</v>
      </c>
      <c r="B8">
        <v>4</v>
      </c>
      <c r="C8" s="66">
        <v>250202.8148148247</v>
      </c>
      <c r="L8"/>
      <c r="M8"/>
    </row>
    <row r="9" spans="1:13" x14ac:dyDescent="0.2">
      <c r="B9">
        <v>5</v>
      </c>
      <c r="C9" s="66">
        <v>792486.90476190217</v>
      </c>
      <c r="L9"/>
      <c r="M9"/>
    </row>
    <row r="10" spans="1:13" x14ac:dyDescent="0.2">
      <c r="A10" t="s">
        <v>66</v>
      </c>
      <c r="C10" s="66">
        <v>519968.50423012237</v>
      </c>
      <c r="L10"/>
      <c r="M10"/>
    </row>
    <row r="11" spans="1:13" x14ac:dyDescent="0.2">
      <c r="A11" t="s">
        <v>21</v>
      </c>
      <c r="C11" s="66">
        <v>726321.00930626062</v>
      </c>
      <c r="L11"/>
      <c r="M11"/>
    </row>
    <row r="12" spans="1:13" x14ac:dyDescent="0.2">
      <c r="L12"/>
      <c r="M12"/>
    </row>
    <row r="13" spans="1:13" x14ac:dyDescent="0.2">
      <c r="L13"/>
      <c r="M13"/>
    </row>
    <row r="14" spans="1:13" x14ac:dyDescent="0.2">
      <c r="L14"/>
      <c r="M14"/>
    </row>
    <row r="15" spans="1:13" x14ac:dyDescent="0.2">
      <c r="L15"/>
      <c r="M15"/>
    </row>
    <row r="16" spans="1:13" x14ac:dyDescent="0.2">
      <c r="L16"/>
      <c r="M16"/>
    </row>
    <row r="17" spans="12:13" x14ac:dyDescent="0.2">
      <c r="L17"/>
      <c r="M17"/>
    </row>
    <row r="18" spans="12:13" x14ac:dyDescent="0.2">
      <c r="L18"/>
      <c r="M18"/>
    </row>
    <row r="19" spans="12:13" x14ac:dyDescent="0.2">
      <c r="L19"/>
      <c r="M19"/>
    </row>
    <row r="20" spans="12:13" x14ac:dyDescent="0.2">
      <c r="L20"/>
      <c r="M20"/>
    </row>
    <row r="21" spans="12:13" x14ac:dyDescent="0.2">
      <c r="L21"/>
      <c r="M21"/>
    </row>
    <row r="22" spans="12:13" x14ac:dyDescent="0.2">
      <c r="L22"/>
      <c r="M22"/>
    </row>
    <row r="23" spans="12:13" x14ac:dyDescent="0.2">
      <c r="L23"/>
      <c r="M23"/>
    </row>
    <row r="24" spans="12:13" x14ac:dyDescent="0.2">
      <c r="L24"/>
      <c r="M24"/>
    </row>
    <row r="25" spans="12:13" x14ac:dyDescent="0.2">
      <c r="L25"/>
      <c r="M25"/>
    </row>
    <row r="26" spans="12:13" x14ac:dyDescent="0.2">
      <c r="L26"/>
      <c r="M26"/>
    </row>
    <row r="27" spans="12:13" x14ac:dyDescent="0.2">
      <c r="L27"/>
      <c r="M27"/>
    </row>
    <row r="28" spans="12:13" x14ac:dyDescent="0.2">
      <c r="L28"/>
      <c r="M28"/>
    </row>
    <row r="29" spans="12:13" x14ac:dyDescent="0.2">
      <c r="L29"/>
      <c r="M29"/>
    </row>
    <row r="30" spans="12:13" x14ac:dyDescent="0.2">
      <c r="L30"/>
      <c r="M30"/>
    </row>
    <row r="31" spans="12:13" x14ac:dyDescent="0.2">
      <c r="L31"/>
      <c r="M31"/>
    </row>
    <row r="32" spans="12:13" x14ac:dyDescent="0.2">
      <c r="L32"/>
      <c r="M32"/>
    </row>
    <row r="33" spans="12:13" x14ac:dyDescent="0.2">
      <c r="L33"/>
      <c r="M33"/>
    </row>
    <row r="34" spans="12:13" x14ac:dyDescent="0.2">
      <c r="L34"/>
      <c r="M34"/>
    </row>
    <row r="35" spans="12:13" x14ac:dyDescent="0.2">
      <c r="L35"/>
      <c r="M35"/>
    </row>
    <row r="36" spans="12:13" x14ac:dyDescent="0.2">
      <c r="L36"/>
      <c r="M36"/>
    </row>
    <row r="37" spans="12:13" x14ac:dyDescent="0.2">
      <c r="L37"/>
      <c r="M37"/>
    </row>
    <row r="38" spans="12:13" x14ac:dyDescent="0.2">
      <c r="L38"/>
      <c r="M38"/>
    </row>
    <row r="39" spans="12:13" x14ac:dyDescent="0.2">
      <c r="L39"/>
      <c r="M39"/>
    </row>
    <row r="40" spans="12:13" x14ac:dyDescent="0.2">
      <c r="L40"/>
      <c r="M40"/>
    </row>
    <row r="41" spans="12:13" x14ac:dyDescent="0.2">
      <c r="L41"/>
      <c r="M41"/>
    </row>
    <row r="42" spans="12:13" x14ac:dyDescent="0.2">
      <c r="L42"/>
      <c r="M42"/>
    </row>
    <row r="43" spans="12:13" x14ac:dyDescent="0.2">
      <c r="L43"/>
      <c r="M43"/>
    </row>
    <row r="44" spans="12:13" x14ac:dyDescent="0.2">
      <c r="L44"/>
      <c r="M44"/>
    </row>
    <row r="45" spans="12:13" x14ac:dyDescent="0.2">
      <c r="L45"/>
      <c r="M45"/>
    </row>
    <row r="46" spans="12:13" x14ac:dyDescent="0.2">
      <c r="L46"/>
      <c r="M46"/>
    </row>
    <row r="47" spans="12:13" x14ac:dyDescent="0.2">
      <c r="L47"/>
      <c r="M47"/>
    </row>
    <row r="48" spans="12:13" x14ac:dyDescent="0.2">
      <c r="L48"/>
      <c r="M48"/>
    </row>
    <row r="49" spans="12:13" x14ac:dyDescent="0.2">
      <c r="L49"/>
      <c r="M49"/>
    </row>
    <row r="50" spans="12:13" x14ac:dyDescent="0.2">
      <c r="L50"/>
      <c r="M50"/>
    </row>
    <row r="51" spans="12:13" x14ac:dyDescent="0.2">
      <c r="L51"/>
      <c r="M51"/>
    </row>
    <row r="52" spans="12:13" x14ac:dyDescent="0.2">
      <c r="L52"/>
      <c r="M52"/>
    </row>
    <row r="53" spans="12:13" x14ac:dyDescent="0.2">
      <c r="L53"/>
      <c r="M53"/>
    </row>
    <row r="54" spans="12:13" x14ac:dyDescent="0.2">
      <c r="L54"/>
      <c r="M54"/>
    </row>
    <row r="55" spans="12:13" x14ac:dyDescent="0.2">
      <c r="L55"/>
      <c r="M55"/>
    </row>
    <row r="56" spans="12:13" x14ac:dyDescent="0.2">
      <c r="L56"/>
      <c r="M56"/>
    </row>
    <row r="57" spans="12:13" x14ac:dyDescent="0.2">
      <c r="L57"/>
      <c r="M57"/>
    </row>
    <row r="58" spans="12:13" x14ac:dyDescent="0.2">
      <c r="L58"/>
      <c r="M58"/>
    </row>
    <row r="59" spans="12:13" x14ac:dyDescent="0.2">
      <c r="L59"/>
      <c r="M59"/>
    </row>
    <row r="60" spans="12:13" x14ac:dyDescent="0.2">
      <c r="L60"/>
      <c r="M60"/>
    </row>
    <row r="61" spans="12:13" x14ac:dyDescent="0.2">
      <c r="L61"/>
      <c r="M61"/>
    </row>
    <row r="62" spans="12:13" x14ac:dyDescent="0.2">
      <c r="L62"/>
      <c r="M62"/>
    </row>
    <row r="321" spans="3:4" x14ac:dyDescent="0.2">
      <c r="C321">
        <v>365382.37000000081</v>
      </c>
      <c r="D321" s="66">
        <v>201045.57</v>
      </c>
    </row>
    <row r="322" spans="3:4" x14ac:dyDescent="0.2">
      <c r="C322">
        <v>405777.37000000093</v>
      </c>
      <c r="D322" s="66">
        <v>205245.97</v>
      </c>
    </row>
    <row r="323" spans="3:4" x14ac:dyDescent="0.2">
      <c r="C323">
        <v>420416.56999999931</v>
      </c>
      <c r="D323" s="66">
        <v>278245.96999999997</v>
      </c>
    </row>
    <row r="324" spans="3:4" x14ac:dyDescent="0.2">
      <c r="C324">
        <v>422647.17000000022</v>
      </c>
      <c r="D324" s="66">
        <v>288805.57</v>
      </c>
    </row>
    <row r="325" spans="3:4" x14ac:dyDescent="0.2">
      <c r="C325">
        <v>434888.36999999988</v>
      </c>
      <c r="D325" s="66">
        <v>268965.96999999997</v>
      </c>
    </row>
    <row r="326" spans="3:4" x14ac:dyDescent="0.2">
      <c r="C326">
        <v>452361.37000000133</v>
      </c>
      <c r="D326" s="66">
        <v>197965.57</v>
      </c>
    </row>
    <row r="327" spans="3:4" x14ac:dyDescent="0.2">
      <c r="C327">
        <v>454103.76999999955</v>
      </c>
      <c r="D327" s="66">
        <v>290765.96999999997</v>
      </c>
    </row>
    <row r="328" spans="3:4" x14ac:dyDescent="0.2">
      <c r="C328">
        <v>457942.37000000087</v>
      </c>
      <c r="D328" s="66">
        <v>293605.57</v>
      </c>
    </row>
    <row r="329" spans="3:4" x14ac:dyDescent="0.2">
      <c r="C329">
        <v>459306.5699999989</v>
      </c>
      <c r="D329" s="66">
        <v>227726.37</v>
      </c>
    </row>
    <row r="330" spans="3:4" x14ac:dyDescent="0.2">
      <c r="C330">
        <v>481683.76999999641</v>
      </c>
      <c r="D330" s="66">
        <v>207166.37</v>
      </c>
    </row>
    <row r="331" spans="3:4" x14ac:dyDescent="0.2">
      <c r="C331">
        <v>487819.37000000058</v>
      </c>
      <c r="D331" s="66">
        <v>235403.97</v>
      </c>
    </row>
    <row r="332" spans="3:4" x14ac:dyDescent="0.2">
      <c r="C332">
        <v>492978.96999999933</v>
      </c>
      <c r="D332" s="66">
        <v>350808.37</v>
      </c>
    </row>
    <row r="333" spans="3:4" x14ac:dyDescent="0.2">
      <c r="C333">
        <v>500437.37000000087</v>
      </c>
      <c r="D333" s="66">
        <v>299905.96999999997</v>
      </c>
    </row>
    <row r="334" spans="3:4" x14ac:dyDescent="0.2">
      <c r="C334">
        <v>505721.37000000197</v>
      </c>
      <c r="D334" s="66">
        <v>230726.37</v>
      </c>
    </row>
    <row r="335" spans="3:4" x14ac:dyDescent="0.2">
      <c r="C335">
        <v>525385.9700000009</v>
      </c>
      <c r="D335" s="66">
        <v>361049.17</v>
      </c>
    </row>
    <row r="336" spans="3:4" x14ac:dyDescent="0.2">
      <c r="C336">
        <v>525537.36999999941</v>
      </c>
      <c r="D336" s="66">
        <v>383366.77</v>
      </c>
    </row>
    <row r="337" spans="3:4" x14ac:dyDescent="0.2">
      <c r="C337">
        <v>525736.57000000007</v>
      </c>
      <c r="D337" s="66">
        <v>227526.37</v>
      </c>
    </row>
    <row r="338" spans="3:4" x14ac:dyDescent="0.2">
      <c r="C338">
        <v>542174.37000000104</v>
      </c>
      <c r="D338" s="66">
        <v>198165.57</v>
      </c>
    </row>
    <row r="339" spans="3:4" x14ac:dyDescent="0.2">
      <c r="C339">
        <v>543381.37000000128</v>
      </c>
      <c r="D339" s="66">
        <v>288985.57</v>
      </c>
    </row>
    <row r="340" spans="3:4" x14ac:dyDescent="0.2">
      <c r="C340">
        <v>552823.17000000086</v>
      </c>
      <c r="D340" s="66">
        <v>388486.37</v>
      </c>
    </row>
    <row r="341" spans="3:4" x14ac:dyDescent="0.2">
      <c r="C341">
        <v>559087.17000000016</v>
      </c>
      <c r="D341" s="66">
        <v>425245.57</v>
      </c>
    </row>
    <row r="342" spans="3:4" x14ac:dyDescent="0.2">
      <c r="C342">
        <v>561408.36999999988</v>
      </c>
      <c r="D342" s="66">
        <v>395485.97</v>
      </c>
    </row>
    <row r="343" spans="3:4" x14ac:dyDescent="0.2">
      <c r="C343">
        <v>565206.5699999989</v>
      </c>
      <c r="D343" s="66">
        <v>333626.37</v>
      </c>
    </row>
    <row r="344" spans="3:4" x14ac:dyDescent="0.2">
      <c r="C344">
        <v>565779.37000000081</v>
      </c>
      <c r="D344" s="66">
        <v>365247.97</v>
      </c>
    </row>
    <row r="345" spans="3:4" x14ac:dyDescent="0.2">
      <c r="C345">
        <v>566208.77000000025</v>
      </c>
      <c r="D345" s="66">
        <v>432367.17</v>
      </c>
    </row>
    <row r="346" spans="3:4" x14ac:dyDescent="0.2">
      <c r="C346">
        <v>577303.76999999641</v>
      </c>
      <c r="D346" s="66">
        <v>302786.37</v>
      </c>
    </row>
    <row r="347" spans="3:4" x14ac:dyDescent="0.2">
      <c r="C347">
        <v>579980.17000000214</v>
      </c>
      <c r="D347" s="66">
        <v>223526.37</v>
      </c>
    </row>
    <row r="348" spans="3:4" x14ac:dyDescent="0.2">
      <c r="C348">
        <v>582651.17000000016</v>
      </c>
      <c r="D348" s="66">
        <v>448809.57</v>
      </c>
    </row>
    <row r="349" spans="3:4" x14ac:dyDescent="0.2">
      <c r="C349">
        <v>588369.56999999983</v>
      </c>
      <c r="D349" s="66">
        <v>422447.17</v>
      </c>
    </row>
    <row r="350" spans="3:4" x14ac:dyDescent="0.2">
      <c r="C350">
        <v>591118.17000000086</v>
      </c>
      <c r="D350" s="66">
        <v>390586.77</v>
      </c>
    </row>
    <row r="351" spans="3:4" x14ac:dyDescent="0.2">
      <c r="C351">
        <v>591523.76999999955</v>
      </c>
      <c r="D351" s="66">
        <v>428185.97</v>
      </c>
    </row>
    <row r="352" spans="3:4" x14ac:dyDescent="0.2">
      <c r="C352">
        <v>594891.97</v>
      </c>
      <c r="D352" s="66">
        <v>428969.57</v>
      </c>
    </row>
    <row r="353" spans="3:4" x14ac:dyDescent="0.2">
      <c r="C353">
        <v>595296.56999999937</v>
      </c>
      <c r="D353" s="66">
        <v>453125.97</v>
      </c>
    </row>
    <row r="354" spans="3:4" x14ac:dyDescent="0.2">
      <c r="C354">
        <v>596685.36999999965</v>
      </c>
      <c r="D354" s="66">
        <v>433347.57</v>
      </c>
    </row>
    <row r="355" spans="3:4" x14ac:dyDescent="0.2">
      <c r="C355">
        <v>597559.37000000058</v>
      </c>
      <c r="D355" s="66">
        <v>345143.97</v>
      </c>
    </row>
    <row r="356" spans="3:4" x14ac:dyDescent="0.2">
      <c r="C356">
        <v>612364.57000000135</v>
      </c>
      <c r="D356" s="66">
        <v>357968.77</v>
      </c>
    </row>
    <row r="357" spans="3:4" x14ac:dyDescent="0.2">
      <c r="C357">
        <v>613121.37000000197</v>
      </c>
      <c r="D357" s="66">
        <v>338126.37</v>
      </c>
    </row>
    <row r="358" spans="3:4" x14ac:dyDescent="0.2">
      <c r="C358">
        <v>614107.76999999955</v>
      </c>
      <c r="D358" s="66">
        <v>450769.97</v>
      </c>
    </row>
    <row r="359" spans="3:4" x14ac:dyDescent="0.2">
      <c r="C359">
        <v>617541.7700000006</v>
      </c>
      <c r="D359" s="66">
        <v>211365.97</v>
      </c>
    </row>
    <row r="360" spans="3:4" x14ac:dyDescent="0.2">
      <c r="C360">
        <v>619309.76999999885</v>
      </c>
      <c r="D360" s="66">
        <v>387729.57</v>
      </c>
    </row>
    <row r="361" spans="3:4" x14ac:dyDescent="0.2">
      <c r="C361">
        <v>631536.57000000007</v>
      </c>
      <c r="D361" s="66">
        <v>333326.37</v>
      </c>
    </row>
    <row r="362" spans="3:4" x14ac:dyDescent="0.2">
      <c r="C362">
        <v>633294.37000000104</v>
      </c>
      <c r="D362" s="66">
        <v>289285.57</v>
      </c>
    </row>
    <row r="363" spans="3:4" x14ac:dyDescent="0.2">
      <c r="C363">
        <v>633407.36999999883</v>
      </c>
      <c r="D363" s="66">
        <v>401827.17</v>
      </c>
    </row>
    <row r="364" spans="3:4" x14ac:dyDescent="0.2">
      <c r="C364">
        <v>641342.17000000132</v>
      </c>
      <c r="D364" s="66">
        <v>386946.37</v>
      </c>
    </row>
    <row r="365" spans="3:4" x14ac:dyDescent="0.2">
      <c r="C365">
        <v>641686.56999999634</v>
      </c>
      <c r="D365" s="66">
        <v>367169.17</v>
      </c>
    </row>
    <row r="366" spans="3:4" x14ac:dyDescent="0.2">
      <c r="C366">
        <v>643062.37000000081</v>
      </c>
      <c r="D366" s="66">
        <v>478725.57</v>
      </c>
    </row>
    <row r="367" spans="3:4" x14ac:dyDescent="0.2">
      <c r="C367">
        <v>647822.17000000062</v>
      </c>
      <c r="D367" s="66">
        <v>395406.77</v>
      </c>
    </row>
    <row r="368" spans="3:4" x14ac:dyDescent="0.2">
      <c r="C368">
        <v>658081.37000000058</v>
      </c>
      <c r="D368" s="66">
        <v>405665.97</v>
      </c>
    </row>
    <row r="369" spans="3:4" x14ac:dyDescent="0.2">
      <c r="C369">
        <v>660418.56999999937</v>
      </c>
      <c r="D369" s="66">
        <v>518247.97</v>
      </c>
    </row>
    <row r="370" spans="3:4" x14ac:dyDescent="0.2">
      <c r="C370">
        <v>665724.17000000202</v>
      </c>
      <c r="D370" s="66">
        <v>390729.17</v>
      </c>
    </row>
    <row r="371" spans="3:4" x14ac:dyDescent="0.2">
      <c r="C371">
        <v>666064.56999999634</v>
      </c>
      <c r="D371" s="66">
        <v>391547.17</v>
      </c>
    </row>
    <row r="372" spans="3:4" x14ac:dyDescent="0.2">
      <c r="C372">
        <v>667859.76999999932</v>
      </c>
      <c r="D372" s="66">
        <v>525689.17000000004</v>
      </c>
    </row>
    <row r="373" spans="3:4" x14ac:dyDescent="0.2">
      <c r="C373">
        <v>669246.36999999988</v>
      </c>
      <c r="D373" s="66">
        <v>295044.77</v>
      </c>
    </row>
    <row r="374" spans="3:4" x14ac:dyDescent="0.2">
      <c r="C374">
        <v>678322.17000000202</v>
      </c>
      <c r="D374" s="66">
        <v>403327.17</v>
      </c>
    </row>
    <row r="375" spans="3:4" x14ac:dyDescent="0.2">
      <c r="C375">
        <v>683780.17000000214</v>
      </c>
      <c r="D375" s="66">
        <v>327326.37</v>
      </c>
    </row>
    <row r="376" spans="3:4" x14ac:dyDescent="0.2">
      <c r="C376">
        <v>685738.9700000002</v>
      </c>
      <c r="D376" s="66">
        <v>387528.77</v>
      </c>
    </row>
    <row r="377" spans="3:4" x14ac:dyDescent="0.2">
      <c r="C377">
        <v>689757.37000000081</v>
      </c>
      <c r="D377" s="66">
        <v>489225.97</v>
      </c>
    </row>
    <row r="378" spans="3:4" x14ac:dyDescent="0.2">
      <c r="C378">
        <v>691318.37000000023</v>
      </c>
      <c r="D378" s="66">
        <v>204844.77</v>
      </c>
    </row>
    <row r="379" spans="3:4" x14ac:dyDescent="0.2">
      <c r="C379">
        <v>692977.36999999941</v>
      </c>
      <c r="D379" s="66">
        <v>550806.77</v>
      </c>
    </row>
    <row r="380" spans="3:4" x14ac:dyDescent="0.2">
      <c r="C380">
        <v>697945.17000000086</v>
      </c>
      <c r="D380" s="66">
        <v>533608.37</v>
      </c>
    </row>
    <row r="381" spans="3:4" x14ac:dyDescent="0.2">
      <c r="C381">
        <v>699937.37000000011</v>
      </c>
      <c r="D381" s="66">
        <v>401727.17</v>
      </c>
    </row>
    <row r="382" spans="3:4" x14ac:dyDescent="0.2">
      <c r="C382">
        <v>702177.17000000109</v>
      </c>
      <c r="D382" s="66">
        <v>358168.37</v>
      </c>
    </row>
    <row r="383" spans="3:4" x14ac:dyDescent="0.2">
      <c r="C383">
        <v>710505.17000000086</v>
      </c>
      <c r="D383" s="66">
        <v>546168.37</v>
      </c>
    </row>
    <row r="384" spans="3:4" x14ac:dyDescent="0.2">
      <c r="C384">
        <v>715261.77000000048</v>
      </c>
      <c r="D384" s="66">
        <v>309085.96999999997</v>
      </c>
    </row>
    <row r="385" spans="3:4" x14ac:dyDescent="0.2">
      <c r="C385">
        <v>725384.77000000072</v>
      </c>
      <c r="D385" s="66">
        <v>561047.97</v>
      </c>
    </row>
    <row r="386" spans="3:4" x14ac:dyDescent="0.2">
      <c r="C386">
        <v>725421.37000000128</v>
      </c>
      <c r="D386" s="66">
        <v>471025.57</v>
      </c>
    </row>
    <row r="387" spans="3:4" x14ac:dyDescent="0.2">
      <c r="C387">
        <v>725534.16999999923</v>
      </c>
      <c r="D387" s="66">
        <v>583363.56999999995</v>
      </c>
    </row>
    <row r="388" spans="3:4" x14ac:dyDescent="0.2">
      <c r="C388">
        <v>731055.57000000111</v>
      </c>
      <c r="D388" s="66">
        <v>387046.77</v>
      </c>
    </row>
    <row r="389" spans="3:4" x14ac:dyDescent="0.2">
      <c r="C389">
        <v>739982.17000000214</v>
      </c>
      <c r="D389" s="66">
        <v>383528.37</v>
      </c>
    </row>
    <row r="390" spans="3:4" x14ac:dyDescent="0.2">
      <c r="C390">
        <v>740440.17000000086</v>
      </c>
      <c r="D390" s="66">
        <v>539908.77</v>
      </c>
    </row>
    <row r="391" spans="3:4" x14ac:dyDescent="0.2">
      <c r="C391">
        <v>752242.37000000069</v>
      </c>
      <c r="D391" s="66">
        <v>237645.57</v>
      </c>
    </row>
    <row r="392" spans="3:4" x14ac:dyDescent="0.2">
      <c r="C392">
        <v>752820.37000000081</v>
      </c>
      <c r="D392" s="66">
        <v>588483.56999999995</v>
      </c>
    </row>
    <row r="393" spans="3:4" x14ac:dyDescent="0.2">
      <c r="C393">
        <v>755101.37000000081</v>
      </c>
      <c r="D393" s="66">
        <v>554569.97</v>
      </c>
    </row>
    <row r="394" spans="3:4" x14ac:dyDescent="0.2">
      <c r="C394">
        <v>756180.57000000216</v>
      </c>
      <c r="D394" s="66">
        <v>399726.77</v>
      </c>
    </row>
    <row r="395" spans="3:4" x14ac:dyDescent="0.2">
      <c r="C395">
        <v>765041.97000000055</v>
      </c>
      <c r="D395" s="66">
        <v>208166.37</v>
      </c>
    </row>
    <row r="396" spans="3:4" x14ac:dyDescent="0.2">
      <c r="C396">
        <v>765778.9700000009</v>
      </c>
      <c r="D396" s="66">
        <v>565247.56999999995</v>
      </c>
    </row>
    <row r="397" spans="3:4" x14ac:dyDescent="0.2">
      <c r="C397">
        <v>766205.57000000018</v>
      </c>
      <c r="D397" s="66">
        <v>632363.97</v>
      </c>
    </row>
    <row r="398" spans="3:4" x14ac:dyDescent="0.2">
      <c r="C398">
        <v>768543.76999999641</v>
      </c>
      <c r="D398" s="66">
        <v>494026.37</v>
      </c>
    </row>
    <row r="399" spans="3:4" x14ac:dyDescent="0.2">
      <c r="C399">
        <v>777006.5699999989</v>
      </c>
      <c r="D399" s="66">
        <v>545426.37</v>
      </c>
    </row>
    <row r="400" spans="3:4" x14ac:dyDescent="0.2">
      <c r="C400">
        <v>777544.57000000053</v>
      </c>
      <c r="D400" s="66">
        <v>371368.77</v>
      </c>
    </row>
    <row r="401" spans="3:4" x14ac:dyDescent="0.2">
      <c r="C401">
        <v>782649.17000000016</v>
      </c>
      <c r="D401" s="66">
        <v>648807.56999999995</v>
      </c>
    </row>
    <row r="402" spans="3:4" x14ac:dyDescent="0.2">
      <c r="C402">
        <v>783382.97000000137</v>
      </c>
      <c r="D402" s="66">
        <v>528987.17000000004</v>
      </c>
    </row>
    <row r="403" spans="3:4" x14ac:dyDescent="0.2">
      <c r="C403">
        <v>785778.37000000034</v>
      </c>
      <c r="D403" s="66">
        <v>299304.77</v>
      </c>
    </row>
    <row r="404" spans="3:4" x14ac:dyDescent="0.2">
      <c r="C404">
        <v>788366.7699999999</v>
      </c>
      <c r="D404" s="66">
        <v>622444.37</v>
      </c>
    </row>
    <row r="405" spans="3:4" x14ac:dyDescent="0.2">
      <c r="C405">
        <v>791114.570000001</v>
      </c>
      <c r="D405" s="66">
        <v>590583.17000000004</v>
      </c>
    </row>
    <row r="406" spans="3:4" x14ac:dyDescent="0.2">
      <c r="C406">
        <v>794405.37000000128</v>
      </c>
      <c r="D406" s="66">
        <v>540009.56999999995</v>
      </c>
    </row>
    <row r="407" spans="3:4" x14ac:dyDescent="0.2">
      <c r="C407">
        <v>794889.96999999986</v>
      </c>
      <c r="D407" s="66">
        <v>628967.56999999995</v>
      </c>
    </row>
    <row r="408" spans="3:4" x14ac:dyDescent="0.2">
      <c r="C408">
        <v>796681.76999999955</v>
      </c>
      <c r="D408" s="66">
        <v>633343.97</v>
      </c>
    </row>
    <row r="409" spans="3:4" x14ac:dyDescent="0.2">
      <c r="C409">
        <v>799089.17000000016</v>
      </c>
      <c r="D409" s="66">
        <v>665247.56999999995</v>
      </c>
    </row>
    <row r="410" spans="3:4" x14ac:dyDescent="0.2">
      <c r="C410">
        <v>799822.97000000055</v>
      </c>
      <c r="D410" s="66">
        <v>393647.17</v>
      </c>
    </row>
    <row r="411" spans="3:4" x14ac:dyDescent="0.2">
      <c r="C411">
        <v>801410.7699999999</v>
      </c>
      <c r="D411" s="66">
        <v>635488.37</v>
      </c>
    </row>
    <row r="412" spans="3:4" x14ac:dyDescent="0.2">
      <c r="C412">
        <v>805208.5699999989</v>
      </c>
      <c r="D412" s="66">
        <v>573628.37</v>
      </c>
    </row>
    <row r="413" spans="3:4" x14ac:dyDescent="0.2">
      <c r="C413">
        <v>808806.36999999988</v>
      </c>
      <c r="D413" s="66">
        <v>434604.77</v>
      </c>
    </row>
    <row r="414" spans="3:4" x14ac:dyDescent="0.2">
      <c r="C414">
        <v>809686.7699999999</v>
      </c>
      <c r="D414" s="66">
        <v>435485.17</v>
      </c>
    </row>
    <row r="415" spans="3:4" x14ac:dyDescent="0.2">
      <c r="C415">
        <v>812362.97000000137</v>
      </c>
      <c r="D415" s="66">
        <v>557967.17000000004</v>
      </c>
    </row>
    <row r="416" spans="3:4" x14ac:dyDescent="0.2">
      <c r="C416">
        <v>814105.36999999953</v>
      </c>
      <c r="D416" s="66">
        <v>650767.56999999995</v>
      </c>
    </row>
    <row r="417" spans="3:4" x14ac:dyDescent="0.2">
      <c r="C417">
        <v>814448.36999999988</v>
      </c>
      <c r="D417" s="66">
        <v>648525.97</v>
      </c>
    </row>
    <row r="418" spans="3:4" x14ac:dyDescent="0.2">
      <c r="C418">
        <v>815534.37000000104</v>
      </c>
      <c r="D418" s="66">
        <v>471525.57</v>
      </c>
    </row>
    <row r="419" spans="3:4" x14ac:dyDescent="0.2">
      <c r="C419">
        <v>817039.37000000058</v>
      </c>
      <c r="D419" s="66">
        <v>564623.97</v>
      </c>
    </row>
    <row r="420" spans="3:4" x14ac:dyDescent="0.2">
      <c r="C420">
        <v>817305.36999999639</v>
      </c>
      <c r="D420" s="66">
        <v>542787.97</v>
      </c>
    </row>
    <row r="421" spans="3:4" x14ac:dyDescent="0.2">
      <c r="C421">
        <v>819307.76999999885</v>
      </c>
      <c r="D421" s="66">
        <v>587727.56999999995</v>
      </c>
    </row>
    <row r="422" spans="3:4" x14ac:dyDescent="0.2">
      <c r="C422">
        <v>827921.37000000197</v>
      </c>
      <c r="D422" s="66">
        <v>552926.37</v>
      </c>
    </row>
    <row r="423" spans="3:4" x14ac:dyDescent="0.2">
      <c r="C423">
        <v>829248.36999999988</v>
      </c>
      <c r="D423" s="66">
        <v>455046.77</v>
      </c>
    </row>
    <row r="424" spans="3:4" x14ac:dyDescent="0.2">
      <c r="C424">
        <v>831109.76999999885</v>
      </c>
      <c r="D424" s="66">
        <v>599529.56999999995</v>
      </c>
    </row>
    <row r="425" spans="3:4" x14ac:dyDescent="0.2">
      <c r="C425">
        <v>831525.76999999955</v>
      </c>
      <c r="D425" s="66">
        <v>668187.97</v>
      </c>
    </row>
    <row r="426" spans="3:4" x14ac:dyDescent="0.2">
      <c r="C426">
        <v>831967.17000000016</v>
      </c>
      <c r="D426" s="66">
        <v>698125.57</v>
      </c>
    </row>
    <row r="427" spans="3:4" x14ac:dyDescent="0.2">
      <c r="C427">
        <v>832927.36999999639</v>
      </c>
      <c r="D427" s="66">
        <v>558409.97</v>
      </c>
    </row>
    <row r="428" spans="3:4" x14ac:dyDescent="0.2">
      <c r="C428">
        <v>833404.16999999876</v>
      </c>
      <c r="D428" s="66">
        <v>601823.97</v>
      </c>
    </row>
    <row r="429" spans="3:4" x14ac:dyDescent="0.2">
      <c r="C429">
        <v>837563.7700000006</v>
      </c>
      <c r="D429" s="66">
        <v>585148.37</v>
      </c>
    </row>
    <row r="430" spans="3:4" x14ac:dyDescent="0.2">
      <c r="C430">
        <v>841339.77000000118</v>
      </c>
      <c r="D430" s="66">
        <v>586943.97</v>
      </c>
    </row>
    <row r="431" spans="3:4" x14ac:dyDescent="0.2">
      <c r="C431">
        <v>841685.76999999641</v>
      </c>
      <c r="D431" s="66">
        <v>567168.37</v>
      </c>
    </row>
    <row r="432" spans="3:4" x14ac:dyDescent="0.2">
      <c r="C432">
        <v>843136.57000000007</v>
      </c>
      <c r="D432" s="66">
        <v>544926.37</v>
      </c>
    </row>
    <row r="433" spans="3:4" x14ac:dyDescent="0.2">
      <c r="C433">
        <v>847823.37000000058</v>
      </c>
      <c r="D433" s="66">
        <v>595407.97</v>
      </c>
    </row>
    <row r="434" spans="3:4" x14ac:dyDescent="0.2">
      <c r="C434">
        <v>847932.36999999988</v>
      </c>
      <c r="D434" s="66">
        <v>682009.97</v>
      </c>
    </row>
    <row r="435" spans="3:4" x14ac:dyDescent="0.2">
      <c r="C435">
        <v>851321.9700000002</v>
      </c>
      <c r="D435" s="66">
        <v>364848.37</v>
      </c>
    </row>
    <row r="436" spans="3:4" x14ac:dyDescent="0.2">
      <c r="C436">
        <v>853123.37000000197</v>
      </c>
      <c r="D436" s="66">
        <v>578128.37</v>
      </c>
    </row>
    <row r="437" spans="3:4" x14ac:dyDescent="0.2">
      <c r="C437">
        <v>855531.17000000016</v>
      </c>
      <c r="D437" s="66">
        <v>721689.57</v>
      </c>
    </row>
    <row r="438" spans="3:4" x14ac:dyDescent="0.2">
      <c r="C438">
        <v>858078.17000000062</v>
      </c>
      <c r="D438" s="66">
        <v>605662.77</v>
      </c>
    </row>
    <row r="439" spans="3:4" x14ac:dyDescent="0.2">
      <c r="C439">
        <v>861161.97000000055</v>
      </c>
      <c r="D439" s="66">
        <v>304286.37</v>
      </c>
    </row>
    <row r="440" spans="3:4" x14ac:dyDescent="0.2">
      <c r="C440">
        <v>863102.37000000069</v>
      </c>
      <c r="D440" s="66">
        <v>348505.57</v>
      </c>
    </row>
    <row r="441" spans="3:4" x14ac:dyDescent="0.2">
      <c r="C441">
        <v>865722.57000000193</v>
      </c>
      <c r="D441" s="66">
        <v>590727.56999999995</v>
      </c>
    </row>
    <row r="442" spans="3:4" x14ac:dyDescent="0.2">
      <c r="C442">
        <v>866060.56999999646</v>
      </c>
      <c r="D442" s="66">
        <v>591543.17000000004</v>
      </c>
    </row>
    <row r="443" spans="3:4" x14ac:dyDescent="0.2">
      <c r="C443">
        <v>866363.76999999955</v>
      </c>
      <c r="D443" s="66">
        <v>703025.97</v>
      </c>
    </row>
    <row r="444" spans="3:4" x14ac:dyDescent="0.2">
      <c r="C444">
        <v>867303.37000000058</v>
      </c>
      <c r="D444" s="66">
        <v>614887.97</v>
      </c>
    </row>
    <row r="445" spans="3:4" x14ac:dyDescent="0.2">
      <c r="C445">
        <v>871538.57000000007</v>
      </c>
      <c r="D445" s="66">
        <v>573328.37</v>
      </c>
    </row>
    <row r="446" spans="3:4" x14ac:dyDescent="0.2">
      <c r="C446">
        <v>873296.37000000104</v>
      </c>
      <c r="D446" s="66">
        <v>529287.56999999995</v>
      </c>
    </row>
    <row r="447" spans="3:4" x14ac:dyDescent="0.2">
      <c r="C447">
        <v>876859.9700000002</v>
      </c>
      <c r="D447" s="66">
        <v>390386.37</v>
      </c>
    </row>
    <row r="448" spans="3:4" x14ac:dyDescent="0.2">
      <c r="C448">
        <v>878318.97000000207</v>
      </c>
      <c r="D448" s="66">
        <v>603323.97</v>
      </c>
    </row>
    <row r="449" spans="3:4" x14ac:dyDescent="0.2">
      <c r="C449">
        <v>880524.57000000193</v>
      </c>
      <c r="D449" s="66">
        <v>605529.56999999995</v>
      </c>
    </row>
    <row r="450" spans="3:4" x14ac:dyDescent="0.2">
      <c r="C450">
        <v>884417.570000001</v>
      </c>
      <c r="D450" s="66">
        <v>540408.77</v>
      </c>
    </row>
    <row r="451" spans="3:4" x14ac:dyDescent="0.2">
      <c r="C451">
        <v>885737.77</v>
      </c>
      <c r="D451" s="66">
        <v>587527.56999999995</v>
      </c>
    </row>
    <row r="452" spans="3:4" x14ac:dyDescent="0.2">
      <c r="C452">
        <v>888947.36999999953</v>
      </c>
      <c r="D452" s="66">
        <v>725609.57</v>
      </c>
    </row>
    <row r="453" spans="3:4" x14ac:dyDescent="0.2">
      <c r="C453">
        <v>891380.17000000214</v>
      </c>
      <c r="D453" s="66">
        <v>534926.37</v>
      </c>
    </row>
    <row r="454" spans="3:4" x14ac:dyDescent="0.2">
      <c r="C454">
        <v>892977.76999999932</v>
      </c>
      <c r="D454" s="66">
        <v>750807.17</v>
      </c>
    </row>
    <row r="455" spans="3:4" x14ac:dyDescent="0.2">
      <c r="C455">
        <v>897339.77</v>
      </c>
      <c r="D455" s="66">
        <v>599129.56999999995</v>
      </c>
    </row>
    <row r="456" spans="3:4" x14ac:dyDescent="0.2">
      <c r="C456">
        <v>899934.17</v>
      </c>
      <c r="D456" s="66">
        <v>601723.97</v>
      </c>
    </row>
    <row r="457" spans="3:4" x14ac:dyDescent="0.2">
      <c r="C457">
        <v>902175.570000001</v>
      </c>
      <c r="D457" s="66">
        <v>558166.77</v>
      </c>
    </row>
    <row r="458" spans="3:4" x14ac:dyDescent="0.2">
      <c r="C458">
        <v>910701.77000000048</v>
      </c>
      <c r="D458" s="66">
        <v>504525.97</v>
      </c>
    </row>
    <row r="459" spans="3:4" x14ac:dyDescent="0.2">
      <c r="C459">
        <v>912245.17000000062</v>
      </c>
      <c r="D459" s="66">
        <v>397648.37</v>
      </c>
    </row>
    <row r="460" spans="3:4" x14ac:dyDescent="0.2">
      <c r="C460">
        <v>921383.17000000062</v>
      </c>
      <c r="D460" s="66">
        <v>406786.37</v>
      </c>
    </row>
    <row r="461" spans="3:4" x14ac:dyDescent="0.2">
      <c r="C461">
        <v>923781.77000000211</v>
      </c>
      <c r="D461" s="66">
        <v>567327.97</v>
      </c>
    </row>
    <row r="462" spans="3:4" x14ac:dyDescent="0.2">
      <c r="C462">
        <v>925044.77000000048</v>
      </c>
      <c r="D462" s="66">
        <v>368169.17</v>
      </c>
    </row>
    <row r="463" spans="3:4" x14ac:dyDescent="0.2">
      <c r="C463">
        <v>925383.57000000076</v>
      </c>
      <c r="D463" s="66">
        <v>761046.77</v>
      </c>
    </row>
    <row r="464" spans="3:4" x14ac:dyDescent="0.2">
      <c r="C464">
        <v>925534.16999999923</v>
      </c>
      <c r="D464" s="66">
        <v>783363.57</v>
      </c>
    </row>
    <row r="465" spans="3:4" x14ac:dyDescent="0.2">
      <c r="C465">
        <v>931052.77000000095</v>
      </c>
      <c r="D465" s="66">
        <v>587043.97</v>
      </c>
    </row>
    <row r="466" spans="3:4" x14ac:dyDescent="0.2">
      <c r="C466">
        <v>939980.97000000218</v>
      </c>
      <c r="D466" s="66">
        <v>583527.17000000004</v>
      </c>
    </row>
    <row r="467" spans="3:4" x14ac:dyDescent="0.2">
      <c r="C467">
        <v>947582.97000000218</v>
      </c>
      <c r="D467" s="66">
        <v>591129.17000000004</v>
      </c>
    </row>
    <row r="468" spans="3:4" x14ac:dyDescent="0.2">
      <c r="C468">
        <v>948922.77000000048</v>
      </c>
      <c r="D468" s="66">
        <v>392047.17</v>
      </c>
    </row>
    <row r="469" spans="3:4" x14ac:dyDescent="0.2">
      <c r="C469">
        <v>952820.37000000081</v>
      </c>
      <c r="D469" s="66">
        <v>788483.57</v>
      </c>
    </row>
    <row r="470" spans="3:4" x14ac:dyDescent="0.2">
      <c r="C470">
        <v>955262.97000000067</v>
      </c>
      <c r="D470" s="66">
        <v>549087.17000000004</v>
      </c>
    </row>
    <row r="471" spans="3:4" x14ac:dyDescent="0.2">
      <c r="C471">
        <v>956177.77000000211</v>
      </c>
      <c r="D471" s="66">
        <v>599723.97</v>
      </c>
    </row>
    <row r="472" spans="3:4" x14ac:dyDescent="0.2">
      <c r="C472">
        <v>964273.76999999909</v>
      </c>
      <c r="D472" s="66">
        <v>215366.77</v>
      </c>
    </row>
    <row r="473" spans="3:4" x14ac:dyDescent="0.2">
      <c r="C473">
        <v>965778.17000000086</v>
      </c>
      <c r="D473" s="66">
        <v>765246.77</v>
      </c>
    </row>
    <row r="474" spans="3:4" x14ac:dyDescent="0.2">
      <c r="C474">
        <v>966205.57000000018</v>
      </c>
      <c r="D474" s="66">
        <v>832363.97</v>
      </c>
    </row>
    <row r="475" spans="3:4" x14ac:dyDescent="0.2">
      <c r="C475">
        <v>972984.97000000067</v>
      </c>
      <c r="D475" s="66">
        <v>566809.17000000004</v>
      </c>
    </row>
    <row r="476" spans="3:4" x14ac:dyDescent="0.2">
      <c r="C476">
        <v>974698.37000000034</v>
      </c>
      <c r="D476" s="66">
        <v>488224.77</v>
      </c>
    </row>
    <row r="477" spans="3:4" x14ac:dyDescent="0.2">
      <c r="C477">
        <v>977543.37000000058</v>
      </c>
      <c r="D477" s="66">
        <v>571367.56999999995</v>
      </c>
    </row>
    <row r="478" spans="3:4" x14ac:dyDescent="0.2">
      <c r="C478">
        <v>982649.17000000016</v>
      </c>
      <c r="D478" s="66">
        <v>848807.57</v>
      </c>
    </row>
    <row r="479" spans="3:4" x14ac:dyDescent="0.2">
      <c r="C479">
        <v>988366.7699999999</v>
      </c>
      <c r="D479" s="66">
        <v>822444.37</v>
      </c>
    </row>
    <row r="480" spans="3:4" x14ac:dyDescent="0.2">
      <c r="C480">
        <v>991114.570000001</v>
      </c>
      <c r="D480" s="66">
        <v>790583.17</v>
      </c>
    </row>
    <row r="481" spans="3:4" x14ac:dyDescent="0.2">
      <c r="C481">
        <v>994890.36999999988</v>
      </c>
      <c r="D481" s="66">
        <v>828967.97</v>
      </c>
    </row>
    <row r="482" spans="3:4" x14ac:dyDescent="0.2">
      <c r="C482">
        <v>996681.76999999955</v>
      </c>
      <c r="D482" s="66">
        <v>833343.97</v>
      </c>
    </row>
    <row r="483" spans="3:4" x14ac:dyDescent="0.2">
      <c r="C483">
        <v>999818.97000000067</v>
      </c>
      <c r="D483" s="66">
        <v>593643.17000000004</v>
      </c>
    </row>
    <row r="484" spans="3:4" x14ac:dyDescent="0.2">
      <c r="C484">
        <v>1009592.1700000004</v>
      </c>
      <c r="D484" s="66">
        <v>296286.37</v>
      </c>
    </row>
    <row r="485" spans="3:4" x14ac:dyDescent="0.2">
      <c r="C485">
        <v>1009683.5699999998</v>
      </c>
      <c r="D485" s="66">
        <v>635481.97</v>
      </c>
    </row>
    <row r="486" spans="3:4" x14ac:dyDescent="0.2">
      <c r="C486">
        <v>1012362.9700000014</v>
      </c>
      <c r="D486" s="66">
        <v>757967.17</v>
      </c>
    </row>
    <row r="487" spans="3:4" x14ac:dyDescent="0.2">
      <c r="C487">
        <v>1014105.7699999996</v>
      </c>
      <c r="D487" s="66">
        <v>850767.97</v>
      </c>
    </row>
    <row r="488" spans="3:4" x14ac:dyDescent="0.2">
      <c r="C488">
        <v>1019308.1699999988</v>
      </c>
      <c r="D488" s="66">
        <v>787727.97</v>
      </c>
    </row>
    <row r="489" spans="3:4" x14ac:dyDescent="0.2">
      <c r="C489">
        <v>1025780.7700000003</v>
      </c>
      <c r="D489" s="66">
        <v>539307.17000000004</v>
      </c>
    </row>
    <row r="490" spans="3:4" x14ac:dyDescent="0.2">
      <c r="C490">
        <v>1026480.3700000021</v>
      </c>
      <c r="D490" s="66">
        <v>237887.17</v>
      </c>
    </row>
    <row r="491" spans="3:4" x14ac:dyDescent="0.2">
      <c r="C491">
        <v>1029247.1699999998</v>
      </c>
      <c r="D491" s="66">
        <v>655045.56999999995</v>
      </c>
    </row>
    <row r="492" spans="3:4" x14ac:dyDescent="0.2">
      <c r="C492">
        <v>1033404.1699999988</v>
      </c>
      <c r="D492" s="66">
        <v>801823.97</v>
      </c>
    </row>
    <row r="493" spans="3:4" x14ac:dyDescent="0.2">
      <c r="C493">
        <v>1040242.3700000002</v>
      </c>
      <c r="D493" s="66">
        <v>553768.77</v>
      </c>
    </row>
    <row r="494" spans="3:4" x14ac:dyDescent="0.2">
      <c r="C494">
        <v>1041339.7700000012</v>
      </c>
      <c r="D494" s="66">
        <v>786943.97</v>
      </c>
    </row>
    <row r="495" spans="3:4" x14ac:dyDescent="0.2">
      <c r="C495">
        <v>1041684.9699999964</v>
      </c>
      <c r="D495" s="66">
        <v>767167.57</v>
      </c>
    </row>
    <row r="496" spans="3:4" x14ac:dyDescent="0.2">
      <c r="C496">
        <v>1042381.1699999985</v>
      </c>
      <c r="D496" s="66">
        <v>270764.37</v>
      </c>
    </row>
    <row r="497" spans="3:4" x14ac:dyDescent="0.2">
      <c r="C497">
        <v>1047820.5700000006</v>
      </c>
      <c r="D497" s="66">
        <v>795405.17</v>
      </c>
    </row>
    <row r="498" spans="3:4" x14ac:dyDescent="0.2">
      <c r="C498">
        <v>1048807.9699999997</v>
      </c>
      <c r="D498" s="66">
        <v>674606.37</v>
      </c>
    </row>
    <row r="499" spans="3:4" x14ac:dyDescent="0.2">
      <c r="C499">
        <v>1051320.3700000001</v>
      </c>
      <c r="D499" s="66">
        <v>564846.77</v>
      </c>
    </row>
    <row r="500" spans="3:4" x14ac:dyDescent="0.2">
      <c r="C500">
        <v>1053401.9700000007</v>
      </c>
      <c r="D500" s="66">
        <v>496526.37</v>
      </c>
    </row>
    <row r="501" spans="3:4" x14ac:dyDescent="0.2">
      <c r="C501">
        <v>1058078.1700000006</v>
      </c>
      <c r="D501" s="66">
        <v>805662.77</v>
      </c>
    </row>
    <row r="502" spans="3:4" x14ac:dyDescent="0.2">
      <c r="C502">
        <v>1063993.7699999991</v>
      </c>
      <c r="D502" s="66">
        <v>315086.77</v>
      </c>
    </row>
    <row r="503" spans="3:4" x14ac:dyDescent="0.2">
      <c r="C503">
        <v>1065722.5700000019</v>
      </c>
      <c r="D503" s="66">
        <v>790727.57</v>
      </c>
    </row>
    <row r="504" spans="3:4" x14ac:dyDescent="0.2">
      <c r="C504">
        <v>1066060.5699999966</v>
      </c>
      <c r="D504" s="66">
        <v>791543.17</v>
      </c>
    </row>
    <row r="505" spans="3:4" x14ac:dyDescent="0.2">
      <c r="C505">
        <v>1076856.7700000003</v>
      </c>
      <c r="D505" s="66">
        <v>590383.17000000004</v>
      </c>
    </row>
    <row r="506" spans="3:4" x14ac:dyDescent="0.2">
      <c r="C506">
        <v>1078318.9700000021</v>
      </c>
      <c r="D506" s="66">
        <v>803323.97</v>
      </c>
    </row>
    <row r="507" spans="3:4" x14ac:dyDescent="0.2">
      <c r="C507">
        <v>1084822.3700000006</v>
      </c>
      <c r="D507" s="66">
        <v>570225.56999999995</v>
      </c>
    </row>
    <row r="508" spans="3:4" x14ac:dyDescent="0.2">
      <c r="C508">
        <v>1085737.77</v>
      </c>
      <c r="D508" s="66">
        <v>787527.57</v>
      </c>
    </row>
    <row r="509" spans="3:4" x14ac:dyDescent="0.2">
      <c r="C509">
        <v>1087926.3699999999</v>
      </c>
      <c r="D509" s="66">
        <v>713724.77</v>
      </c>
    </row>
    <row r="510" spans="3:4" x14ac:dyDescent="0.2">
      <c r="C510">
        <v>1099934.17</v>
      </c>
      <c r="D510" s="66">
        <v>801723.97</v>
      </c>
    </row>
    <row r="511" spans="3:4" x14ac:dyDescent="0.2">
      <c r="C511">
        <v>1101163.1700000004</v>
      </c>
      <c r="D511" s="66">
        <v>544287.56999999995</v>
      </c>
    </row>
    <row r="512" spans="3:4" x14ac:dyDescent="0.2">
      <c r="C512">
        <v>1102175.570000001</v>
      </c>
      <c r="D512" s="66">
        <v>758166.77</v>
      </c>
    </row>
    <row r="513" spans="3:4" x14ac:dyDescent="0.2">
      <c r="C513">
        <v>1103104.7700000007</v>
      </c>
      <c r="D513" s="66">
        <v>588507.97</v>
      </c>
    </row>
    <row r="514" spans="3:4" x14ac:dyDescent="0.2">
      <c r="C514">
        <v>1108368.77</v>
      </c>
      <c r="D514" s="66">
        <v>734167.17</v>
      </c>
    </row>
    <row r="515" spans="3:4" x14ac:dyDescent="0.2">
      <c r="C515">
        <v>1112243.5700000008</v>
      </c>
      <c r="D515" s="66">
        <v>597646.77</v>
      </c>
    </row>
    <row r="516" spans="3:4" x14ac:dyDescent="0.2">
      <c r="C516">
        <v>1117285.1700000004</v>
      </c>
      <c r="D516" s="66">
        <v>560409.56999999995</v>
      </c>
    </row>
    <row r="517" spans="3:4" x14ac:dyDescent="0.2">
      <c r="C517">
        <v>1121379.9700000007</v>
      </c>
      <c r="D517" s="66">
        <v>606783.17000000004</v>
      </c>
    </row>
    <row r="518" spans="3:4" x14ac:dyDescent="0.2">
      <c r="C518">
        <v>1124276.5699999991</v>
      </c>
      <c r="D518" s="66">
        <v>375369.57</v>
      </c>
    </row>
    <row r="519" spans="3:4" x14ac:dyDescent="0.2">
      <c r="C519">
        <v>1125043.1700000004</v>
      </c>
      <c r="D519" s="66">
        <v>568167.56999999995</v>
      </c>
    </row>
    <row r="520" spans="3:4" x14ac:dyDescent="0.2">
      <c r="C520">
        <v>1131052.7700000009</v>
      </c>
      <c r="D520" s="66">
        <v>787043.97</v>
      </c>
    </row>
    <row r="521" spans="3:4" x14ac:dyDescent="0.2">
      <c r="C521">
        <v>1133965.5700000008</v>
      </c>
      <c r="D521" s="66">
        <v>619368.77</v>
      </c>
    </row>
    <row r="522" spans="3:4" x14ac:dyDescent="0.2">
      <c r="C522">
        <v>1137460.370000002</v>
      </c>
      <c r="D522" s="66">
        <v>348867.17</v>
      </c>
    </row>
    <row r="523" spans="3:4" x14ac:dyDescent="0.2">
      <c r="C523">
        <v>1139980.9700000021</v>
      </c>
      <c r="D523" s="66">
        <v>783527.17</v>
      </c>
    </row>
    <row r="524" spans="3:4" x14ac:dyDescent="0.2">
      <c r="C524">
        <v>1144554.5699999991</v>
      </c>
      <c r="D524" s="66">
        <v>395647.57</v>
      </c>
    </row>
    <row r="525" spans="3:4" x14ac:dyDescent="0.2">
      <c r="C525">
        <v>1148919.9700000007</v>
      </c>
      <c r="D525" s="66">
        <v>592044.37</v>
      </c>
    </row>
    <row r="526" spans="3:4" x14ac:dyDescent="0.2">
      <c r="C526">
        <v>1149413.7700000005</v>
      </c>
      <c r="D526" s="66">
        <v>436107.97</v>
      </c>
    </row>
    <row r="527" spans="3:4" x14ac:dyDescent="0.2">
      <c r="C527">
        <v>1149772.1700000004</v>
      </c>
      <c r="D527" s="66">
        <v>436466.37</v>
      </c>
    </row>
    <row r="528" spans="3:4" x14ac:dyDescent="0.2">
      <c r="C528">
        <v>1156177.7700000021</v>
      </c>
      <c r="D528" s="66">
        <v>799723.97</v>
      </c>
    </row>
    <row r="529" spans="3:4" x14ac:dyDescent="0.2">
      <c r="C529">
        <v>1169595.7700000005</v>
      </c>
      <c r="D529" s="66">
        <v>456289.97</v>
      </c>
    </row>
    <row r="530" spans="3:4" x14ac:dyDescent="0.2">
      <c r="C530">
        <v>1169801.1699999985</v>
      </c>
      <c r="D530" s="66">
        <v>398184.37</v>
      </c>
    </row>
    <row r="531" spans="3:4" x14ac:dyDescent="0.2">
      <c r="C531">
        <v>1177542.5700000005</v>
      </c>
      <c r="D531" s="66">
        <v>771366.77</v>
      </c>
    </row>
    <row r="532" spans="3:4" x14ac:dyDescent="0.2">
      <c r="C532">
        <v>1186482.7700000021</v>
      </c>
      <c r="D532" s="66">
        <v>397889.57</v>
      </c>
    </row>
    <row r="533" spans="3:4" x14ac:dyDescent="0.2">
      <c r="C533">
        <v>1194961.9699999983</v>
      </c>
      <c r="D533" s="66">
        <v>423345.17</v>
      </c>
    </row>
    <row r="534" spans="3:4" x14ac:dyDescent="0.2">
      <c r="C534">
        <v>1195499.9700000021</v>
      </c>
      <c r="D534" s="66">
        <v>406906.77</v>
      </c>
    </row>
    <row r="535" spans="3:4" x14ac:dyDescent="0.2">
      <c r="C535">
        <v>1199818.9700000007</v>
      </c>
      <c r="D535" s="66">
        <v>793643.17</v>
      </c>
    </row>
    <row r="536" spans="3:4" x14ac:dyDescent="0.2">
      <c r="C536">
        <v>1202383.1699999985</v>
      </c>
      <c r="D536" s="66">
        <v>430766.37</v>
      </c>
    </row>
    <row r="537" spans="3:4" x14ac:dyDescent="0.2">
      <c r="C537">
        <v>1209683.5699999998</v>
      </c>
      <c r="D537" s="66">
        <v>835481.97</v>
      </c>
    </row>
    <row r="538" spans="3:4" x14ac:dyDescent="0.2">
      <c r="C538">
        <v>1229247.17</v>
      </c>
      <c r="D538" s="66">
        <v>855045.57</v>
      </c>
    </row>
    <row r="539" spans="3:4" x14ac:dyDescent="0.2">
      <c r="C539">
        <v>1245841.9700000002</v>
      </c>
      <c r="D539" s="66">
        <v>209485.97</v>
      </c>
    </row>
    <row r="540" spans="3:4" x14ac:dyDescent="0.2">
      <c r="C540">
        <v>1251319.5700000003</v>
      </c>
      <c r="D540" s="66">
        <v>764845.97</v>
      </c>
    </row>
    <row r="541" spans="3:4" x14ac:dyDescent="0.2">
      <c r="C541">
        <v>1263433.7699999991</v>
      </c>
      <c r="D541" s="66">
        <v>514526.77</v>
      </c>
    </row>
    <row r="542" spans="3:4" x14ac:dyDescent="0.2">
      <c r="C542">
        <v>1276856.7700000003</v>
      </c>
      <c r="D542" s="66">
        <v>790383.17</v>
      </c>
    </row>
    <row r="543" spans="3:4" x14ac:dyDescent="0.2">
      <c r="C543">
        <v>1297480.9700000002</v>
      </c>
      <c r="D543" s="66">
        <v>207129.57</v>
      </c>
    </row>
    <row r="544" spans="3:4" x14ac:dyDescent="0.2">
      <c r="C544">
        <v>1303995.7699999991</v>
      </c>
      <c r="D544" s="66">
        <v>555088.77</v>
      </c>
    </row>
    <row r="545" spans="3:4" x14ac:dyDescent="0.2">
      <c r="C545">
        <v>1312243.5700000008</v>
      </c>
      <c r="D545" s="66">
        <v>797646.77</v>
      </c>
    </row>
    <row r="546" spans="3:4" x14ac:dyDescent="0.2">
      <c r="C546">
        <v>1321379.9700000007</v>
      </c>
      <c r="D546" s="66">
        <v>806783.17</v>
      </c>
    </row>
    <row r="547" spans="3:4" x14ac:dyDescent="0.2">
      <c r="C547">
        <v>1323716.969999999</v>
      </c>
      <c r="D547" s="66">
        <v>574809.97</v>
      </c>
    </row>
    <row r="548" spans="3:4" x14ac:dyDescent="0.2">
      <c r="C548">
        <v>1324274.969999999</v>
      </c>
      <c r="D548" s="66">
        <v>575367.97</v>
      </c>
    </row>
    <row r="549" spans="3:4" x14ac:dyDescent="0.2">
      <c r="C549">
        <v>1325042.3700000006</v>
      </c>
      <c r="D549" s="66">
        <v>768166.77</v>
      </c>
    </row>
    <row r="550" spans="3:4" x14ac:dyDescent="0.2">
      <c r="C550">
        <v>1342621.9700000002</v>
      </c>
      <c r="D550" s="66">
        <v>306265.96999999997</v>
      </c>
    </row>
    <row r="551" spans="3:4" x14ac:dyDescent="0.2">
      <c r="C551">
        <v>1344551.3699999992</v>
      </c>
      <c r="D551" s="66">
        <v>595644.37</v>
      </c>
    </row>
    <row r="552" spans="3:4" x14ac:dyDescent="0.2">
      <c r="C552">
        <v>1348919.9700000007</v>
      </c>
      <c r="D552" s="66">
        <v>792044.37</v>
      </c>
    </row>
    <row r="553" spans="3:4" x14ac:dyDescent="0.2">
      <c r="C553">
        <v>1349410.9700000004</v>
      </c>
      <c r="D553" s="66">
        <v>636105.17000000004</v>
      </c>
    </row>
    <row r="554" spans="3:4" x14ac:dyDescent="0.2">
      <c r="C554">
        <v>1359420.370000002</v>
      </c>
      <c r="D554" s="66">
        <v>570827.17000000004</v>
      </c>
    </row>
    <row r="555" spans="3:4" x14ac:dyDescent="0.2">
      <c r="C555">
        <v>1369594.5700000003</v>
      </c>
      <c r="D555" s="66">
        <v>656288.77</v>
      </c>
    </row>
    <row r="556" spans="3:4" x14ac:dyDescent="0.2">
      <c r="C556">
        <v>1377461.5700000022</v>
      </c>
      <c r="D556" s="66">
        <v>588868.37</v>
      </c>
    </row>
    <row r="557" spans="3:4" x14ac:dyDescent="0.2">
      <c r="C557">
        <v>1386481.170000002</v>
      </c>
      <c r="D557" s="66">
        <v>597887.97</v>
      </c>
    </row>
    <row r="558" spans="3:4" x14ac:dyDescent="0.2">
      <c r="C558">
        <v>1389774.9700000004</v>
      </c>
      <c r="D558" s="66">
        <v>676469.17</v>
      </c>
    </row>
    <row r="559" spans="3:4" x14ac:dyDescent="0.2">
      <c r="C559">
        <v>1393080.9700000002</v>
      </c>
      <c r="D559" s="66">
        <v>302729.57</v>
      </c>
    </row>
    <row r="560" spans="3:4" x14ac:dyDescent="0.2">
      <c r="C560">
        <v>1394957.9699999983</v>
      </c>
      <c r="D560" s="66">
        <v>623341.17000000004</v>
      </c>
    </row>
    <row r="561" spans="3:4" x14ac:dyDescent="0.2">
      <c r="C561">
        <v>1395497.5700000022</v>
      </c>
      <c r="D561" s="66">
        <v>606904.37</v>
      </c>
    </row>
    <row r="562" spans="3:4" x14ac:dyDescent="0.2">
      <c r="C562">
        <v>1402381.5699999984</v>
      </c>
      <c r="D562" s="66">
        <v>630764.77</v>
      </c>
    </row>
    <row r="563" spans="3:4" x14ac:dyDescent="0.2">
      <c r="C563">
        <v>1405844.37</v>
      </c>
      <c r="D563" s="66">
        <v>369488.37</v>
      </c>
    </row>
    <row r="564" spans="3:4" x14ac:dyDescent="0.2">
      <c r="C564">
        <v>1408443.170000002</v>
      </c>
      <c r="D564" s="66">
        <v>619849.97</v>
      </c>
    </row>
    <row r="565" spans="3:4" x14ac:dyDescent="0.2">
      <c r="C565">
        <v>1409802.7699999984</v>
      </c>
      <c r="D565" s="66">
        <v>638185.97</v>
      </c>
    </row>
    <row r="566" spans="3:4" x14ac:dyDescent="0.2">
      <c r="C566">
        <v>1424641.1699999985</v>
      </c>
      <c r="D566" s="66">
        <v>653024.37</v>
      </c>
    </row>
    <row r="567" spans="3:4" x14ac:dyDescent="0.2">
      <c r="C567">
        <v>1429062.37</v>
      </c>
      <c r="D567" s="66">
        <v>392706.37</v>
      </c>
    </row>
    <row r="568" spans="3:4" x14ac:dyDescent="0.2">
      <c r="C568">
        <v>1430132.1700000004</v>
      </c>
      <c r="D568" s="66">
        <v>716826.37</v>
      </c>
    </row>
    <row r="569" spans="3:4" x14ac:dyDescent="0.2">
      <c r="C569">
        <v>1449954.9700000004</v>
      </c>
      <c r="D569" s="66">
        <v>736649.17</v>
      </c>
    </row>
    <row r="570" spans="3:4" x14ac:dyDescent="0.2">
      <c r="C570">
        <v>1457223.9699999983</v>
      </c>
      <c r="D570" s="66">
        <v>685607.17</v>
      </c>
    </row>
    <row r="571" spans="3:4" x14ac:dyDescent="0.2">
      <c r="C571">
        <v>1457481.7700000003</v>
      </c>
      <c r="D571" s="66">
        <v>367130.37</v>
      </c>
    </row>
    <row r="572" spans="3:4" x14ac:dyDescent="0.2">
      <c r="C572">
        <v>1481879.37</v>
      </c>
      <c r="D572" s="66">
        <v>391527.97</v>
      </c>
    </row>
    <row r="573" spans="3:4" x14ac:dyDescent="0.2">
      <c r="C573">
        <v>1524274.5699999989</v>
      </c>
      <c r="D573" s="66">
        <v>775367.57</v>
      </c>
    </row>
    <row r="574" spans="3:4" x14ac:dyDescent="0.2">
      <c r="C574">
        <v>1536181.9700000002</v>
      </c>
      <c r="D574" s="66">
        <v>499825.97</v>
      </c>
    </row>
    <row r="575" spans="3:4" x14ac:dyDescent="0.2">
      <c r="C575">
        <v>1544551.3699999992</v>
      </c>
      <c r="D575" s="66">
        <v>795644.37</v>
      </c>
    </row>
    <row r="576" spans="3:4" x14ac:dyDescent="0.2">
      <c r="C576">
        <v>1549410.9700000004</v>
      </c>
      <c r="D576" s="66">
        <v>836105.17</v>
      </c>
    </row>
    <row r="577" spans="3:4" x14ac:dyDescent="0.2">
      <c r="C577">
        <v>1569594.5700000003</v>
      </c>
      <c r="D577" s="66">
        <v>856288.77</v>
      </c>
    </row>
    <row r="578" spans="3:4" x14ac:dyDescent="0.2">
      <c r="C578">
        <v>1582622.7700000003</v>
      </c>
      <c r="D578" s="66">
        <v>546266.77</v>
      </c>
    </row>
    <row r="579" spans="3:4" x14ac:dyDescent="0.2">
      <c r="C579">
        <v>1584280.9700000002</v>
      </c>
      <c r="D579" s="66">
        <v>493929.57</v>
      </c>
    </row>
    <row r="580" spans="3:4" x14ac:dyDescent="0.2">
      <c r="C580">
        <v>1586480.7700000019</v>
      </c>
      <c r="D580" s="66">
        <v>797887.57</v>
      </c>
    </row>
    <row r="581" spans="3:4" x14ac:dyDescent="0.2">
      <c r="C581">
        <v>1594957.9699999983</v>
      </c>
      <c r="D581" s="66">
        <v>823341.17</v>
      </c>
    </row>
    <row r="582" spans="3:4" x14ac:dyDescent="0.2">
      <c r="C582">
        <v>1595497.5700000022</v>
      </c>
      <c r="D582" s="66">
        <v>806904.37</v>
      </c>
    </row>
    <row r="583" spans="3:4" x14ac:dyDescent="0.2">
      <c r="C583">
        <v>1599404.7700000003</v>
      </c>
      <c r="D583" s="66">
        <v>563048.77</v>
      </c>
    </row>
    <row r="584" spans="3:4" x14ac:dyDescent="0.2">
      <c r="C584">
        <v>1602381.9699999983</v>
      </c>
      <c r="D584" s="66">
        <v>830765.17</v>
      </c>
    </row>
    <row r="585" spans="3:4" x14ac:dyDescent="0.2">
      <c r="C585">
        <v>1605843.1700000004</v>
      </c>
      <c r="D585" s="66">
        <v>569487.17000000004</v>
      </c>
    </row>
    <row r="586" spans="3:4" x14ac:dyDescent="0.2">
      <c r="C586">
        <v>1629059.5700000003</v>
      </c>
      <c r="D586" s="66">
        <v>592703.56999999995</v>
      </c>
    </row>
    <row r="587" spans="3:4" x14ac:dyDescent="0.2">
      <c r="C587">
        <v>1633081.37</v>
      </c>
      <c r="D587" s="66">
        <v>542729.97</v>
      </c>
    </row>
    <row r="588" spans="3:4" x14ac:dyDescent="0.2">
      <c r="C588">
        <v>1648682.5700000003</v>
      </c>
      <c r="D588" s="66">
        <v>558331.17000000004</v>
      </c>
    </row>
    <row r="589" spans="3:4" x14ac:dyDescent="0.2">
      <c r="C589">
        <v>1657480.5700000003</v>
      </c>
      <c r="D589" s="66">
        <v>567129.17000000004</v>
      </c>
    </row>
    <row r="590" spans="3:4" x14ac:dyDescent="0.2">
      <c r="C590">
        <v>1681877.7700000003</v>
      </c>
      <c r="D590" s="66">
        <v>591526.37</v>
      </c>
    </row>
    <row r="591" spans="3:4" x14ac:dyDescent="0.2">
      <c r="C591">
        <v>1805842.7700000003</v>
      </c>
      <c r="D591" s="66">
        <v>769486.77</v>
      </c>
    </row>
    <row r="592" spans="3:4" x14ac:dyDescent="0.2">
      <c r="C592">
        <v>1829059.5700000003</v>
      </c>
      <c r="D592" s="66">
        <v>792703.57</v>
      </c>
    </row>
    <row r="593" spans="3:4" x14ac:dyDescent="0.2">
      <c r="C593">
        <v>1857480.5700000003</v>
      </c>
      <c r="D593" s="66">
        <v>767129.17</v>
      </c>
    </row>
    <row r="594" spans="3:4" x14ac:dyDescent="0.2">
      <c r="C594">
        <v>1881877.7700000003</v>
      </c>
      <c r="D594" s="66">
        <v>791526.37</v>
      </c>
    </row>
    <row r="595" spans="3:4" x14ac:dyDescent="0.2">
      <c r="C595">
        <v>1892997.7700000005</v>
      </c>
      <c r="D595" s="66">
        <v>192927.17</v>
      </c>
    </row>
    <row r="596" spans="3:4" x14ac:dyDescent="0.2">
      <c r="C596">
        <v>1981497.7700000005</v>
      </c>
      <c r="D596" s="66">
        <v>281427.17</v>
      </c>
    </row>
    <row r="597" spans="3:4" x14ac:dyDescent="0.2">
      <c r="C597">
        <v>2053000.1700000004</v>
      </c>
      <c r="D597" s="66">
        <v>352929.57</v>
      </c>
    </row>
    <row r="598" spans="3:4" x14ac:dyDescent="0.2">
      <c r="C598">
        <v>2084497.7700000005</v>
      </c>
      <c r="D598" s="66">
        <v>384427.17</v>
      </c>
    </row>
    <row r="599" spans="3:4" x14ac:dyDescent="0.2">
      <c r="C599">
        <v>2151406.9700000002</v>
      </c>
      <c r="D599" s="66">
        <v>220085.57</v>
      </c>
    </row>
    <row r="600" spans="3:4" x14ac:dyDescent="0.2">
      <c r="C600">
        <v>2158497.7700000005</v>
      </c>
      <c r="D600" s="66">
        <v>458427.17</v>
      </c>
    </row>
    <row r="601" spans="3:4" x14ac:dyDescent="0.2">
      <c r="C601">
        <v>2221499.3700000006</v>
      </c>
      <c r="D601" s="66">
        <v>521428.77</v>
      </c>
    </row>
    <row r="602" spans="3:4" x14ac:dyDescent="0.2">
      <c r="C602">
        <v>2230000.5700000003</v>
      </c>
      <c r="D602" s="66">
        <v>529929.97</v>
      </c>
    </row>
    <row r="603" spans="3:4" x14ac:dyDescent="0.2">
      <c r="C603">
        <v>2252998.5700000003</v>
      </c>
      <c r="D603" s="66">
        <v>552927.97</v>
      </c>
    </row>
    <row r="604" spans="3:4" x14ac:dyDescent="0.2">
      <c r="C604">
        <v>2253486.9700000002</v>
      </c>
      <c r="D604" s="66">
        <v>322165.57</v>
      </c>
    </row>
    <row r="605" spans="3:4" x14ac:dyDescent="0.2">
      <c r="C605">
        <v>2284495.7700000005</v>
      </c>
      <c r="D605" s="66">
        <v>584425.17000000004</v>
      </c>
    </row>
    <row r="606" spans="3:4" x14ac:dyDescent="0.2">
      <c r="C606">
        <v>2311408.5700000003</v>
      </c>
      <c r="D606" s="66">
        <v>380087.17</v>
      </c>
    </row>
    <row r="607" spans="3:4" x14ac:dyDescent="0.2">
      <c r="C607">
        <v>2329326.9700000002</v>
      </c>
      <c r="D607" s="66">
        <v>398005.57</v>
      </c>
    </row>
    <row r="608" spans="3:4" x14ac:dyDescent="0.2">
      <c r="C608">
        <v>2452998.9700000007</v>
      </c>
      <c r="D608" s="66">
        <v>752928.37</v>
      </c>
    </row>
    <row r="609" spans="2:4" x14ac:dyDescent="0.2">
      <c r="C609">
        <v>2457646.9700000002</v>
      </c>
      <c r="D609" s="66">
        <v>526325.56999999995</v>
      </c>
    </row>
    <row r="610" spans="2:4" x14ac:dyDescent="0.2">
      <c r="C610">
        <v>2484495.7700000005</v>
      </c>
      <c r="D610" s="66">
        <v>784425.17</v>
      </c>
    </row>
    <row r="611" spans="2:4" x14ac:dyDescent="0.2">
      <c r="C611">
        <v>2493486.5700000003</v>
      </c>
      <c r="D611" s="66">
        <v>562165.17000000004</v>
      </c>
    </row>
    <row r="612" spans="2:4" x14ac:dyDescent="0.2">
      <c r="C612">
        <v>2511406.1700000004</v>
      </c>
      <c r="D612" s="66">
        <v>580084.77</v>
      </c>
    </row>
    <row r="613" spans="2:4" x14ac:dyDescent="0.2">
      <c r="C613">
        <v>2515567.37</v>
      </c>
      <c r="D613" s="66">
        <v>584245.97</v>
      </c>
    </row>
    <row r="614" spans="2:4" x14ac:dyDescent="0.2">
      <c r="C614">
        <v>2529323.7700000005</v>
      </c>
      <c r="D614" s="66">
        <v>598002.37</v>
      </c>
    </row>
    <row r="615" spans="2:4" x14ac:dyDescent="0.2">
      <c r="C615">
        <v>2711405.7700000005</v>
      </c>
      <c r="D615" s="66">
        <v>780084.37</v>
      </c>
    </row>
    <row r="616" spans="2:4" x14ac:dyDescent="0.2">
      <c r="C616">
        <v>2729323.7700000005</v>
      </c>
      <c r="D616" s="66">
        <v>798002.37</v>
      </c>
    </row>
    <row r="617" spans="2:4" x14ac:dyDescent="0.2">
      <c r="B617" t="s">
        <v>26</v>
      </c>
      <c r="D617" s="66">
        <v>533976.81983164884</v>
      </c>
    </row>
    <row r="618" spans="2:4" x14ac:dyDescent="0.2">
      <c r="B618">
        <v>5</v>
      </c>
      <c r="C618">
        <v>645340.37000000023</v>
      </c>
      <c r="D618" s="66">
        <v>315927.57</v>
      </c>
    </row>
    <row r="619" spans="2:4" x14ac:dyDescent="0.2">
      <c r="C619">
        <v>845339.5700000003</v>
      </c>
      <c r="D619" s="66">
        <v>515926.77</v>
      </c>
    </row>
    <row r="620" spans="2:4" x14ac:dyDescent="0.2">
      <c r="C620">
        <v>876012.17000000412</v>
      </c>
      <c r="D620" s="66">
        <v>331469.17</v>
      </c>
    </row>
    <row r="621" spans="2:4" x14ac:dyDescent="0.2">
      <c r="C621">
        <v>885337.5700000003</v>
      </c>
      <c r="D621" s="66">
        <v>555924.77</v>
      </c>
    </row>
    <row r="622" spans="2:4" x14ac:dyDescent="0.2">
      <c r="C622">
        <v>900268.77</v>
      </c>
      <c r="D622" s="66">
        <v>438689.97</v>
      </c>
    </row>
    <row r="623" spans="2:4" x14ac:dyDescent="0.2">
      <c r="C623">
        <v>905337.5700000003</v>
      </c>
      <c r="D623" s="66">
        <v>575924.77</v>
      </c>
    </row>
    <row r="624" spans="2:4" x14ac:dyDescent="0.2">
      <c r="C624">
        <v>925337.5700000003</v>
      </c>
      <c r="D624" s="66">
        <v>595924.77</v>
      </c>
    </row>
    <row r="625" spans="3:4" x14ac:dyDescent="0.2">
      <c r="C625">
        <v>944254.56999999972</v>
      </c>
      <c r="D625" s="66">
        <v>317248.37</v>
      </c>
    </row>
    <row r="626" spans="3:4" x14ac:dyDescent="0.2">
      <c r="C626">
        <v>944934.56999999727</v>
      </c>
      <c r="D626" s="66">
        <v>309447.57</v>
      </c>
    </row>
    <row r="627" spans="3:4" x14ac:dyDescent="0.2">
      <c r="C627">
        <v>948216.57000000495</v>
      </c>
      <c r="D627" s="66">
        <v>364108.37</v>
      </c>
    </row>
    <row r="628" spans="3:4" x14ac:dyDescent="0.2">
      <c r="C628">
        <v>957651.37000000337</v>
      </c>
      <c r="D628" s="66">
        <v>332011.57</v>
      </c>
    </row>
    <row r="629" spans="3:4" x14ac:dyDescent="0.2">
      <c r="C629">
        <v>1018545.5700000012</v>
      </c>
      <c r="D629" s="66">
        <v>450807.97</v>
      </c>
    </row>
    <row r="630" spans="3:4" x14ac:dyDescent="0.2">
      <c r="C630">
        <v>1046547.5700000038</v>
      </c>
      <c r="D630" s="66">
        <v>359968.77</v>
      </c>
    </row>
    <row r="631" spans="3:4" x14ac:dyDescent="0.2">
      <c r="C631">
        <v>1085906.57</v>
      </c>
      <c r="D631" s="66">
        <v>302369.17</v>
      </c>
    </row>
    <row r="632" spans="3:4" x14ac:dyDescent="0.2">
      <c r="C632">
        <v>1086370.9700000039</v>
      </c>
      <c r="D632" s="66">
        <v>541827.97</v>
      </c>
    </row>
    <row r="633" spans="3:4" x14ac:dyDescent="0.2">
      <c r="C633">
        <v>1098426.77</v>
      </c>
      <c r="D633" s="66">
        <v>636847.97</v>
      </c>
    </row>
    <row r="634" spans="3:4" x14ac:dyDescent="0.2">
      <c r="C634">
        <v>1105337.9700000002</v>
      </c>
      <c r="D634" s="66">
        <v>775925.17</v>
      </c>
    </row>
    <row r="635" spans="3:4" x14ac:dyDescent="0.2">
      <c r="C635">
        <v>1116009.7700000042</v>
      </c>
      <c r="D635" s="66">
        <v>571466.77</v>
      </c>
    </row>
    <row r="636" spans="3:4" x14ac:dyDescent="0.2">
      <c r="C636">
        <v>1119346.77</v>
      </c>
      <c r="D636" s="66">
        <v>657767.97</v>
      </c>
    </row>
    <row r="637" spans="3:4" x14ac:dyDescent="0.2">
      <c r="C637">
        <v>1125334.7700000003</v>
      </c>
      <c r="D637" s="66">
        <v>795921.97</v>
      </c>
    </row>
    <row r="638" spans="3:4" x14ac:dyDescent="0.2">
      <c r="C638">
        <v>1130829.7700000042</v>
      </c>
      <c r="D638" s="66">
        <v>586286.77</v>
      </c>
    </row>
    <row r="639" spans="3:4" x14ac:dyDescent="0.2">
      <c r="C639">
        <v>1140266.77</v>
      </c>
      <c r="D639" s="66">
        <v>678687.97</v>
      </c>
    </row>
    <row r="640" spans="3:4" x14ac:dyDescent="0.2">
      <c r="C640">
        <v>1140614.1699999971</v>
      </c>
      <c r="D640" s="66">
        <v>505127.17</v>
      </c>
    </row>
    <row r="641" spans="3:4" x14ac:dyDescent="0.2">
      <c r="C641">
        <v>1145133.3699999996</v>
      </c>
      <c r="D641" s="66">
        <v>518127.17</v>
      </c>
    </row>
    <row r="642" spans="3:4" x14ac:dyDescent="0.2">
      <c r="C642">
        <v>1145649.7700000042</v>
      </c>
      <c r="D642" s="66">
        <v>601106.77</v>
      </c>
    </row>
    <row r="643" spans="3:4" x14ac:dyDescent="0.2">
      <c r="C643">
        <v>1153954.5700000031</v>
      </c>
      <c r="D643" s="66">
        <v>343769.97</v>
      </c>
    </row>
    <row r="644" spans="3:4" x14ac:dyDescent="0.2">
      <c r="C644">
        <v>1168369.7700000033</v>
      </c>
      <c r="D644" s="66">
        <v>542729.97</v>
      </c>
    </row>
    <row r="645" spans="3:4" x14ac:dyDescent="0.2">
      <c r="C645">
        <v>1180336.170000005</v>
      </c>
      <c r="D645" s="66">
        <v>596227.97</v>
      </c>
    </row>
    <row r="646" spans="3:4" x14ac:dyDescent="0.2">
      <c r="C646">
        <v>1182108.77</v>
      </c>
      <c r="D646" s="66">
        <v>720529.97</v>
      </c>
    </row>
    <row r="647" spans="3:4" x14ac:dyDescent="0.2">
      <c r="C647">
        <v>1184251.7699999996</v>
      </c>
      <c r="D647" s="66">
        <v>557245.56999999995</v>
      </c>
    </row>
    <row r="648" spans="3:4" x14ac:dyDescent="0.2">
      <c r="C648">
        <v>1184933.3699999973</v>
      </c>
      <c r="D648" s="66">
        <v>549446.37</v>
      </c>
    </row>
    <row r="649" spans="3:4" x14ac:dyDescent="0.2">
      <c r="C649">
        <v>1188215.370000005</v>
      </c>
      <c r="D649" s="66">
        <v>604107.17000000004</v>
      </c>
    </row>
    <row r="650" spans="3:4" x14ac:dyDescent="0.2">
      <c r="C650">
        <v>1192155.370000005</v>
      </c>
      <c r="D650" s="66">
        <v>608047.17000000004</v>
      </c>
    </row>
    <row r="651" spans="3:4" x14ac:dyDescent="0.2">
      <c r="C651">
        <v>1192350.7699999968</v>
      </c>
      <c r="D651" s="66">
        <v>283767.96999999997</v>
      </c>
    </row>
    <row r="652" spans="3:4" x14ac:dyDescent="0.2">
      <c r="C652">
        <v>1196095.370000005</v>
      </c>
      <c r="D652" s="66">
        <v>611987.17000000004</v>
      </c>
    </row>
    <row r="653" spans="3:4" x14ac:dyDescent="0.2">
      <c r="C653">
        <v>1197648.5700000033</v>
      </c>
      <c r="D653" s="66">
        <v>572008.77</v>
      </c>
    </row>
    <row r="654" spans="3:4" x14ac:dyDescent="0.2">
      <c r="C654">
        <v>1203811.7699999996</v>
      </c>
      <c r="D654" s="66">
        <v>576805.56999999995</v>
      </c>
    </row>
    <row r="655" spans="3:4" x14ac:dyDescent="0.2">
      <c r="C655">
        <v>1207093.3699999973</v>
      </c>
      <c r="D655" s="66">
        <v>571606.37</v>
      </c>
    </row>
    <row r="656" spans="3:4" x14ac:dyDescent="0.2">
      <c r="C656">
        <v>1208624.3700000013</v>
      </c>
      <c r="D656" s="66">
        <v>640886.77</v>
      </c>
    </row>
    <row r="657" spans="3:4" x14ac:dyDescent="0.2">
      <c r="C657">
        <v>1212288.5700000033</v>
      </c>
      <c r="D657" s="66">
        <v>586648.77</v>
      </c>
    </row>
    <row r="658" spans="3:4" x14ac:dyDescent="0.2">
      <c r="C658">
        <v>1223371.7699999996</v>
      </c>
      <c r="D658" s="66">
        <v>596365.56999999995</v>
      </c>
    </row>
    <row r="659" spans="3:4" x14ac:dyDescent="0.2">
      <c r="C659">
        <v>1223404.3700000013</v>
      </c>
      <c r="D659" s="66">
        <v>452249.17</v>
      </c>
    </row>
    <row r="660" spans="3:4" x14ac:dyDescent="0.2">
      <c r="C660">
        <v>1223846.7700000019</v>
      </c>
      <c r="D660" s="66">
        <v>286348.77</v>
      </c>
    </row>
    <row r="661" spans="3:4" x14ac:dyDescent="0.2">
      <c r="C661">
        <v>1226928.5700000033</v>
      </c>
      <c r="D661" s="66">
        <v>601288.77</v>
      </c>
    </row>
    <row r="662" spans="3:4" x14ac:dyDescent="0.2">
      <c r="C662">
        <v>1229253.3699999973</v>
      </c>
      <c r="D662" s="66">
        <v>593766.37</v>
      </c>
    </row>
    <row r="663" spans="3:4" x14ac:dyDescent="0.2">
      <c r="C663">
        <v>1233584.3700000013</v>
      </c>
      <c r="D663" s="66">
        <v>665846.77</v>
      </c>
    </row>
    <row r="664" spans="3:4" x14ac:dyDescent="0.2">
      <c r="C664">
        <v>1258544.3700000013</v>
      </c>
      <c r="D664" s="66">
        <v>690806.77</v>
      </c>
    </row>
    <row r="665" spans="3:4" x14ac:dyDescent="0.2">
      <c r="C665">
        <v>1271697.5700000024</v>
      </c>
      <c r="D665" s="66">
        <v>470009.17</v>
      </c>
    </row>
    <row r="666" spans="3:4" x14ac:dyDescent="0.2">
      <c r="C666">
        <v>1275906.7700000037</v>
      </c>
      <c r="D666" s="66">
        <v>589327.97</v>
      </c>
    </row>
    <row r="667" spans="3:4" x14ac:dyDescent="0.2">
      <c r="C667">
        <v>1276865.77</v>
      </c>
      <c r="D667" s="66">
        <v>493328.37</v>
      </c>
    </row>
    <row r="668" spans="3:4" x14ac:dyDescent="0.2">
      <c r="C668">
        <v>1284740.3699999962</v>
      </c>
      <c r="D668" s="66">
        <v>448709.57</v>
      </c>
    </row>
    <row r="669" spans="3:4" x14ac:dyDescent="0.2">
      <c r="C669">
        <v>1286545.9700000039</v>
      </c>
      <c r="D669" s="66">
        <v>599967.17000000004</v>
      </c>
    </row>
    <row r="670" spans="3:4" x14ac:dyDescent="0.2">
      <c r="C670">
        <v>1291865.9700000039</v>
      </c>
      <c r="D670" s="66">
        <v>605287.17000000004</v>
      </c>
    </row>
    <row r="671" spans="3:4" x14ac:dyDescent="0.2">
      <c r="C671">
        <v>1297185.9700000039</v>
      </c>
      <c r="D671" s="66">
        <v>610607.17000000004</v>
      </c>
    </row>
    <row r="672" spans="3:4" x14ac:dyDescent="0.2">
      <c r="C672">
        <v>1298423.1700000002</v>
      </c>
      <c r="D672" s="66">
        <v>836844.37</v>
      </c>
    </row>
    <row r="673" spans="3:4" x14ac:dyDescent="0.2">
      <c r="C673">
        <v>1308465.9700000011</v>
      </c>
      <c r="D673" s="66">
        <v>740728.37</v>
      </c>
    </row>
    <row r="674" spans="3:4" x14ac:dyDescent="0.2">
      <c r="C674">
        <v>1319345.57</v>
      </c>
      <c r="D674" s="66">
        <v>857766.77</v>
      </c>
    </row>
    <row r="675" spans="3:4" x14ac:dyDescent="0.2">
      <c r="C675">
        <v>1325904.1700000002</v>
      </c>
      <c r="D675" s="66">
        <v>542366.77</v>
      </c>
    </row>
    <row r="676" spans="3:4" x14ac:dyDescent="0.2">
      <c r="C676">
        <v>1329046.9700000016</v>
      </c>
      <c r="D676" s="66">
        <v>459929.17</v>
      </c>
    </row>
    <row r="677" spans="3:4" x14ac:dyDescent="0.2">
      <c r="C677">
        <v>1330829.3700000041</v>
      </c>
      <c r="D677" s="66">
        <v>786286.37</v>
      </c>
    </row>
    <row r="678" spans="3:4" x14ac:dyDescent="0.2">
      <c r="C678">
        <v>1345647.3700000041</v>
      </c>
      <c r="D678" s="66">
        <v>801104.37</v>
      </c>
    </row>
    <row r="679" spans="3:4" x14ac:dyDescent="0.2">
      <c r="C679">
        <v>1350424.1700000002</v>
      </c>
      <c r="D679" s="66">
        <v>566886.77</v>
      </c>
    </row>
    <row r="680" spans="3:4" x14ac:dyDescent="0.2">
      <c r="C680">
        <v>1363967.1699999946</v>
      </c>
      <c r="D680" s="66">
        <v>478589.57</v>
      </c>
    </row>
    <row r="681" spans="3:4" x14ac:dyDescent="0.2">
      <c r="C681">
        <v>1370909.5699999968</v>
      </c>
      <c r="D681" s="66">
        <v>462326.77</v>
      </c>
    </row>
    <row r="682" spans="3:4" x14ac:dyDescent="0.2">
      <c r="C682">
        <v>1372512.9700000032</v>
      </c>
      <c r="D682" s="66">
        <v>562328.37</v>
      </c>
    </row>
    <row r="683" spans="3:4" x14ac:dyDescent="0.2">
      <c r="C683">
        <v>1374944.1700000002</v>
      </c>
      <c r="D683" s="66">
        <v>591406.77</v>
      </c>
    </row>
    <row r="684" spans="3:4" x14ac:dyDescent="0.2">
      <c r="C684">
        <v>1392154.9700000049</v>
      </c>
      <c r="D684" s="66">
        <v>808046.77</v>
      </c>
    </row>
    <row r="685" spans="3:4" x14ac:dyDescent="0.2">
      <c r="C685">
        <v>1393951.7700000033</v>
      </c>
      <c r="D685" s="66">
        <v>583767.17000000004</v>
      </c>
    </row>
    <row r="686" spans="3:4" x14ac:dyDescent="0.2">
      <c r="C686">
        <v>1396094.9700000049</v>
      </c>
      <c r="D686" s="66">
        <v>811986.77</v>
      </c>
    </row>
    <row r="687" spans="3:4" x14ac:dyDescent="0.2">
      <c r="C687">
        <v>1403811.3699999996</v>
      </c>
      <c r="D687" s="66">
        <v>776805.17</v>
      </c>
    </row>
    <row r="688" spans="3:4" x14ac:dyDescent="0.2">
      <c r="C688">
        <v>1404126.370000002</v>
      </c>
      <c r="D688" s="66">
        <v>466628.37</v>
      </c>
    </row>
    <row r="689" spans="3:4" x14ac:dyDescent="0.2">
      <c r="C689">
        <v>1404671.7700000033</v>
      </c>
      <c r="D689" s="66">
        <v>594487.17000000004</v>
      </c>
    </row>
    <row r="690" spans="3:4" x14ac:dyDescent="0.2">
      <c r="C690">
        <v>1407091.7699999972</v>
      </c>
      <c r="D690" s="66">
        <v>771604.77</v>
      </c>
    </row>
    <row r="691" spans="3:4" x14ac:dyDescent="0.2">
      <c r="C691">
        <v>1408620.3700000013</v>
      </c>
      <c r="D691" s="66">
        <v>840882.77</v>
      </c>
    </row>
    <row r="692" spans="3:4" x14ac:dyDescent="0.2">
      <c r="C692">
        <v>1412287.7700000033</v>
      </c>
      <c r="D692" s="66">
        <v>786647.97</v>
      </c>
    </row>
    <row r="693" spans="3:4" x14ac:dyDescent="0.2">
      <c r="C693">
        <v>1412522.7700000014</v>
      </c>
      <c r="D693" s="66">
        <v>641367.56999999995</v>
      </c>
    </row>
    <row r="694" spans="3:4" x14ac:dyDescent="0.2">
      <c r="C694">
        <v>1415391.7700000033</v>
      </c>
      <c r="D694" s="66">
        <v>605207.17000000004</v>
      </c>
    </row>
    <row r="695" spans="3:4" x14ac:dyDescent="0.2">
      <c r="C695">
        <v>1423368.9699999997</v>
      </c>
      <c r="D695" s="66">
        <v>796362.77</v>
      </c>
    </row>
    <row r="696" spans="3:4" x14ac:dyDescent="0.2">
      <c r="C696">
        <v>1426925.3700000034</v>
      </c>
      <c r="D696" s="66">
        <v>801285.57</v>
      </c>
    </row>
    <row r="697" spans="3:4" x14ac:dyDescent="0.2">
      <c r="C697">
        <v>1429250.1699999971</v>
      </c>
      <c r="D697" s="66">
        <v>793763.17</v>
      </c>
    </row>
    <row r="698" spans="3:4" x14ac:dyDescent="0.2">
      <c r="C698">
        <v>1432349.1699999967</v>
      </c>
      <c r="D698" s="66">
        <v>523766.37</v>
      </c>
    </row>
    <row r="699" spans="3:4" x14ac:dyDescent="0.2">
      <c r="C699">
        <v>1433582.7700000014</v>
      </c>
      <c r="D699" s="66">
        <v>865845.17</v>
      </c>
    </row>
    <row r="700" spans="3:4" x14ac:dyDescent="0.2">
      <c r="C700">
        <v>1437962.7700000014</v>
      </c>
      <c r="D700" s="66">
        <v>666807.56999999995</v>
      </c>
    </row>
    <row r="701" spans="3:4" x14ac:dyDescent="0.2">
      <c r="C701">
        <v>1440288.5700000003</v>
      </c>
      <c r="D701" s="66">
        <v>307529.17</v>
      </c>
    </row>
    <row r="702" spans="3:4" x14ac:dyDescent="0.2">
      <c r="C702">
        <v>1440599.37</v>
      </c>
      <c r="D702" s="66">
        <v>370831.57</v>
      </c>
    </row>
    <row r="703" spans="3:4" x14ac:dyDescent="0.2">
      <c r="C703">
        <v>1448975.9700000025</v>
      </c>
      <c r="D703" s="66">
        <v>647287.56999999995</v>
      </c>
    </row>
    <row r="704" spans="3:4" x14ac:dyDescent="0.2">
      <c r="C704">
        <v>1463069.1699999967</v>
      </c>
      <c r="D704" s="66">
        <v>554486.37</v>
      </c>
    </row>
    <row r="705" spans="3:4" x14ac:dyDescent="0.2">
      <c r="C705">
        <v>1463402.7700000014</v>
      </c>
      <c r="D705" s="66">
        <v>692247.57</v>
      </c>
    </row>
    <row r="706" spans="3:4" x14ac:dyDescent="0.2">
      <c r="C706">
        <v>1463844.370000002</v>
      </c>
      <c r="D706" s="66">
        <v>526346.37</v>
      </c>
    </row>
    <row r="707" spans="3:4" x14ac:dyDescent="0.2">
      <c r="C707">
        <v>1476218.3699999962</v>
      </c>
      <c r="D707" s="66">
        <v>640187.56999999995</v>
      </c>
    </row>
    <row r="708" spans="3:4" x14ac:dyDescent="0.2">
      <c r="C708">
        <v>1480335.9700000025</v>
      </c>
      <c r="D708" s="66">
        <v>678647.57</v>
      </c>
    </row>
    <row r="709" spans="3:4" x14ac:dyDescent="0.2">
      <c r="C709">
        <v>1491863.9700000039</v>
      </c>
      <c r="D709" s="66">
        <v>805285.17</v>
      </c>
    </row>
    <row r="710" spans="3:4" x14ac:dyDescent="0.2">
      <c r="C710">
        <v>1493704.370000002</v>
      </c>
      <c r="D710" s="66">
        <v>556206.37</v>
      </c>
    </row>
    <row r="711" spans="3:4" x14ac:dyDescent="0.2">
      <c r="C711">
        <v>1493789.1699999967</v>
      </c>
      <c r="D711" s="66">
        <v>585206.37</v>
      </c>
    </row>
    <row r="712" spans="3:4" x14ac:dyDescent="0.2">
      <c r="C712">
        <v>1497181.9700000039</v>
      </c>
      <c r="D712" s="66">
        <v>810603.17</v>
      </c>
    </row>
    <row r="713" spans="3:4" x14ac:dyDescent="0.2">
      <c r="C713">
        <v>1500478.3699999962</v>
      </c>
      <c r="D713" s="66">
        <v>664447.56999999995</v>
      </c>
    </row>
    <row r="714" spans="3:4" x14ac:dyDescent="0.2">
      <c r="C714">
        <v>1511695.9700000025</v>
      </c>
      <c r="D714" s="66">
        <v>710007.57</v>
      </c>
    </row>
    <row r="715" spans="3:4" x14ac:dyDescent="0.2">
      <c r="C715">
        <v>1513046.1700000018</v>
      </c>
      <c r="D715" s="66">
        <v>643928.37</v>
      </c>
    </row>
    <row r="716" spans="3:4" x14ac:dyDescent="0.2">
      <c r="C716">
        <v>1514283.9700000014</v>
      </c>
      <c r="D716" s="66">
        <v>743128.77</v>
      </c>
    </row>
    <row r="717" spans="3:4" x14ac:dyDescent="0.2">
      <c r="C717">
        <v>1523564.370000002</v>
      </c>
      <c r="D717" s="66">
        <v>586066.37</v>
      </c>
    </row>
    <row r="718" spans="3:4" x14ac:dyDescent="0.2">
      <c r="C718">
        <v>1524738.3699999962</v>
      </c>
      <c r="D718" s="66">
        <v>688707.57</v>
      </c>
    </row>
    <row r="719" spans="3:4" x14ac:dyDescent="0.2">
      <c r="C719">
        <v>1535523.5699999945</v>
      </c>
      <c r="D719" s="66">
        <v>650145.97</v>
      </c>
    </row>
    <row r="720" spans="3:4" x14ac:dyDescent="0.2">
      <c r="C720">
        <v>1540645.1699999995</v>
      </c>
      <c r="D720" s="66">
        <v>348446.77</v>
      </c>
    </row>
    <row r="721" spans="3:4" x14ac:dyDescent="0.2">
      <c r="C721">
        <v>1541046.1700000018</v>
      </c>
      <c r="D721" s="66">
        <v>671928.37</v>
      </c>
    </row>
    <row r="722" spans="3:4" x14ac:dyDescent="0.2">
      <c r="C722">
        <v>1550422.9700000002</v>
      </c>
      <c r="D722" s="66">
        <v>766885.57</v>
      </c>
    </row>
    <row r="723" spans="3:4" x14ac:dyDescent="0.2">
      <c r="C723">
        <v>1569046.1700000018</v>
      </c>
      <c r="D723" s="66">
        <v>699928.37</v>
      </c>
    </row>
    <row r="724" spans="3:4" x14ac:dyDescent="0.2">
      <c r="C724">
        <v>1569743.5699999945</v>
      </c>
      <c r="D724" s="66">
        <v>684365.97</v>
      </c>
    </row>
    <row r="725" spans="3:4" x14ac:dyDescent="0.2">
      <c r="C725">
        <v>1573260.7699999963</v>
      </c>
      <c r="D725" s="66">
        <v>737229.97</v>
      </c>
    </row>
    <row r="726" spans="3:4" x14ac:dyDescent="0.2">
      <c r="C726">
        <v>1574417.5700000026</v>
      </c>
      <c r="D726" s="66">
        <v>772729.17</v>
      </c>
    </row>
    <row r="727" spans="3:4" x14ac:dyDescent="0.2">
      <c r="C727">
        <v>1574942.9700000002</v>
      </c>
      <c r="D727" s="66">
        <v>791405.57</v>
      </c>
    </row>
    <row r="728" spans="3:4" x14ac:dyDescent="0.2">
      <c r="C728">
        <v>1603963.5699999945</v>
      </c>
      <c r="D728" s="66">
        <v>718585.97</v>
      </c>
    </row>
    <row r="729" spans="3:4" x14ac:dyDescent="0.2">
      <c r="C729">
        <v>1604546.1700000004</v>
      </c>
      <c r="D729" s="66">
        <v>312989.17</v>
      </c>
    </row>
    <row r="730" spans="3:4" x14ac:dyDescent="0.2">
      <c r="C730">
        <v>1604670.9700000032</v>
      </c>
      <c r="D730" s="66">
        <v>794486.37</v>
      </c>
    </row>
    <row r="731" spans="3:4" x14ac:dyDescent="0.2">
      <c r="C731">
        <v>1612519.1700000013</v>
      </c>
      <c r="D731" s="66">
        <v>841363.97</v>
      </c>
    </row>
    <row r="732" spans="3:4" x14ac:dyDescent="0.2">
      <c r="C732">
        <v>1615389.3700000034</v>
      </c>
      <c r="D732" s="66">
        <v>805204.77</v>
      </c>
    </row>
    <row r="733" spans="3:4" x14ac:dyDescent="0.2">
      <c r="C733">
        <v>1625046.9700000016</v>
      </c>
      <c r="D733" s="66">
        <v>755929.17</v>
      </c>
    </row>
    <row r="734" spans="3:4" x14ac:dyDescent="0.2">
      <c r="C734">
        <v>1634687.3700000003</v>
      </c>
      <c r="D734" s="66">
        <v>501927.97</v>
      </c>
    </row>
    <row r="735" spans="3:4" x14ac:dyDescent="0.2">
      <c r="C735">
        <v>1637961.9700000014</v>
      </c>
      <c r="D735" s="66">
        <v>866806.77</v>
      </c>
    </row>
    <row r="736" spans="3:4" x14ac:dyDescent="0.2">
      <c r="C736">
        <v>1648973.1700000025</v>
      </c>
      <c r="D736" s="66">
        <v>847284.77</v>
      </c>
    </row>
    <row r="737" spans="3:4" x14ac:dyDescent="0.2">
      <c r="C737">
        <v>1663067.5699999968</v>
      </c>
      <c r="D737" s="66">
        <v>754484.77</v>
      </c>
    </row>
    <row r="738" spans="3:4" x14ac:dyDescent="0.2">
      <c r="C738">
        <v>1672405.9699999946</v>
      </c>
      <c r="D738" s="66">
        <v>787028.37</v>
      </c>
    </row>
    <row r="739" spans="3:4" x14ac:dyDescent="0.2">
      <c r="C739">
        <v>1676215.5699999961</v>
      </c>
      <c r="D739" s="66">
        <v>840184.77</v>
      </c>
    </row>
    <row r="740" spans="3:4" x14ac:dyDescent="0.2">
      <c r="C740">
        <v>1677198.57</v>
      </c>
      <c r="D740" s="66">
        <v>607430.77</v>
      </c>
    </row>
    <row r="741" spans="3:4" x14ac:dyDescent="0.2">
      <c r="C741">
        <v>1680284.5700000003</v>
      </c>
      <c r="D741" s="66">
        <v>547525.17000000004</v>
      </c>
    </row>
    <row r="742" spans="3:4" x14ac:dyDescent="0.2">
      <c r="C742">
        <v>1680334.7700000023</v>
      </c>
      <c r="D742" s="66">
        <v>878646.37</v>
      </c>
    </row>
    <row r="743" spans="3:4" x14ac:dyDescent="0.2">
      <c r="C743">
        <v>1680596.57</v>
      </c>
      <c r="D743" s="66">
        <v>610828.77</v>
      </c>
    </row>
    <row r="744" spans="3:4" x14ac:dyDescent="0.2">
      <c r="C744">
        <v>1682296.57</v>
      </c>
      <c r="D744" s="66">
        <v>612528.77</v>
      </c>
    </row>
    <row r="745" spans="3:4" x14ac:dyDescent="0.2">
      <c r="C745">
        <v>1683996.57</v>
      </c>
      <c r="D745" s="66">
        <v>614228.77</v>
      </c>
    </row>
    <row r="746" spans="3:4" x14ac:dyDescent="0.2">
      <c r="C746">
        <v>1693703.9700000018</v>
      </c>
      <c r="D746" s="66">
        <v>756205.97</v>
      </c>
    </row>
    <row r="747" spans="3:4" x14ac:dyDescent="0.2">
      <c r="C747">
        <v>1693785.5699999968</v>
      </c>
      <c r="D747" s="66">
        <v>785202.77</v>
      </c>
    </row>
    <row r="748" spans="3:4" x14ac:dyDescent="0.2">
      <c r="C748">
        <v>1700477.5699999961</v>
      </c>
      <c r="D748" s="66">
        <v>864446.77</v>
      </c>
    </row>
    <row r="749" spans="3:4" x14ac:dyDescent="0.2">
      <c r="C749">
        <v>1703084.5700000003</v>
      </c>
      <c r="D749" s="66">
        <v>570325.17000000004</v>
      </c>
    </row>
    <row r="750" spans="3:4" x14ac:dyDescent="0.2">
      <c r="C750">
        <v>1713044.5700000017</v>
      </c>
      <c r="D750" s="66">
        <v>843926.77</v>
      </c>
    </row>
    <row r="751" spans="3:4" x14ac:dyDescent="0.2">
      <c r="C751">
        <v>1723563.9700000018</v>
      </c>
      <c r="D751" s="66">
        <v>786065.97</v>
      </c>
    </row>
    <row r="752" spans="3:4" x14ac:dyDescent="0.2">
      <c r="C752">
        <v>1724508.3700000003</v>
      </c>
      <c r="D752" s="66">
        <v>377068.77</v>
      </c>
    </row>
    <row r="753" spans="3:4" x14ac:dyDescent="0.2">
      <c r="C753">
        <v>1725884.5700000003</v>
      </c>
      <c r="D753" s="66">
        <v>593125.17000000004</v>
      </c>
    </row>
    <row r="754" spans="3:4" x14ac:dyDescent="0.2">
      <c r="C754">
        <v>1735520.7699999944</v>
      </c>
      <c r="D754" s="66">
        <v>850143.17</v>
      </c>
    </row>
    <row r="755" spans="3:4" x14ac:dyDescent="0.2">
      <c r="C755">
        <v>1741044.5700000017</v>
      </c>
      <c r="D755" s="66">
        <v>871926.77</v>
      </c>
    </row>
    <row r="756" spans="3:4" x14ac:dyDescent="0.2">
      <c r="C756">
        <v>1762323.5699999994</v>
      </c>
      <c r="D756" s="66">
        <v>570125.17000000004</v>
      </c>
    </row>
    <row r="757" spans="3:4" x14ac:dyDescent="0.2">
      <c r="C757">
        <v>1762539.7699999905</v>
      </c>
      <c r="D757" s="66">
        <v>372149.57</v>
      </c>
    </row>
    <row r="758" spans="3:4" x14ac:dyDescent="0.2">
      <c r="C758">
        <v>1769744.3699999945</v>
      </c>
      <c r="D758" s="66">
        <v>884366.77</v>
      </c>
    </row>
    <row r="759" spans="3:4" x14ac:dyDescent="0.2">
      <c r="C759">
        <v>1780643.9699999993</v>
      </c>
      <c r="D759" s="66">
        <v>588445.56999999995</v>
      </c>
    </row>
    <row r="760" spans="3:4" x14ac:dyDescent="0.2">
      <c r="C760">
        <v>1789803.9699999993</v>
      </c>
      <c r="D760" s="66">
        <v>597605.56999999995</v>
      </c>
    </row>
    <row r="761" spans="3:4" x14ac:dyDescent="0.2">
      <c r="C761">
        <v>1798963.9699999993</v>
      </c>
      <c r="D761" s="66">
        <v>606765.56999999995</v>
      </c>
    </row>
    <row r="762" spans="3:4" x14ac:dyDescent="0.2">
      <c r="C762">
        <v>1802584.5700000005</v>
      </c>
      <c r="D762" s="66">
        <v>511027.57</v>
      </c>
    </row>
    <row r="763" spans="3:4" x14ac:dyDescent="0.2">
      <c r="C763">
        <v>1808271.5700000101</v>
      </c>
      <c r="D763" s="66">
        <v>494069.57</v>
      </c>
    </row>
    <row r="764" spans="3:4" x14ac:dyDescent="0.2">
      <c r="C764">
        <v>1844542.9700000004</v>
      </c>
      <c r="D764" s="66">
        <v>552985.97</v>
      </c>
    </row>
    <row r="765" spans="3:4" x14ac:dyDescent="0.2">
      <c r="C765">
        <v>1865522.9700000004</v>
      </c>
      <c r="D765" s="66">
        <v>573965.97</v>
      </c>
    </row>
    <row r="766" spans="3:4" x14ac:dyDescent="0.2">
      <c r="C766">
        <v>1882296.57</v>
      </c>
      <c r="D766" s="66">
        <v>812528.77</v>
      </c>
    </row>
    <row r="767" spans="3:4" x14ac:dyDescent="0.2">
      <c r="C767">
        <v>1883992.57</v>
      </c>
      <c r="D767" s="66">
        <v>814224.77</v>
      </c>
    </row>
    <row r="768" spans="3:4" x14ac:dyDescent="0.2">
      <c r="C768">
        <v>1886502.9700000004</v>
      </c>
      <c r="D768" s="66">
        <v>594945.97</v>
      </c>
    </row>
    <row r="769" spans="3:4" x14ac:dyDescent="0.2">
      <c r="C769">
        <v>1903084.1700000004</v>
      </c>
      <c r="D769" s="66">
        <v>770324.77</v>
      </c>
    </row>
    <row r="770" spans="3:4" x14ac:dyDescent="0.2">
      <c r="C770">
        <v>1912866.5700000005</v>
      </c>
      <c r="D770" s="66">
        <v>356008.77</v>
      </c>
    </row>
    <row r="771" spans="3:4" x14ac:dyDescent="0.2">
      <c r="C771">
        <v>1925882.1700000004</v>
      </c>
      <c r="D771" s="66">
        <v>793122.77</v>
      </c>
    </row>
    <row r="772" spans="3:4" x14ac:dyDescent="0.2">
      <c r="C772">
        <v>1932870.9700000002</v>
      </c>
      <c r="D772" s="66">
        <v>369329.57</v>
      </c>
    </row>
    <row r="773" spans="3:4" x14ac:dyDescent="0.2">
      <c r="C773">
        <v>1963746.7700000005</v>
      </c>
      <c r="D773" s="66">
        <v>616307.17000000004</v>
      </c>
    </row>
    <row r="774" spans="3:4" x14ac:dyDescent="0.2">
      <c r="C774">
        <v>1964126.7700000005</v>
      </c>
      <c r="D774" s="66">
        <v>616687.17000000004</v>
      </c>
    </row>
    <row r="775" spans="3:4" x14ac:dyDescent="0.2">
      <c r="C775">
        <v>1964506.7700000005</v>
      </c>
      <c r="D775" s="66">
        <v>617067.17000000004</v>
      </c>
    </row>
    <row r="776" spans="3:4" x14ac:dyDescent="0.2">
      <c r="C776">
        <v>1965266.7700000005</v>
      </c>
      <c r="D776" s="66">
        <v>617827.17000000004</v>
      </c>
    </row>
    <row r="777" spans="3:4" x14ac:dyDescent="0.2">
      <c r="C777">
        <v>1969509.5700000101</v>
      </c>
      <c r="D777" s="66">
        <v>655307.56999999995</v>
      </c>
    </row>
    <row r="778" spans="3:4" x14ac:dyDescent="0.2">
      <c r="C778">
        <v>1989802.7699999996</v>
      </c>
      <c r="D778" s="66">
        <v>797604.37</v>
      </c>
    </row>
    <row r="779" spans="3:4" x14ac:dyDescent="0.2">
      <c r="C779">
        <v>1998961.5699999994</v>
      </c>
      <c r="D779" s="66">
        <v>806763.17</v>
      </c>
    </row>
    <row r="780" spans="3:4" x14ac:dyDescent="0.2">
      <c r="C780">
        <v>2000016.9699999904</v>
      </c>
      <c r="D780" s="66">
        <v>609626.77</v>
      </c>
    </row>
    <row r="781" spans="3:4" x14ac:dyDescent="0.2">
      <c r="C781">
        <v>2002536.1699999904</v>
      </c>
      <c r="D781" s="66">
        <v>612145.97</v>
      </c>
    </row>
    <row r="782" spans="3:4" x14ac:dyDescent="0.2">
      <c r="C782">
        <v>2003691.1700000002</v>
      </c>
      <c r="D782" s="66">
        <v>295587.57</v>
      </c>
    </row>
    <row r="783" spans="3:4" x14ac:dyDescent="0.2">
      <c r="C783">
        <v>2003796.1699999904</v>
      </c>
      <c r="D783" s="66">
        <v>613405.97</v>
      </c>
    </row>
    <row r="784" spans="3:4" x14ac:dyDescent="0.2">
      <c r="C784">
        <v>2005056.1699999904</v>
      </c>
      <c r="D784" s="66">
        <v>614665.97</v>
      </c>
    </row>
    <row r="785" spans="3:4" x14ac:dyDescent="0.2">
      <c r="C785">
        <v>2008889.5700000101</v>
      </c>
      <c r="D785" s="66">
        <v>694687.57</v>
      </c>
    </row>
    <row r="786" spans="3:4" x14ac:dyDescent="0.2">
      <c r="C786">
        <v>2034014.7699999996</v>
      </c>
      <c r="D786" s="66">
        <v>453627.97</v>
      </c>
    </row>
    <row r="787" spans="3:4" x14ac:dyDescent="0.2">
      <c r="C787">
        <v>2048269.5700000101</v>
      </c>
      <c r="D787" s="66">
        <v>734067.57</v>
      </c>
    </row>
    <row r="788" spans="3:4" x14ac:dyDescent="0.2">
      <c r="C788">
        <v>2049907.97</v>
      </c>
      <c r="D788" s="66">
        <v>350128.77</v>
      </c>
    </row>
    <row r="789" spans="3:4" x14ac:dyDescent="0.2">
      <c r="C789">
        <v>2065520.9700000004</v>
      </c>
      <c r="D789" s="66">
        <v>773963.97</v>
      </c>
    </row>
    <row r="790" spans="3:4" x14ac:dyDescent="0.2">
      <c r="C790">
        <v>2086500.5700000003</v>
      </c>
      <c r="D790" s="66">
        <v>794943.57</v>
      </c>
    </row>
    <row r="791" spans="3:4" x14ac:dyDescent="0.2">
      <c r="C791">
        <v>2127030.7700000098</v>
      </c>
      <c r="D791" s="66">
        <v>812828.77</v>
      </c>
    </row>
    <row r="792" spans="3:4" x14ac:dyDescent="0.2">
      <c r="C792">
        <v>2139586.1700000004</v>
      </c>
      <c r="D792" s="66">
        <v>582728.37</v>
      </c>
    </row>
    <row r="793" spans="3:4" x14ac:dyDescent="0.2">
      <c r="C793">
        <v>2152658.5699999994</v>
      </c>
      <c r="D793" s="66">
        <v>366087.57</v>
      </c>
    </row>
    <row r="794" spans="3:4" x14ac:dyDescent="0.2">
      <c r="C794">
        <v>2152866.1700000004</v>
      </c>
      <c r="D794" s="66">
        <v>596008.37</v>
      </c>
    </row>
    <row r="795" spans="3:4" x14ac:dyDescent="0.2">
      <c r="C795">
        <v>2159506.1700000004</v>
      </c>
      <c r="D795" s="66">
        <v>602648.37</v>
      </c>
    </row>
    <row r="796" spans="3:4" x14ac:dyDescent="0.2">
      <c r="C796">
        <v>2163743.1700000004</v>
      </c>
      <c r="D796" s="66">
        <v>816303.57</v>
      </c>
    </row>
    <row r="797" spans="3:4" x14ac:dyDescent="0.2">
      <c r="C797">
        <v>2164125.5700000003</v>
      </c>
      <c r="D797" s="66">
        <v>816685.97</v>
      </c>
    </row>
    <row r="798" spans="3:4" x14ac:dyDescent="0.2">
      <c r="C798">
        <v>2166146.1700000004</v>
      </c>
      <c r="D798" s="66">
        <v>609288.37</v>
      </c>
    </row>
    <row r="799" spans="3:4" x14ac:dyDescent="0.2">
      <c r="C799">
        <v>2168469.37</v>
      </c>
      <c r="D799" s="66">
        <v>604927.97</v>
      </c>
    </row>
    <row r="800" spans="3:4" x14ac:dyDescent="0.2">
      <c r="C800">
        <v>2169504.7700000098</v>
      </c>
      <c r="D800" s="66">
        <v>855302.77</v>
      </c>
    </row>
    <row r="801" spans="3:4" x14ac:dyDescent="0.2">
      <c r="C801">
        <v>2172869.37</v>
      </c>
      <c r="D801" s="66">
        <v>609327.97</v>
      </c>
    </row>
    <row r="802" spans="3:4" x14ac:dyDescent="0.2">
      <c r="C802">
        <v>2175069.37</v>
      </c>
      <c r="D802" s="66">
        <v>611527.97</v>
      </c>
    </row>
    <row r="803" spans="3:4" x14ac:dyDescent="0.2">
      <c r="C803">
        <v>2175675.9699999997</v>
      </c>
      <c r="D803" s="66">
        <v>414449.17</v>
      </c>
    </row>
    <row r="804" spans="3:4" x14ac:dyDescent="0.2">
      <c r="C804">
        <v>2177269.37</v>
      </c>
      <c r="D804" s="66">
        <v>613727.97</v>
      </c>
    </row>
    <row r="805" spans="3:4" x14ac:dyDescent="0.2">
      <c r="C805">
        <v>2190130.37</v>
      </c>
      <c r="D805" s="66">
        <v>482026.77</v>
      </c>
    </row>
    <row r="806" spans="3:4" x14ac:dyDescent="0.2">
      <c r="C806">
        <v>2203796.1699999906</v>
      </c>
      <c r="D806" s="66">
        <v>813405.97</v>
      </c>
    </row>
    <row r="807" spans="3:4" x14ac:dyDescent="0.2">
      <c r="C807">
        <v>2205056.1699999906</v>
      </c>
      <c r="D807" s="66">
        <v>814665.97</v>
      </c>
    </row>
    <row r="808" spans="3:4" x14ac:dyDescent="0.2">
      <c r="C808">
        <v>2208887.1700000102</v>
      </c>
      <c r="D808" s="66">
        <v>894685.17</v>
      </c>
    </row>
    <row r="809" spans="3:4" x14ac:dyDescent="0.2">
      <c r="C809">
        <v>2222211.5699999994</v>
      </c>
      <c r="D809" s="66">
        <v>641824.77</v>
      </c>
    </row>
    <row r="810" spans="3:4" x14ac:dyDescent="0.2">
      <c r="C810">
        <v>2243688.77</v>
      </c>
      <c r="D810" s="66">
        <v>535585.17000000004</v>
      </c>
    </row>
    <row r="811" spans="3:4" x14ac:dyDescent="0.2">
      <c r="C811">
        <v>2248111.5699999994</v>
      </c>
      <c r="D811" s="66">
        <v>667724.77</v>
      </c>
    </row>
    <row r="812" spans="3:4" x14ac:dyDescent="0.2">
      <c r="C812">
        <v>2270468.77</v>
      </c>
      <c r="D812" s="66">
        <v>562365.17000000004</v>
      </c>
    </row>
    <row r="813" spans="3:4" x14ac:dyDescent="0.2">
      <c r="C813">
        <v>2272706.77</v>
      </c>
      <c r="D813" s="66">
        <v>572927.56999999995</v>
      </c>
    </row>
    <row r="814" spans="3:4" x14ac:dyDescent="0.2">
      <c r="C814">
        <v>2274011.5699999994</v>
      </c>
      <c r="D814" s="66">
        <v>693624.77</v>
      </c>
    </row>
    <row r="815" spans="3:4" x14ac:dyDescent="0.2">
      <c r="C815">
        <v>2289905.9699999997</v>
      </c>
      <c r="D815" s="66">
        <v>590126.77</v>
      </c>
    </row>
    <row r="816" spans="3:4" x14ac:dyDescent="0.2">
      <c r="C816">
        <v>2297248.77</v>
      </c>
      <c r="D816" s="66">
        <v>589145.17000000004</v>
      </c>
    </row>
    <row r="817" spans="3:4" x14ac:dyDescent="0.2">
      <c r="C817">
        <v>2298505.9699999997</v>
      </c>
      <c r="D817" s="66">
        <v>598726.77</v>
      </c>
    </row>
    <row r="818" spans="3:4" x14ac:dyDescent="0.2">
      <c r="C818">
        <v>2307105.9699999997</v>
      </c>
      <c r="D818" s="66">
        <v>607326.77</v>
      </c>
    </row>
    <row r="819" spans="3:4" x14ac:dyDescent="0.2">
      <c r="C819">
        <v>2325738.1699999995</v>
      </c>
      <c r="D819" s="66">
        <v>352590.37</v>
      </c>
    </row>
    <row r="820" spans="3:4" x14ac:dyDescent="0.2">
      <c r="C820">
        <v>2325813.9699999997</v>
      </c>
      <c r="D820" s="66">
        <v>745427.17</v>
      </c>
    </row>
    <row r="821" spans="3:4" x14ac:dyDescent="0.2">
      <c r="C821">
        <v>2359505.3700000006</v>
      </c>
      <c r="D821" s="66">
        <v>802647.57</v>
      </c>
    </row>
    <row r="822" spans="3:4" x14ac:dyDescent="0.2">
      <c r="C822">
        <v>2362191.3700000094</v>
      </c>
      <c r="D822" s="66">
        <v>397467.57</v>
      </c>
    </row>
    <row r="823" spans="3:4" x14ac:dyDescent="0.2">
      <c r="C823">
        <v>2366145.3700000006</v>
      </c>
      <c r="D823" s="66">
        <v>809287.57</v>
      </c>
    </row>
    <row r="824" spans="3:4" x14ac:dyDescent="0.2">
      <c r="C824">
        <v>2369448.1699999897</v>
      </c>
      <c r="D824" s="66">
        <v>374548.37</v>
      </c>
    </row>
    <row r="825" spans="3:4" x14ac:dyDescent="0.2">
      <c r="C825">
        <v>2375068.17</v>
      </c>
      <c r="D825" s="66">
        <v>811526.77</v>
      </c>
    </row>
    <row r="826" spans="3:4" x14ac:dyDescent="0.2">
      <c r="C826">
        <v>2377266.5700000003</v>
      </c>
      <c r="D826" s="66">
        <v>813725.17</v>
      </c>
    </row>
    <row r="827" spans="3:4" x14ac:dyDescent="0.2">
      <c r="C827">
        <v>2386098.5699999994</v>
      </c>
      <c r="D827" s="66">
        <v>599527.56999999995</v>
      </c>
    </row>
    <row r="828" spans="3:4" x14ac:dyDescent="0.2">
      <c r="C828">
        <v>2389993.5699999994</v>
      </c>
      <c r="D828" s="66">
        <v>628766.77</v>
      </c>
    </row>
    <row r="829" spans="3:4" x14ac:dyDescent="0.2">
      <c r="C829">
        <v>2392656.5699999994</v>
      </c>
      <c r="D829" s="66">
        <v>606085.56999999995</v>
      </c>
    </row>
    <row r="830" spans="3:4" x14ac:dyDescent="0.2">
      <c r="C830">
        <v>2395936.5699999994</v>
      </c>
      <c r="D830" s="66">
        <v>609365.56999999995</v>
      </c>
    </row>
    <row r="831" spans="3:4" x14ac:dyDescent="0.2">
      <c r="C831">
        <v>2399216.5699999994</v>
      </c>
      <c r="D831" s="66">
        <v>612645.56999999995</v>
      </c>
    </row>
    <row r="832" spans="3:4" x14ac:dyDescent="0.2">
      <c r="C832">
        <v>2402833.5699999994</v>
      </c>
      <c r="D832" s="66">
        <v>641606.77</v>
      </c>
    </row>
    <row r="833" spans="3:4" x14ac:dyDescent="0.2">
      <c r="C833">
        <v>2415673.5699999994</v>
      </c>
      <c r="D833" s="66">
        <v>654446.77</v>
      </c>
    </row>
    <row r="834" spans="3:4" x14ac:dyDescent="0.2">
      <c r="C834">
        <v>2422209.1699999995</v>
      </c>
      <c r="D834" s="66">
        <v>841822.37</v>
      </c>
    </row>
    <row r="835" spans="3:4" x14ac:dyDescent="0.2">
      <c r="C835">
        <v>2441354.7699999996</v>
      </c>
      <c r="D835" s="66">
        <v>680127.97</v>
      </c>
    </row>
    <row r="836" spans="3:4" x14ac:dyDescent="0.2">
      <c r="C836">
        <v>2448112.3699999996</v>
      </c>
      <c r="D836" s="66">
        <v>867725.57</v>
      </c>
    </row>
    <row r="837" spans="3:4" x14ac:dyDescent="0.2">
      <c r="C837">
        <v>2470468.37</v>
      </c>
      <c r="D837" s="66">
        <v>762364.77</v>
      </c>
    </row>
    <row r="838" spans="3:4" x14ac:dyDescent="0.2">
      <c r="C838">
        <v>2497248.37</v>
      </c>
      <c r="D838" s="66">
        <v>789144.77</v>
      </c>
    </row>
    <row r="839" spans="3:4" x14ac:dyDescent="0.2">
      <c r="C839">
        <v>2498505.17</v>
      </c>
      <c r="D839" s="66">
        <v>798725.97</v>
      </c>
    </row>
    <row r="840" spans="3:4" x14ac:dyDescent="0.2">
      <c r="C840">
        <v>2507102.77</v>
      </c>
      <c r="D840" s="66">
        <v>807323.57</v>
      </c>
    </row>
    <row r="841" spans="3:4" x14ac:dyDescent="0.2">
      <c r="C841">
        <v>2550176.5699999994</v>
      </c>
      <c r="D841" s="66">
        <v>577028.77</v>
      </c>
    </row>
    <row r="842" spans="3:4" x14ac:dyDescent="0.2">
      <c r="C842">
        <v>2565736.5699999994</v>
      </c>
      <c r="D842" s="66">
        <v>592588.77</v>
      </c>
    </row>
    <row r="843" spans="3:4" x14ac:dyDescent="0.2">
      <c r="C843">
        <v>2570691.5700000008</v>
      </c>
      <c r="D843" s="66">
        <v>384750.37</v>
      </c>
    </row>
    <row r="844" spans="3:4" x14ac:dyDescent="0.2">
      <c r="C844">
        <v>2570809.9700000091</v>
      </c>
      <c r="D844" s="66">
        <v>387327.97</v>
      </c>
    </row>
    <row r="845" spans="3:4" x14ac:dyDescent="0.2">
      <c r="C845">
        <v>2573516.5699999994</v>
      </c>
      <c r="D845" s="66">
        <v>600368.77</v>
      </c>
    </row>
    <row r="846" spans="3:4" x14ac:dyDescent="0.2">
      <c r="C846">
        <v>2581296.5699999994</v>
      </c>
      <c r="D846" s="66">
        <v>608148.77</v>
      </c>
    </row>
    <row r="847" spans="3:4" x14ac:dyDescent="0.2">
      <c r="C847">
        <v>2587830.5700000096</v>
      </c>
      <c r="D847" s="66">
        <v>623106.77</v>
      </c>
    </row>
    <row r="848" spans="3:4" x14ac:dyDescent="0.2">
      <c r="C848">
        <v>2589990.7699999996</v>
      </c>
      <c r="D848" s="66">
        <v>828763.97</v>
      </c>
    </row>
    <row r="849" spans="3:4" x14ac:dyDescent="0.2">
      <c r="C849">
        <v>2595010.5700000096</v>
      </c>
      <c r="D849" s="66">
        <v>630286.77</v>
      </c>
    </row>
    <row r="850" spans="3:4" x14ac:dyDescent="0.2">
      <c r="C850">
        <v>2595936.5699999994</v>
      </c>
      <c r="D850" s="66">
        <v>809365.57</v>
      </c>
    </row>
    <row r="851" spans="3:4" x14ac:dyDescent="0.2">
      <c r="C851">
        <v>2599213.7699999996</v>
      </c>
      <c r="D851" s="66">
        <v>812642.77</v>
      </c>
    </row>
    <row r="852" spans="3:4" x14ac:dyDescent="0.2">
      <c r="C852">
        <v>2602190.5700000096</v>
      </c>
      <c r="D852" s="66">
        <v>637466.77</v>
      </c>
    </row>
    <row r="853" spans="3:4" x14ac:dyDescent="0.2">
      <c r="C853">
        <v>2602832.7699999996</v>
      </c>
      <c r="D853" s="66">
        <v>841605.97</v>
      </c>
    </row>
    <row r="854" spans="3:4" x14ac:dyDescent="0.2">
      <c r="C854">
        <v>2608527.3699999894</v>
      </c>
      <c r="D854" s="66">
        <v>613627.56999999995</v>
      </c>
    </row>
    <row r="855" spans="3:4" x14ac:dyDescent="0.2">
      <c r="C855">
        <v>2609447.7699999893</v>
      </c>
      <c r="D855" s="66">
        <v>614547.97</v>
      </c>
    </row>
    <row r="856" spans="3:4" x14ac:dyDescent="0.2">
      <c r="C856">
        <v>2609907.7699999893</v>
      </c>
      <c r="D856" s="66">
        <v>615007.97</v>
      </c>
    </row>
    <row r="857" spans="3:4" x14ac:dyDescent="0.2">
      <c r="C857">
        <v>2610367.7699999893</v>
      </c>
      <c r="D857" s="66">
        <v>615467.97</v>
      </c>
    </row>
    <row r="858" spans="3:4" x14ac:dyDescent="0.2">
      <c r="C858">
        <v>2616550.9700000095</v>
      </c>
      <c r="D858" s="66">
        <v>651827.17000000004</v>
      </c>
    </row>
    <row r="859" spans="3:4" x14ac:dyDescent="0.2">
      <c r="C859">
        <v>2620083.5699999901</v>
      </c>
      <c r="D859" s="66">
        <v>475469.17</v>
      </c>
    </row>
    <row r="860" spans="3:4" x14ac:dyDescent="0.2">
      <c r="C860">
        <v>2664994.3699999996</v>
      </c>
      <c r="D860" s="66">
        <v>468687.57</v>
      </c>
    </row>
    <row r="861" spans="3:4" x14ac:dyDescent="0.2">
      <c r="C861">
        <v>2773514.9699999997</v>
      </c>
      <c r="D861" s="66">
        <v>800367.17</v>
      </c>
    </row>
    <row r="862" spans="3:4" x14ac:dyDescent="0.2">
      <c r="C862">
        <v>2781294.9699999997</v>
      </c>
      <c r="D862" s="66">
        <v>808147.17</v>
      </c>
    </row>
    <row r="863" spans="3:4" x14ac:dyDescent="0.2">
      <c r="C863">
        <v>2787828.1700000092</v>
      </c>
      <c r="D863" s="66">
        <v>823104.37</v>
      </c>
    </row>
    <row r="864" spans="3:4" x14ac:dyDescent="0.2">
      <c r="C864">
        <v>2793721.1699999901</v>
      </c>
      <c r="D864" s="66">
        <v>649106.77</v>
      </c>
    </row>
    <row r="865" spans="3:4" x14ac:dyDescent="0.2">
      <c r="C865">
        <v>2795008.1700000092</v>
      </c>
      <c r="D865" s="66">
        <v>830284.37</v>
      </c>
    </row>
    <row r="866" spans="3:4" x14ac:dyDescent="0.2">
      <c r="C866">
        <v>2803206.7700000093</v>
      </c>
      <c r="D866" s="66">
        <v>619724.77</v>
      </c>
    </row>
    <row r="867" spans="3:4" x14ac:dyDescent="0.2">
      <c r="C867">
        <v>2804808.7700000005</v>
      </c>
      <c r="D867" s="66">
        <v>618867.56999999995</v>
      </c>
    </row>
    <row r="868" spans="3:4" x14ac:dyDescent="0.2">
      <c r="C868">
        <v>2807006.7700000093</v>
      </c>
      <c r="D868" s="66">
        <v>623524.77</v>
      </c>
    </row>
    <row r="869" spans="3:4" x14ac:dyDescent="0.2">
      <c r="C869">
        <v>2807748.7700000005</v>
      </c>
      <c r="D869" s="66">
        <v>621807.56999999995</v>
      </c>
    </row>
    <row r="870" spans="3:4" x14ac:dyDescent="0.2">
      <c r="C870">
        <v>2809906.5699999896</v>
      </c>
      <c r="D870" s="66">
        <v>815006.77</v>
      </c>
    </row>
    <row r="871" spans="3:4" x14ac:dyDescent="0.2">
      <c r="C871">
        <v>2810366.5699999896</v>
      </c>
      <c r="D871" s="66">
        <v>815466.77</v>
      </c>
    </row>
    <row r="872" spans="3:4" x14ac:dyDescent="0.2">
      <c r="C872">
        <v>2810688.7700000005</v>
      </c>
      <c r="D872" s="66">
        <v>624747.56999999995</v>
      </c>
    </row>
    <row r="873" spans="3:4" x14ac:dyDescent="0.2">
      <c r="C873">
        <v>2810806.7700000093</v>
      </c>
      <c r="D873" s="66">
        <v>627324.77</v>
      </c>
    </row>
    <row r="874" spans="3:4" x14ac:dyDescent="0.2">
      <c r="C874">
        <v>2816569.5700000008</v>
      </c>
      <c r="D874" s="66">
        <v>630628.37</v>
      </c>
    </row>
    <row r="875" spans="3:4" x14ac:dyDescent="0.2">
      <c r="C875">
        <v>2818408.3700000094</v>
      </c>
      <c r="D875" s="66">
        <v>634926.37</v>
      </c>
    </row>
    <row r="876" spans="3:4" x14ac:dyDescent="0.2">
      <c r="C876">
        <v>2826901.1699999901</v>
      </c>
      <c r="D876" s="66">
        <v>682286.77</v>
      </c>
    </row>
    <row r="877" spans="3:4" x14ac:dyDescent="0.2">
      <c r="C877">
        <v>2843152.3699999996</v>
      </c>
      <c r="D877" s="66">
        <v>646845.56999999995</v>
      </c>
    </row>
    <row r="878" spans="3:4" x14ac:dyDescent="0.2">
      <c r="C878">
        <v>2851160.3699999996</v>
      </c>
      <c r="D878" s="66">
        <v>344970.37</v>
      </c>
    </row>
    <row r="879" spans="3:4" x14ac:dyDescent="0.2">
      <c r="C879">
        <v>2860081.1699999901</v>
      </c>
      <c r="D879" s="66">
        <v>715466.77</v>
      </c>
    </row>
    <row r="880" spans="3:4" x14ac:dyDescent="0.2">
      <c r="C880">
        <v>2874072.3699999996</v>
      </c>
      <c r="D880" s="66">
        <v>677765.57</v>
      </c>
    </row>
    <row r="881" spans="3:4" x14ac:dyDescent="0.2">
      <c r="C881">
        <v>2904992.3699999996</v>
      </c>
      <c r="D881" s="66">
        <v>708685.57</v>
      </c>
    </row>
    <row r="882" spans="3:4" x14ac:dyDescent="0.2">
      <c r="C882">
        <v>2926442.3699999899</v>
      </c>
      <c r="D882" s="66">
        <v>781827.97</v>
      </c>
    </row>
    <row r="883" spans="3:4" x14ac:dyDescent="0.2">
      <c r="C883">
        <v>2966834.3699999996</v>
      </c>
      <c r="D883" s="66">
        <v>770527.57</v>
      </c>
    </row>
    <row r="884" spans="3:4" x14ac:dyDescent="0.2">
      <c r="C884">
        <v>2993719.96999999</v>
      </c>
      <c r="D884" s="66">
        <v>849105.57</v>
      </c>
    </row>
    <row r="885" spans="3:4" x14ac:dyDescent="0.2">
      <c r="C885">
        <v>3003205.5700000091</v>
      </c>
      <c r="D885" s="66">
        <v>819723.57</v>
      </c>
    </row>
    <row r="886" spans="3:4" x14ac:dyDescent="0.2">
      <c r="C886">
        <v>3004805.9700000007</v>
      </c>
      <c r="D886" s="66">
        <v>818864.77</v>
      </c>
    </row>
    <row r="887" spans="3:4" x14ac:dyDescent="0.2">
      <c r="C887">
        <v>3007005.5700000091</v>
      </c>
      <c r="D887" s="66">
        <v>823523.57</v>
      </c>
    </row>
    <row r="888" spans="3:4" x14ac:dyDescent="0.2">
      <c r="C888">
        <v>3007747.9700000007</v>
      </c>
      <c r="D888" s="66">
        <v>821806.77</v>
      </c>
    </row>
    <row r="889" spans="3:4" x14ac:dyDescent="0.2">
      <c r="C889">
        <v>3026899.96999999</v>
      </c>
      <c r="D889" s="66">
        <v>882285.57</v>
      </c>
    </row>
    <row r="890" spans="3:4" x14ac:dyDescent="0.2">
      <c r="C890">
        <v>3043151.57</v>
      </c>
      <c r="D890" s="66">
        <v>846844.77</v>
      </c>
    </row>
    <row r="891" spans="3:4" x14ac:dyDescent="0.2">
      <c r="C891">
        <v>3070518.7699999996</v>
      </c>
      <c r="D891" s="66">
        <v>564328.77</v>
      </c>
    </row>
    <row r="892" spans="3:4" x14ac:dyDescent="0.2">
      <c r="C892">
        <v>3074071.57</v>
      </c>
      <c r="D892" s="66">
        <v>877764.77</v>
      </c>
    </row>
    <row r="893" spans="3:4" x14ac:dyDescent="0.2">
      <c r="C893">
        <v>3091157.5699999994</v>
      </c>
      <c r="D893" s="66">
        <v>584967.56999999995</v>
      </c>
    </row>
    <row r="894" spans="3:4" x14ac:dyDescent="0.2">
      <c r="C894">
        <v>3101477.5699999994</v>
      </c>
      <c r="D894" s="66">
        <v>595287.56999999995</v>
      </c>
    </row>
    <row r="895" spans="3:4" x14ac:dyDescent="0.2">
      <c r="C895">
        <v>3111797.5699999994</v>
      </c>
      <c r="D895" s="66">
        <v>605607.56999999995</v>
      </c>
    </row>
    <row r="896" spans="3:4" x14ac:dyDescent="0.2">
      <c r="C896">
        <v>3209857.3700000006</v>
      </c>
      <c r="D896" s="66">
        <v>474867.17</v>
      </c>
    </row>
    <row r="897" spans="2:4" x14ac:dyDescent="0.2">
      <c r="C897">
        <v>3301476.3699999996</v>
      </c>
      <c r="D897" s="66">
        <v>795286.37</v>
      </c>
    </row>
    <row r="898" spans="2:4" x14ac:dyDescent="0.2">
      <c r="C898">
        <v>3311796.3699999996</v>
      </c>
      <c r="D898" s="66">
        <v>805606.37</v>
      </c>
    </row>
    <row r="899" spans="2:4" x14ac:dyDescent="0.2">
      <c r="C899">
        <v>3383895.7700000005</v>
      </c>
      <c r="D899" s="66">
        <v>648905.56999999995</v>
      </c>
    </row>
    <row r="900" spans="2:4" x14ac:dyDescent="0.2">
      <c r="C900">
        <v>3416875.7700000005</v>
      </c>
      <c r="D900" s="66">
        <v>681885.57</v>
      </c>
    </row>
    <row r="901" spans="2:4" x14ac:dyDescent="0.2">
      <c r="C901">
        <v>3449855.7700000005</v>
      </c>
      <c r="D901" s="66">
        <v>714865.57</v>
      </c>
    </row>
    <row r="902" spans="2:4" x14ac:dyDescent="0.2">
      <c r="C902">
        <v>3515817.7700000005</v>
      </c>
      <c r="D902" s="66">
        <v>780827.57</v>
      </c>
    </row>
    <row r="903" spans="2:4" x14ac:dyDescent="0.2">
      <c r="C903">
        <v>3555661.17</v>
      </c>
      <c r="D903" s="66">
        <v>310649.17</v>
      </c>
    </row>
    <row r="904" spans="2:4" x14ac:dyDescent="0.2">
      <c r="C904">
        <v>3583892.5700000008</v>
      </c>
      <c r="D904" s="66">
        <v>848902.37</v>
      </c>
    </row>
    <row r="905" spans="2:4" x14ac:dyDescent="0.2">
      <c r="C905">
        <v>3616874.1700000009</v>
      </c>
      <c r="D905" s="66">
        <v>881883.97</v>
      </c>
    </row>
    <row r="906" spans="2:4" x14ac:dyDescent="0.2">
      <c r="C906">
        <v>3752139.17</v>
      </c>
      <c r="D906" s="66">
        <v>507127.17</v>
      </c>
    </row>
    <row r="907" spans="2:4" x14ac:dyDescent="0.2">
      <c r="C907">
        <v>3795657.17</v>
      </c>
      <c r="D907" s="66">
        <v>550645.17000000004</v>
      </c>
    </row>
    <row r="908" spans="2:4" x14ac:dyDescent="0.2">
      <c r="C908">
        <v>3817417.17</v>
      </c>
      <c r="D908" s="66">
        <v>572405.17000000004</v>
      </c>
    </row>
    <row r="909" spans="2:4" x14ac:dyDescent="0.2">
      <c r="C909">
        <v>3839177.17</v>
      </c>
      <c r="D909" s="66">
        <v>594165.17000000004</v>
      </c>
    </row>
    <row r="910" spans="2:4" x14ac:dyDescent="0.2">
      <c r="C910">
        <v>4017417.57</v>
      </c>
      <c r="D910" s="66">
        <v>772405.57</v>
      </c>
    </row>
    <row r="911" spans="2:4" x14ac:dyDescent="0.2">
      <c r="C911">
        <v>4039177.57</v>
      </c>
      <c r="D911" s="66">
        <v>794165.57</v>
      </c>
    </row>
    <row r="912" spans="2:4" x14ac:dyDescent="0.2">
      <c r="B912" t="s">
        <v>27</v>
      </c>
      <c r="D912" s="66">
        <v>641020.51013605366</v>
      </c>
    </row>
    <row r="913" spans="1:4" x14ac:dyDescent="0.2">
      <c r="A913" t="s">
        <v>65</v>
      </c>
      <c r="D913" s="66">
        <v>587226.98049069301</v>
      </c>
    </row>
    <row r="914" spans="1:4" x14ac:dyDescent="0.2">
      <c r="A914" t="s">
        <v>21</v>
      </c>
      <c r="D914" s="66">
        <v>525099.80496666674</v>
      </c>
    </row>
  </sheetData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80AC-810F-8148-813A-F5E7CF591705}">
  <dimension ref="A1:N100"/>
  <sheetViews>
    <sheetView showGridLines="0" topLeftCell="I2" zoomScale="139" workbookViewId="0">
      <selection activeCell="M13" sqref="M13"/>
    </sheetView>
  </sheetViews>
  <sheetFormatPr baseColWidth="10" defaultRowHeight="16" x14ac:dyDescent="0.2"/>
  <cols>
    <col min="5" max="5" width="12" bestFit="1" customWidth="1"/>
    <col min="10" max="10" width="13.1640625" bestFit="1" customWidth="1"/>
    <col min="11" max="11" width="28.6640625" bestFit="1" customWidth="1"/>
    <col min="12" max="12" width="13.1640625" bestFit="1" customWidth="1"/>
    <col min="13" max="13" width="28.6640625" bestFit="1" customWidth="1"/>
    <col min="14" max="14" width="18.5" bestFit="1" customWidth="1"/>
  </cols>
  <sheetData>
    <row r="1" spans="1:14" x14ac:dyDescent="0.2">
      <c r="E1" t="s">
        <v>50</v>
      </c>
    </row>
    <row r="2" spans="1:14" x14ac:dyDescent="0.2">
      <c r="A2">
        <v>4</v>
      </c>
      <c r="B2" s="2">
        <v>3</v>
      </c>
      <c r="C2" s="2">
        <v>2</v>
      </c>
      <c r="D2" s="2">
        <v>1</v>
      </c>
      <c r="E2">
        <f>B2*_xlfn.CEILING.MATH(LOG((C2+(A2-1)*D2),2))</f>
        <v>9</v>
      </c>
      <c r="F2">
        <f>_xlfn.CEILING.MATH(AVERAGE(E2:E28))</f>
        <v>15</v>
      </c>
      <c r="G2">
        <f>E2+A2*A2</f>
        <v>25</v>
      </c>
      <c r="H2">
        <f>AVERAGE(G2:G28)</f>
        <v>30.888888888888889</v>
      </c>
    </row>
    <row r="3" spans="1:14" x14ac:dyDescent="0.2">
      <c r="A3">
        <v>4</v>
      </c>
      <c r="B3" s="2">
        <v>3</v>
      </c>
      <c r="C3" s="2">
        <v>2</v>
      </c>
      <c r="D3" s="2">
        <v>2</v>
      </c>
      <c r="E3">
        <f t="shared" ref="E3:E27" si="0">B3*_xlfn.CEILING.MATH(LOG((C3+(A3-1)*D3),2))</f>
        <v>9</v>
      </c>
      <c r="G3">
        <f t="shared" ref="G3:G66" si="1">E3+A3*A3</f>
        <v>25</v>
      </c>
    </row>
    <row r="4" spans="1:14" x14ac:dyDescent="0.2">
      <c r="A4">
        <v>4</v>
      </c>
      <c r="B4" s="2">
        <v>3</v>
      </c>
      <c r="C4" s="2">
        <v>2</v>
      </c>
      <c r="D4" s="2">
        <v>3</v>
      </c>
      <c r="E4">
        <f t="shared" si="0"/>
        <v>12</v>
      </c>
      <c r="G4">
        <f t="shared" si="1"/>
        <v>28</v>
      </c>
    </row>
    <row r="5" spans="1:14" x14ac:dyDescent="0.2">
      <c r="A5">
        <v>4</v>
      </c>
      <c r="B5" s="2">
        <v>3</v>
      </c>
      <c r="C5" s="2">
        <v>3</v>
      </c>
      <c r="D5" s="2">
        <v>1</v>
      </c>
      <c r="E5">
        <f t="shared" si="0"/>
        <v>9</v>
      </c>
      <c r="G5">
        <f t="shared" si="1"/>
        <v>25</v>
      </c>
    </row>
    <row r="6" spans="1:14" x14ac:dyDescent="0.2">
      <c r="A6">
        <v>4</v>
      </c>
      <c r="B6" s="2">
        <v>3</v>
      </c>
      <c r="C6" s="2">
        <v>3</v>
      </c>
      <c r="D6" s="2">
        <v>2</v>
      </c>
      <c r="E6">
        <f t="shared" si="0"/>
        <v>12</v>
      </c>
      <c r="G6">
        <f t="shared" si="1"/>
        <v>28</v>
      </c>
    </row>
    <row r="7" spans="1:14" x14ac:dyDescent="0.2">
      <c r="A7">
        <v>4</v>
      </c>
      <c r="B7" s="2">
        <v>3</v>
      </c>
      <c r="C7" s="2">
        <v>3</v>
      </c>
      <c r="D7" s="2">
        <v>3</v>
      </c>
      <c r="E7">
        <f t="shared" si="0"/>
        <v>12</v>
      </c>
      <c r="G7">
        <f t="shared" si="1"/>
        <v>28</v>
      </c>
    </row>
    <row r="8" spans="1:14" x14ac:dyDescent="0.2">
      <c r="A8">
        <v>4</v>
      </c>
      <c r="B8" s="2">
        <v>4</v>
      </c>
      <c r="C8" s="2">
        <v>2</v>
      </c>
      <c r="D8" s="2">
        <v>1</v>
      </c>
      <c r="E8">
        <f t="shared" si="0"/>
        <v>12</v>
      </c>
      <c r="G8">
        <f t="shared" si="1"/>
        <v>28</v>
      </c>
    </row>
    <row r="9" spans="1:14" x14ac:dyDescent="0.2">
      <c r="A9">
        <v>4</v>
      </c>
      <c r="B9" s="2">
        <v>4</v>
      </c>
      <c r="C9" s="2">
        <v>2</v>
      </c>
      <c r="D9" s="2">
        <v>2</v>
      </c>
      <c r="E9">
        <f t="shared" si="0"/>
        <v>12</v>
      </c>
      <c r="G9">
        <f t="shared" si="1"/>
        <v>28</v>
      </c>
    </row>
    <row r="10" spans="1:14" x14ac:dyDescent="0.2">
      <c r="A10">
        <v>4</v>
      </c>
      <c r="B10" s="2">
        <v>4</v>
      </c>
      <c r="C10" s="2">
        <v>2</v>
      </c>
      <c r="D10" s="2">
        <v>3</v>
      </c>
      <c r="E10">
        <f t="shared" si="0"/>
        <v>16</v>
      </c>
      <c r="G10">
        <f t="shared" si="1"/>
        <v>32</v>
      </c>
    </row>
    <row r="11" spans="1:14" x14ac:dyDescent="0.2">
      <c r="A11">
        <v>4</v>
      </c>
      <c r="B11" s="2">
        <v>4</v>
      </c>
      <c r="C11" s="2">
        <v>3</v>
      </c>
      <c r="D11" s="2">
        <v>1</v>
      </c>
      <c r="E11">
        <f t="shared" si="0"/>
        <v>12</v>
      </c>
      <c r="G11">
        <f t="shared" si="1"/>
        <v>28</v>
      </c>
    </row>
    <row r="12" spans="1:14" x14ac:dyDescent="0.2">
      <c r="A12">
        <v>4</v>
      </c>
      <c r="B12" s="2">
        <v>4</v>
      </c>
      <c r="C12" s="2">
        <v>3</v>
      </c>
      <c r="D12" s="2">
        <v>2</v>
      </c>
      <c r="E12">
        <f t="shared" si="0"/>
        <v>16</v>
      </c>
      <c r="G12">
        <f t="shared" si="1"/>
        <v>32</v>
      </c>
      <c r="L12" s="57"/>
      <c r="M12" s="58" t="s">
        <v>51</v>
      </c>
      <c r="N12" s="59"/>
    </row>
    <row r="13" spans="1:14" x14ac:dyDescent="0.2">
      <c r="A13">
        <v>4</v>
      </c>
      <c r="B13" s="2">
        <v>4</v>
      </c>
      <c r="C13" s="2">
        <v>3</v>
      </c>
      <c r="D13" s="2">
        <v>3</v>
      </c>
      <c r="E13">
        <f t="shared" si="0"/>
        <v>16</v>
      </c>
      <c r="G13">
        <f t="shared" si="1"/>
        <v>32</v>
      </c>
      <c r="L13" s="60" t="s">
        <v>52</v>
      </c>
      <c r="M13" s="50" t="s">
        <v>55</v>
      </c>
      <c r="N13" s="61" t="s">
        <v>56</v>
      </c>
    </row>
    <row r="14" spans="1:14" x14ac:dyDescent="0.2">
      <c r="A14">
        <v>4</v>
      </c>
      <c r="B14" s="2">
        <v>4</v>
      </c>
      <c r="C14" s="2">
        <v>2</v>
      </c>
      <c r="D14" s="2">
        <v>1</v>
      </c>
      <c r="E14">
        <f t="shared" si="0"/>
        <v>12</v>
      </c>
      <c r="G14">
        <f t="shared" si="1"/>
        <v>28</v>
      </c>
      <c r="L14" s="60">
        <v>4</v>
      </c>
      <c r="M14" s="50">
        <v>15</v>
      </c>
      <c r="N14" s="61">
        <v>31</v>
      </c>
    </row>
    <row r="15" spans="1:14" x14ac:dyDescent="0.2">
      <c r="A15">
        <v>4</v>
      </c>
      <c r="B15" s="2">
        <v>4</v>
      </c>
      <c r="C15" s="2">
        <v>2</v>
      </c>
      <c r="D15" s="2">
        <v>2</v>
      </c>
      <c r="E15">
        <f t="shared" si="0"/>
        <v>12</v>
      </c>
      <c r="G15">
        <f t="shared" si="1"/>
        <v>28</v>
      </c>
      <c r="L15" s="60">
        <v>5</v>
      </c>
      <c r="M15" s="50">
        <v>22</v>
      </c>
      <c r="N15" s="61">
        <v>47</v>
      </c>
    </row>
    <row r="16" spans="1:14" x14ac:dyDescent="0.2">
      <c r="A16">
        <v>4</v>
      </c>
      <c r="B16" s="2">
        <v>4</v>
      </c>
      <c r="C16" s="2">
        <v>2</v>
      </c>
      <c r="D16" s="2">
        <v>3</v>
      </c>
      <c r="E16">
        <f t="shared" si="0"/>
        <v>16</v>
      </c>
      <c r="G16">
        <f t="shared" si="1"/>
        <v>32</v>
      </c>
      <c r="L16" s="62">
        <v>6</v>
      </c>
      <c r="M16" s="63">
        <v>35</v>
      </c>
      <c r="N16" s="64">
        <v>71</v>
      </c>
    </row>
    <row r="17" spans="1:8" x14ac:dyDescent="0.2">
      <c r="A17">
        <v>4</v>
      </c>
      <c r="B17" s="2">
        <v>4</v>
      </c>
      <c r="C17" s="2">
        <v>3</v>
      </c>
      <c r="D17" s="2">
        <v>1</v>
      </c>
      <c r="E17">
        <f t="shared" si="0"/>
        <v>12</v>
      </c>
      <c r="G17">
        <f t="shared" si="1"/>
        <v>28</v>
      </c>
    </row>
    <row r="18" spans="1:8" x14ac:dyDescent="0.2">
      <c r="A18">
        <v>4</v>
      </c>
      <c r="B18" s="2">
        <v>4</v>
      </c>
      <c r="C18" s="2">
        <v>3</v>
      </c>
      <c r="D18" s="2">
        <v>2</v>
      </c>
      <c r="E18">
        <f t="shared" si="0"/>
        <v>16</v>
      </c>
      <c r="G18">
        <f t="shared" si="1"/>
        <v>32</v>
      </c>
    </row>
    <row r="19" spans="1:8" x14ac:dyDescent="0.2">
      <c r="A19">
        <v>4</v>
      </c>
      <c r="B19" s="2">
        <v>4</v>
      </c>
      <c r="C19" s="2">
        <v>3</v>
      </c>
      <c r="D19" s="2">
        <v>3</v>
      </c>
      <c r="E19">
        <f t="shared" si="0"/>
        <v>16</v>
      </c>
      <c r="G19">
        <f t="shared" si="1"/>
        <v>32</v>
      </c>
    </row>
    <row r="20" spans="1:8" x14ac:dyDescent="0.2">
      <c r="A20">
        <v>4</v>
      </c>
      <c r="B20" s="2">
        <v>5</v>
      </c>
      <c r="C20" s="2">
        <v>2</v>
      </c>
      <c r="D20" s="2">
        <v>1</v>
      </c>
      <c r="E20">
        <f t="shared" si="0"/>
        <v>15</v>
      </c>
      <c r="G20">
        <f t="shared" si="1"/>
        <v>31</v>
      </c>
    </row>
    <row r="21" spans="1:8" x14ac:dyDescent="0.2">
      <c r="A21">
        <v>4</v>
      </c>
      <c r="B21" s="2">
        <v>5</v>
      </c>
      <c r="C21" s="2">
        <v>2</v>
      </c>
      <c r="D21" s="2">
        <v>2</v>
      </c>
      <c r="E21">
        <f t="shared" si="0"/>
        <v>15</v>
      </c>
      <c r="G21">
        <f t="shared" si="1"/>
        <v>31</v>
      </c>
    </row>
    <row r="22" spans="1:8" x14ac:dyDescent="0.2">
      <c r="A22">
        <v>4</v>
      </c>
      <c r="B22" s="2">
        <v>5</v>
      </c>
      <c r="C22" s="2">
        <v>2</v>
      </c>
      <c r="D22" s="2">
        <v>3</v>
      </c>
      <c r="E22">
        <f t="shared" si="0"/>
        <v>20</v>
      </c>
      <c r="G22">
        <f t="shared" si="1"/>
        <v>36</v>
      </c>
    </row>
    <row r="23" spans="1:8" x14ac:dyDescent="0.2">
      <c r="A23">
        <v>4</v>
      </c>
      <c r="B23" s="2">
        <v>5</v>
      </c>
      <c r="C23" s="2">
        <v>3</v>
      </c>
      <c r="D23" s="2">
        <v>1</v>
      </c>
      <c r="E23">
        <f t="shared" si="0"/>
        <v>15</v>
      </c>
      <c r="G23">
        <f t="shared" si="1"/>
        <v>31</v>
      </c>
    </row>
    <row r="24" spans="1:8" x14ac:dyDescent="0.2">
      <c r="A24">
        <v>4</v>
      </c>
      <c r="B24" s="2">
        <v>5</v>
      </c>
      <c r="C24" s="2">
        <v>3</v>
      </c>
      <c r="D24" s="2">
        <v>2</v>
      </c>
      <c r="E24">
        <f t="shared" si="0"/>
        <v>20</v>
      </c>
      <c r="G24">
        <f t="shared" si="1"/>
        <v>36</v>
      </c>
    </row>
    <row r="25" spans="1:8" x14ac:dyDescent="0.2">
      <c r="A25">
        <v>4</v>
      </c>
      <c r="B25" s="2">
        <v>5</v>
      </c>
      <c r="C25" s="2">
        <v>3</v>
      </c>
      <c r="D25" s="2">
        <v>3</v>
      </c>
      <c r="E25">
        <f t="shared" si="0"/>
        <v>20</v>
      </c>
      <c r="G25">
        <f t="shared" si="1"/>
        <v>36</v>
      </c>
    </row>
    <row r="26" spans="1:8" x14ac:dyDescent="0.2">
      <c r="A26">
        <v>4</v>
      </c>
      <c r="B26" s="2">
        <v>6</v>
      </c>
      <c r="C26" s="2">
        <v>3</v>
      </c>
      <c r="D26" s="2">
        <v>1</v>
      </c>
      <c r="E26">
        <f t="shared" si="0"/>
        <v>18</v>
      </c>
      <c r="G26">
        <f t="shared" si="1"/>
        <v>34</v>
      </c>
    </row>
    <row r="27" spans="1:8" x14ac:dyDescent="0.2">
      <c r="A27">
        <v>4</v>
      </c>
      <c r="B27" s="2">
        <v>6</v>
      </c>
      <c r="C27" s="2">
        <v>3</v>
      </c>
      <c r="D27" s="2">
        <v>2</v>
      </c>
      <c r="E27">
        <f t="shared" si="0"/>
        <v>24</v>
      </c>
      <c r="G27">
        <f t="shared" si="1"/>
        <v>40</v>
      </c>
    </row>
    <row r="28" spans="1:8" x14ac:dyDescent="0.2">
      <c r="A28">
        <v>4</v>
      </c>
      <c r="B28" s="2">
        <v>6</v>
      </c>
      <c r="C28" s="2">
        <v>3</v>
      </c>
      <c r="D28" s="2">
        <v>3</v>
      </c>
      <c r="E28">
        <f>B28*_xlfn.CEILING.MATH(LOG((C28+(A28-1)*D28),2))</f>
        <v>24</v>
      </c>
      <c r="G28">
        <f t="shared" si="1"/>
        <v>40</v>
      </c>
    </row>
    <row r="29" spans="1:8" x14ac:dyDescent="0.2">
      <c r="A29">
        <v>5</v>
      </c>
      <c r="B29">
        <v>4</v>
      </c>
      <c r="C29" s="2">
        <v>2</v>
      </c>
      <c r="D29" s="2">
        <v>1</v>
      </c>
      <c r="E29">
        <f>B29*_xlfn.CEILING.MATH(LOG((C29+(A29-1)*D29),2))</f>
        <v>12</v>
      </c>
      <c r="F29">
        <f>_xlfn.CEILING.MATH(AVERAGE(E29:E70))</f>
        <v>22</v>
      </c>
      <c r="G29">
        <f t="shared" si="1"/>
        <v>37</v>
      </c>
      <c r="H29">
        <f>AVERAGE(G29:G70)</f>
        <v>46.952380952380949</v>
      </c>
    </row>
    <row r="30" spans="1:8" x14ac:dyDescent="0.2">
      <c r="A30">
        <v>5</v>
      </c>
      <c r="B30">
        <v>5</v>
      </c>
      <c r="C30" s="2">
        <v>2</v>
      </c>
      <c r="D30" s="2">
        <v>2</v>
      </c>
      <c r="E30">
        <f t="shared" ref="E30:E93" si="2">B30*_xlfn.CEILING.MATH(LOG((C30+(A30-1)*D30),2))</f>
        <v>20</v>
      </c>
      <c r="G30">
        <f t="shared" si="1"/>
        <v>45</v>
      </c>
    </row>
    <row r="31" spans="1:8" x14ac:dyDescent="0.2">
      <c r="A31">
        <v>5</v>
      </c>
      <c r="B31">
        <v>5</v>
      </c>
      <c r="C31" s="2">
        <v>2</v>
      </c>
      <c r="D31" s="2">
        <v>3</v>
      </c>
      <c r="E31">
        <f t="shared" si="2"/>
        <v>20</v>
      </c>
      <c r="G31">
        <f t="shared" si="1"/>
        <v>45</v>
      </c>
    </row>
    <row r="32" spans="1:8" x14ac:dyDescent="0.2">
      <c r="A32">
        <v>5</v>
      </c>
      <c r="B32">
        <v>5</v>
      </c>
      <c r="C32" s="2">
        <v>2</v>
      </c>
      <c r="D32" s="2">
        <v>1</v>
      </c>
      <c r="E32">
        <f t="shared" si="2"/>
        <v>15</v>
      </c>
      <c r="G32">
        <f t="shared" si="1"/>
        <v>40</v>
      </c>
    </row>
    <row r="33" spans="1:7" x14ac:dyDescent="0.2">
      <c r="A33">
        <v>5</v>
      </c>
      <c r="B33">
        <v>5</v>
      </c>
      <c r="C33" s="2">
        <v>2</v>
      </c>
      <c r="D33" s="2">
        <v>2</v>
      </c>
      <c r="E33">
        <f t="shared" si="2"/>
        <v>20</v>
      </c>
      <c r="G33">
        <f t="shared" si="1"/>
        <v>45</v>
      </c>
    </row>
    <row r="34" spans="1:7" x14ac:dyDescent="0.2">
      <c r="A34">
        <v>5</v>
      </c>
      <c r="B34">
        <v>5</v>
      </c>
      <c r="C34" s="2">
        <v>2</v>
      </c>
      <c r="D34" s="2">
        <v>3</v>
      </c>
      <c r="E34">
        <f t="shared" si="2"/>
        <v>20</v>
      </c>
      <c r="G34">
        <f t="shared" si="1"/>
        <v>45</v>
      </c>
    </row>
    <row r="35" spans="1:7" x14ac:dyDescent="0.2">
      <c r="A35">
        <v>5</v>
      </c>
      <c r="B35">
        <v>5</v>
      </c>
      <c r="C35" s="2">
        <v>2</v>
      </c>
      <c r="D35" s="2">
        <v>1</v>
      </c>
      <c r="E35">
        <f t="shared" si="2"/>
        <v>15</v>
      </c>
      <c r="G35">
        <f t="shared" si="1"/>
        <v>40</v>
      </c>
    </row>
    <row r="36" spans="1:7" x14ac:dyDescent="0.2">
      <c r="A36">
        <v>5</v>
      </c>
      <c r="B36">
        <v>6</v>
      </c>
      <c r="C36" s="2">
        <v>2</v>
      </c>
      <c r="D36" s="2">
        <v>1</v>
      </c>
      <c r="E36">
        <f t="shared" si="2"/>
        <v>18</v>
      </c>
      <c r="G36">
        <f t="shared" si="1"/>
        <v>43</v>
      </c>
    </row>
    <row r="37" spans="1:7" x14ac:dyDescent="0.2">
      <c r="A37">
        <v>5</v>
      </c>
      <c r="B37">
        <v>6</v>
      </c>
      <c r="C37" s="2">
        <v>2</v>
      </c>
      <c r="D37" s="2">
        <v>2</v>
      </c>
      <c r="E37">
        <f t="shared" si="2"/>
        <v>24</v>
      </c>
      <c r="G37">
        <f t="shared" si="1"/>
        <v>49</v>
      </c>
    </row>
    <row r="38" spans="1:7" x14ac:dyDescent="0.2">
      <c r="A38">
        <v>5</v>
      </c>
      <c r="B38">
        <v>6</v>
      </c>
      <c r="C38" s="2">
        <v>2</v>
      </c>
      <c r="D38" s="2">
        <v>3</v>
      </c>
      <c r="E38">
        <f t="shared" si="2"/>
        <v>24</v>
      </c>
      <c r="G38">
        <f t="shared" si="1"/>
        <v>49</v>
      </c>
    </row>
    <row r="39" spans="1:7" x14ac:dyDescent="0.2">
      <c r="A39">
        <v>5</v>
      </c>
      <c r="B39">
        <v>6</v>
      </c>
      <c r="C39" s="2">
        <v>2</v>
      </c>
      <c r="D39" s="2">
        <v>1</v>
      </c>
      <c r="E39">
        <f t="shared" si="2"/>
        <v>18</v>
      </c>
      <c r="G39">
        <f t="shared" si="1"/>
        <v>43</v>
      </c>
    </row>
    <row r="40" spans="1:7" x14ac:dyDescent="0.2">
      <c r="A40">
        <v>5</v>
      </c>
      <c r="B40">
        <v>7</v>
      </c>
      <c r="C40" s="2">
        <v>2</v>
      </c>
      <c r="D40" s="2">
        <v>1</v>
      </c>
      <c r="E40">
        <f t="shared" si="2"/>
        <v>21</v>
      </c>
      <c r="G40">
        <f t="shared" si="1"/>
        <v>46</v>
      </c>
    </row>
    <row r="41" spans="1:7" x14ac:dyDescent="0.2">
      <c r="A41">
        <v>5</v>
      </c>
      <c r="B41">
        <v>7</v>
      </c>
      <c r="C41" s="2">
        <v>2</v>
      </c>
      <c r="D41" s="2">
        <v>2</v>
      </c>
      <c r="E41">
        <f t="shared" si="2"/>
        <v>28</v>
      </c>
      <c r="G41">
        <f t="shared" si="1"/>
        <v>53</v>
      </c>
    </row>
    <row r="42" spans="1:7" x14ac:dyDescent="0.2">
      <c r="A42">
        <v>5</v>
      </c>
      <c r="B42">
        <v>7</v>
      </c>
      <c r="C42" s="2">
        <v>2</v>
      </c>
      <c r="D42" s="2">
        <v>3</v>
      </c>
      <c r="E42">
        <f t="shared" si="2"/>
        <v>28</v>
      </c>
      <c r="G42">
        <f t="shared" si="1"/>
        <v>53</v>
      </c>
    </row>
    <row r="43" spans="1:7" x14ac:dyDescent="0.2">
      <c r="A43">
        <v>5</v>
      </c>
      <c r="B43">
        <v>4</v>
      </c>
      <c r="C43" s="2">
        <v>2</v>
      </c>
      <c r="D43" s="2">
        <v>1</v>
      </c>
      <c r="E43">
        <f t="shared" si="2"/>
        <v>12</v>
      </c>
      <c r="G43">
        <f t="shared" si="1"/>
        <v>37</v>
      </c>
    </row>
    <row r="44" spans="1:7" x14ac:dyDescent="0.2">
      <c r="A44">
        <v>5</v>
      </c>
      <c r="B44">
        <v>5</v>
      </c>
      <c r="C44" s="2">
        <v>2</v>
      </c>
      <c r="D44" s="2">
        <v>1</v>
      </c>
      <c r="E44">
        <f t="shared" si="2"/>
        <v>15</v>
      </c>
      <c r="G44">
        <f t="shared" si="1"/>
        <v>40</v>
      </c>
    </row>
    <row r="45" spans="1:7" x14ac:dyDescent="0.2">
      <c r="A45">
        <v>5</v>
      </c>
      <c r="B45">
        <v>5</v>
      </c>
      <c r="C45" s="2">
        <v>2</v>
      </c>
      <c r="D45" s="2">
        <v>2</v>
      </c>
      <c r="E45">
        <f t="shared" si="2"/>
        <v>20</v>
      </c>
      <c r="G45">
        <f t="shared" si="1"/>
        <v>45</v>
      </c>
    </row>
    <row r="46" spans="1:7" x14ac:dyDescent="0.2">
      <c r="A46">
        <v>5</v>
      </c>
      <c r="B46">
        <v>5</v>
      </c>
      <c r="C46" s="2">
        <v>2</v>
      </c>
      <c r="D46" s="2">
        <v>3</v>
      </c>
      <c r="E46">
        <f t="shared" si="2"/>
        <v>20</v>
      </c>
      <c r="G46">
        <f t="shared" si="1"/>
        <v>45</v>
      </c>
    </row>
    <row r="47" spans="1:7" x14ac:dyDescent="0.2">
      <c r="A47">
        <v>5</v>
      </c>
      <c r="B47">
        <v>6</v>
      </c>
      <c r="C47" s="2">
        <v>2</v>
      </c>
      <c r="D47" s="2">
        <v>1</v>
      </c>
      <c r="E47">
        <f t="shared" si="2"/>
        <v>18</v>
      </c>
      <c r="G47">
        <f t="shared" si="1"/>
        <v>43</v>
      </c>
    </row>
    <row r="48" spans="1:7" x14ac:dyDescent="0.2">
      <c r="A48">
        <v>5</v>
      </c>
      <c r="B48">
        <v>6</v>
      </c>
      <c r="C48" s="2">
        <v>2</v>
      </c>
      <c r="D48" s="2">
        <v>2</v>
      </c>
      <c r="E48">
        <f t="shared" si="2"/>
        <v>24</v>
      </c>
      <c r="G48">
        <f t="shared" si="1"/>
        <v>49</v>
      </c>
    </row>
    <row r="49" spans="1:7" x14ac:dyDescent="0.2">
      <c r="A49">
        <v>5</v>
      </c>
      <c r="B49">
        <v>6</v>
      </c>
      <c r="C49" s="2">
        <v>2</v>
      </c>
      <c r="D49" s="2">
        <v>3</v>
      </c>
      <c r="E49">
        <f t="shared" si="2"/>
        <v>24</v>
      </c>
      <c r="G49">
        <f t="shared" si="1"/>
        <v>49</v>
      </c>
    </row>
    <row r="50" spans="1:7" x14ac:dyDescent="0.2">
      <c r="A50">
        <v>5</v>
      </c>
      <c r="B50">
        <v>6</v>
      </c>
      <c r="C50" s="2">
        <v>2</v>
      </c>
      <c r="D50" s="2">
        <v>1</v>
      </c>
      <c r="E50">
        <f t="shared" si="2"/>
        <v>18</v>
      </c>
      <c r="G50">
        <f t="shared" si="1"/>
        <v>43</v>
      </c>
    </row>
    <row r="51" spans="1:7" x14ac:dyDescent="0.2">
      <c r="A51">
        <v>5</v>
      </c>
      <c r="B51">
        <v>6</v>
      </c>
      <c r="C51" s="2">
        <v>2</v>
      </c>
      <c r="D51" s="2">
        <v>2</v>
      </c>
      <c r="E51">
        <f t="shared" si="2"/>
        <v>24</v>
      </c>
      <c r="G51">
        <f t="shared" si="1"/>
        <v>49</v>
      </c>
    </row>
    <row r="52" spans="1:7" x14ac:dyDescent="0.2">
      <c r="A52">
        <v>5</v>
      </c>
      <c r="B52">
        <v>6</v>
      </c>
      <c r="C52" s="2">
        <v>2</v>
      </c>
      <c r="D52" s="2">
        <v>3</v>
      </c>
      <c r="E52">
        <f t="shared" si="2"/>
        <v>24</v>
      </c>
      <c r="G52">
        <f t="shared" si="1"/>
        <v>49</v>
      </c>
    </row>
    <row r="53" spans="1:7" x14ac:dyDescent="0.2">
      <c r="A53">
        <v>5</v>
      </c>
      <c r="B53">
        <v>7</v>
      </c>
      <c r="C53" s="2">
        <v>2</v>
      </c>
      <c r="D53" s="2">
        <v>1</v>
      </c>
      <c r="E53">
        <f t="shared" si="2"/>
        <v>21</v>
      </c>
      <c r="G53">
        <f t="shared" si="1"/>
        <v>46</v>
      </c>
    </row>
    <row r="54" spans="1:7" x14ac:dyDescent="0.2">
      <c r="A54">
        <v>5</v>
      </c>
      <c r="B54">
        <v>7</v>
      </c>
      <c r="C54" s="2">
        <v>2</v>
      </c>
      <c r="D54" s="2">
        <v>2</v>
      </c>
      <c r="E54">
        <f t="shared" si="2"/>
        <v>28</v>
      </c>
      <c r="G54">
        <f t="shared" si="1"/>
        <v>53</v>
      </c>
    </row>
    <row r="55" spans="1:7" x14ac:dyDescent="0.2">
      <c r="A55">
        <v>5</v>
      </c>
      <c r="B55">
        <v>7</v>
      </c>
      <c r="C55" s="2">
        <v>2</v>
      </c>
      <c r="D55" s="2">
        <v>3</v>
      </c>
      <c r="E55">
        <f t="shared" si="2"/>
        <v>28</v>
      </c>
      <c r="G55">
        <f t="shared" si="1"/>
        <v>53</v>
      </c>
    </row>
    <row r="56" spans="1:7" x14ac:dyDescent="0.2">
      <c r="A56">
        <v>5</v>
      </c>
      <c r="B56">
        <v>5</v>
      </c>
      <c r="C56" s="2">
        <v>2</v>
      </c>
      <c r="D56" s="2">
        <v>1</v>
      </c>
      <c r="E56">
        <f t="shared" si="2"/>
        <v>15</v>
      </c>
      <c r="G56">
        <f t="shared" si="1"/>
        <v>40</v>
      </c>
    </row>
    <row r="57" spans="1:7" x14ac:dyDescent="0.2">
      <c r="A57">
        <v>5</v>
      </c>
      <c r="B57">
        <v>5</v>
      </c>
      <c r="C57" s="2">
        <v>2</v>
      </c>
      <c r="D57" s="2">
        <v>2</v>
      </c>
      <c r="E57">
        <f t="shared" si="2"/>
        <v>20</v>
      </c>
      <c r="G57">
        <f t="shared" si="1"/>
        <v>45</v>
      </c>
    </row>
    <row r="58" spans="1:7" x14ac:dyDescent="0.2">
      <c r="A58">
        <v>5</v>
      </c>
      <c r="B58">
        <v>5</v>
      </c>
      <c r="C58" s="2">
        <v>2</v>
      </c>
      <c r="D58" s="2">
        <v>3</v>
      </c>
      <c r="E58">
        <f t="shared" si="2"/>
        <v>20</v>
      </c>
      <c r="G58">
        <f t="shared" si="1"/>
        <v>45</v>
      </c>
    </row>
    <row r="59" spans="1:7" x14ac:dyDescent="0.2">
      <c r="A59">
        <v>5</v>
      </c>
      <c r="B59">
        <v>6</v>
      </c>
      <c r="C59" s="2">
        <v>2</v>
      </c>
      <c r="D59" s="2">
        <v>1</v>
      </c>
      <c r="E59">
        <f t="shared" si="2"/>
        <v>18</v>
      </c>
      <c r="G59">
        <f t="shared" si="1"/>
        <v>43</v>
      </c>
    </row>
    <row r="60" spans="1:7" x14ac:dyDescent="0.2">
      <c r="A60">
        <v>5</v>
      </c>
      <c r="B60">
        <v>6</v>
      </c>
      <c r="C60" s="2">
        <v>2</v>
      </c>
      <c r="D60" s="2">
        <v>2</v>
      </c>
      <c r="E60">
        <f t="shared" si="2"/>
        <v>24</v>
      </c>
      <c r="G60">
        <f t="shared" si="1"/>
        <v>49</v>
      </c>
    </row>
    <row r="61" spans="1:7" x14ac:dyDescent="0.2">
      <c r="A61">
        <v>5</v>
      </c>
      <c r="B61">
        <v>6</v>
      </c>
      <c r="C61" s="2">
        <v>2</v>
      </c>
      <c r="D61" s="2">
        <v>3</v>
      </c>
      <c r="E61">
        <f t="shared" si="2"/>
        <v>24</v>
      </c>
      <c r="G61">
        <f t="shared" si="1"/>
        <v>49</v>
      </c>
    </row>
    <row r="62" spans="1:7" x14ac:dyDescent="0.2">
      <c r="A62">
        <v>5</v>
      </c>
      <c r="B62">
        <v>7</v>
      </c>
      <c r="C62" s="2">
        <v>2</v>
      </c>
      <c r="D62" s="2">
        <v>1</v>
      </c>
      <c r="E62">
        <f t="shared" si="2"/>
        <v>21</v>
      </c>
      <c r="G62">
        <f t="shared" si="1"/>
        <v>46</v>
      </c>
    </row>
    <row r="63" spans="1:7" x14ac:dyDescent="0.2">
      <c r="A63">
        <v>5</v>
      </c>
      <c r="B63">
        <v>7</v>
      </c>
      <c r="C63" s="2">
        <v>2</v>
      </c>
      <c r="D63" s="2">
        <v>2</v>
      </c>
      <c r="E63">
        <f t="shared" si="2"/>
        <v>28</v>
      </c>
      <c r="G63">
        <f t="shared" si="1"/>
        <v>53</v>
      </c>
    </row>
    <row r="64" spans="1:7" x14ac:dyDescent="0.2">
      <c r="A64">
        <v>5</v>
      </c>
      <c r="B64">
        <v>7</v>
      </c>
      <c r="C64" s="2">
        <v>2</v>
      </c>
      <c r="D64" s="2">
        <v>3</v>
      </c>
      <c r="E64">
        <f t="shared" si="2"/>
        <v>28</v>
      </c>
      <c r="G64">
        <f t="shared" si="1"/>
        <v>53</v>
      </c>
    </row>
    <row r="65" spans="1:8" x14ac:dyDescent="0.2">
      <c r="A65">
        <v>5</v>
      </c>
      <c r="B65">
        <v>8</v>
      </c>
      <c r="C65" s="2">
        <v>2</v>
      </c>
      <c r="D65" s="2">
        <v>1</v>
      </c>
      <c r="E65">
        <f t="shared" si="2"/>
        <v>24</v>
      </c>
      <c r="G65">
        <f t="shared" si="1"/>
        <v>49</v>
      </c>
    </row>
    <row r="66" spans="1:8" x14ac:dyDescent="0.2">
      <c r="A66">
        <v>5</v>
      </c>
      <c r="B66">
        <v>8</v>
      </c>
      <c r="C66" s="2">
        <v>2</v>
      </c>
      <c r="D66" s="2">
        <v>2</v>
      </c>
      <c r="E66">
        <f t="shared" si="2"/>
        <v>32</v>
      </c>
      <c r="G66">
        <f t="shared" si="1"/>
        <v>57</v>
      </c>
    </row>
    <row r="67" spans="1:8" x14ac:dyDescent="0.2">
      <c r="A67">
        <v>5</v>
      </c>
      <c r="B67">
        <v>8</v>
      </c>
      <c r="C67" s="2">
        <v>2</v>
      </c>
      <c r="D67" s="2">
        <v>3</v>
      </c>
      <c r="E67">
        <f t="shared" si="2"/>
        <v>32</v>
      </c>
      <c r="G67">
        <f t="shared" ref="G67:G100" si="3">E67+A67*A67</f>
        <v>57</v>
      </c>
    </row>
    <row r="68" spans="1:8" x14ac:dyDescent="0.2">
      <c r="A68">
        <v>5</v>
      </c>
      <c r="B68">
        <v>7</v>
      </c>
      <c r="C68" s="2">
        <v>2</v>
      </c>
      <c r="D68" s="2">
        <v>1</v>
      </c>
      <c r="E68">
        <f t="shared" si="2"/>
        <v>21</v>
      </c>
      <c r="G68">
        <f t="shared" si="3"/>
        <v>46</v>
      </c>
    </row>
    <row r="69" spans="1:8" x14ac:dyDescent="0.2">
      <c r="A69">
        <v>5</v>
      </c>
      <c r="B69">
        <v>7</v>
      </c>
      <c r="C69" s="2">
        <v>2</v>
      </c>
      <c r="D69" s="2">
        <v>2</v>
      </c>
      <c r="E69">
        <f t="shared" si="2"/>
        <v>28</v>
      </c>
      <c r="G69">
        <f t="shared" si="3"/>
        <v>53</v>
      </c>
    </row>
    <row r="70" spans="1:8" x14ac:dyDescent="0.2">
      <c r="A70">
        <v>5</v>
      </c>
      <c r="B70">
        <v>7</v>
      </c>
      <c r="C70" s="2">
        <v>2</v>
      </c>
      <c r="D70" s="2">
        <v>3</v>
      </c>
      <c r="E70">
        <f t="shared" si="2"/>
        <v>28</v>
      </c>
      <c r="G70">
        <f t="shared" si="3"/>
        <v>53</v>
      </c>
    </row>
    <row r="71" spans="1:8" x14ac:dyDescent="0.2">
      <c r="A71">
        <v>6</v>
      </c>
      <c r="B71">
        <v>6</v>
      </c>
      <c r="C71" s="2">
        <v>3</v>
      </c>
      <c r="D71" s="2">
        <v>2</v>
      </c>
      <c r="E71">
        <f t="shared" si="2"/>
        <v>24</v>
      </c>
      <c r="F71">
        <f>AVERAGE(E71:E100)</f>
        <v>34.266666666666666</v>
      </c>
      <c r="G71">
        <f t="shared" si="3"/>
        <v>60</v>
      </c>
      <c r="H71">
        <f>AVERAGE(G71:G100)</f>
        <v>70.266666666666666</v>
      </c>
    </row>
    <row r="72" spans="1:8" x14ac:dyDescent="0.2">
      <c r="A72">
        <v>6</v>
      </c>
      <c r="B72">
        <v>7</v>
      </c>
      <c r="C72" s="2">
        <v>2</v>
      </c>
      <c r="D72" s="2">
        <v>2</v>
      </c>
      <c r="E72">
        <f t="shared" si="2"/>
        <v>28</v>
      </c>
      <c r="G72">
        <f t="shared" si="3"/>
        <v>64</v>
      </c>
    </row>
    <row r="73" spans="1:8" x14ac:dyDescent="0.2">
      <c r="A73">
        <v>6</v>
      </c>
      <c r="B73">
        <v>7</v>
      </c>
      <c r="C73" s="2">
        <v>2</v>
      </c>
      <c r="D73" s="2">
        <v>2</v>
      </c>
      <c r="E73">
        <f t="shared" si="2"/>
        <v>28</v>
      </c>
      <c r="G73">
        <f t="shared" si="3"/>
        <v>64</v>
      </c>
    </row>
    <row r="74" spans="1:8" x14ac:dyDescent="0.2">
      <c r="A74">
        <v>6</v>
      </c>
      <c r="B74">
        <v>7</v>
      </c>
      <c r="C74" s="2">
        <v>3</v>
      </c>
      <c r="D74" s="2">
        <v>2</v>
      </c>
      <c r="E74">
        <f t="shared" si="2"/>
        <v>28</v>
      </c>
      <c r="G74">
        <f t="shared" si="3"/>
        <v>64</v>
      </c>
    </row>
    <row r="75" spans="1:8" x14ac:dyDescent="0.2">
      <c r="A75">
        <v>6</v>
      </c>
      <c r="B75">
        <v>9</v>
      </c>
      <c r="C75" s="2">
        <v>3</v>
      </c>
      <c r="D75" s="2">
        <v>2</v>
      </c>
      <c r="E75">
        <f t="shared" si="2"/>
        <v>36</v>
      </c>
      <c r="G75">
        <f t="shared" si="3"/>
        <v>72</v>
      </c>
    </row>
    <row r="76" spans="1:8" x14ac:dyDescent="0.2">
      <c r="A76">
        <v>6</v>
      </c>
      <c r="B76">
        <v>7</v>
      </c>
      <c r="C76" s="2">
        <v>3</v>
      </c>
      <c r="D76" s="2">
        <v>2</v>
      </c>
      <c r="E76">
        <f t="shared" si="2"/>
        <v>28</v>
      </c>
      <c r="G76">
        <f t="shared" si="3"/>
        <v>64</v>
      </c>
    </row>
    <row r="77" spans="1:8" x14ac:dyDescent="0.2">
      <c r="A77">
        <v>6</v>
      </c>
      <c r="B77">
        <v>8</v>
      </c>
      <c r="C77" s="2">
        <v>3</v>
      </c>
      <c r="D77" s="2">
        <v>2</v>
      </c>
      <c r="E77">
        <f t="shared" si="2"/>
        <v>32</v>
      </c>
      <c r="G77">
        <f t="shared" si="3"/>
        <v>68</v>
      </c>
    </row>
    <row r="78" spans="1:8" x14ac:dyDescent="0.2">
      <c r="A78">
        <v>6</v>
      </c>
      <c r="B78">
        <v>8</v>
      </c>
      <c r="C78" s="2">
        <v>3</v>
      </c>
      <c r="D78" s="2">
        <v>2</v>
      </c>
      <c r="E78">
        <f t="shared" si="2"/>
        <v>32</v>
      </c>
      <c r="G78">
        <f t="shared" si="3"/>
        <v>68</v>
      </c>
    </row>
    <row r="79" spans="1:8" x14ac:dyDescent="0.2">
      <c r="A79">
        <v>6</v>
      </c>
      <c r="B79">
        <v>8</v>
      </c>
      <c r="C79" s="2">
        <v>3</v>
      </c>
      <c r="D79" s="2">
        <v>2</v>
      </c>
      <c r="E79">
        <f t="shared" si="2"/>
        <v>32</v>
      </c>
      <c r="G79">
        <f t="shared" si="3"/>
        <v>68</v>
      </c>
    </row>
    <row r="80" spans="1:8" x14ac:dyDescent="0.2">
      <c r="A80">
        <v>6</v>
      </c>
      <c r="B80">
        <v>8</v>
      </c>
      <c r="C80" s="2">
        <v>3</v>
      </c>
      <c r="D80" s="2">
        <v>2</v>
      </c>
      <c r="E80">
        <f t="shared" si="2"/>
        <v>32</v>
      </c>
      <c r="G80">
        <f t="shared" si="3"/>
        <v>68</v>
      </c>
    </row>
    <row r="81" spans="1:7" x14ac:dyDescent="0.2">
      <c r="A81">
        <v>6</v>
      </c>
      <c r="B81">
        <v>7</v>
      </c>
      <c r="C81" s="2">
        <v>3</v>
      </c>
      <c r="D81" s="2">
        <v>2</v>
      </c>
      <c r="E81">
        <f t="shared" si="2"/>
        <v>28</v>
      </c>
      <c r="G81">
        <f t="shared" si="3"/>
        <v>64</v>
      </c>
    </row>
    <row r="82" spans="1:7" x14ac:dyDescent="0.2">
      <c r="A82">
        <v>6</v>
      </c>
      <c r="B82">
        <v>8</v>
      </c>
      <c r="C82" s="2">
        <v>3</v>
      </c>
      <c r="D82" s="2">
        <v>2</v>
      </c>
      <c r="E82">
        <f t="shared" si="2"/>
        <v>32</v>
      </c>
      <c r="G82">
        <f t="shared" si="3"/>
        <v>68</v>
      </c>
    </row>
    <row r="83" spans="1:7" x14ac:dyDescent="0.2">
      <c r="A83">
        <v>6</v>
      </c>
      <c r="B83">
        <v>8</v>
      </c>
      <c r="C83" s="2">
        <v>2</v>
      </c>
      <c r="D83" s="2">
        <v>2</v>
      </c>
      <c r="E83">
        <f t="shared" si="2"/>
        <v>32</v>
      </c>
      <c r="G83">
        <f t="shared" si="3"/>
        <v>68</v>
      </c>
    </row>
    <row r="84" spans="1:7" x14ac:dyDescent="0.2">
      <c r="A84">
        <v>6</v>
      </c>
      <c r="B84">
        <v>9</v>
      </c>
      <c r="C84" s="2">
        <v>2</v>
      </c>
      <c r="D84" s="2">
        <v>2</v>
      </c>
      <c r="E84">
        <f t="shared" si="2"/>
        <v>36</v>
      </c>
      <c r="G84">
        <f t="shared" si="3"/>
        <v>72</v>
      </c>
    </row>
    <row r="85" spans="1:7" x14ac:dyDescent="0.2">
      <c r="A85">
        <v>6</v>
      </c>
      <c r="B85">
        <v>10</v>
      </c>
      <c r="C85" s="2">
        <v>2</v>
      </c>
      <c r="D85" s="2">
        <v>2</v>
      </c>
      <c r="E85">
        <f t="shared" si="2"/>
        <v>40</v>
      </c>
      <c r="G85">
        <f t="shared" si="3"/>
        <v>76</v>
      </c>
    </row>
    <row r="86" spans="1:7" x14ac:dyDescent="0.2">
      <c r="A86">
        <v>6</v>
      </c>
      <c r="B86">
        <v>8</v>
      </c>
      <c r="C86" s="2">
        <v>2</v>
      </c>
      <c r="D86" s="2">
        <v>2</v>
      </c>
      <c r="E86">
        <f t="shared" si="2"/>
        <v>32</v>
      </c>
      <c r="G86">
        <f t="shared" si="3"/>
        <v>68</v>
      </c>
    </row>
    <row r="87" spans="1:7" x14ac:dyDescent="0.2">
      <c r="A87">
        <v>6</v>
      </c>
      <c r="B87">
        <v>10</v>
      </c>
      <c r="C87" s="2">
        <v>3</v>
      </c>
      <c r="D87" s="2">
        <v>2</v>
      </c>
      <c r="E87">
        <f t="shared" si="2"/>
        <v>40</v>
      </c>
      <c r="G87">
        <f t="shared" si="3"/>
        <v>76</v>
      </c>
    </row>
    <row r="88" spans="1:7" x14ac:dyDescent="0.2">
      <c r="A88">
        <v>6</v>
      </c>
      <c r="B88">
        <v>10</v>
      </c>
      <c r="C88" s="2">
        <v>2</v>
      </c>
      <c r="D88" s="2">
        <v>2</v>
      </c>
      <c r="E88">
        <f t="shared" si="2"/>
        <v>40</v>
      </c>
      <c r="G88">
        <f t="shared" si="3"/>
        <v>76</v>
      </c>
    </row>
    <row r="89" spans="1:7" x14ac:dyDescent="0.2">
      <c r="A89">
        <v>6</v>
      </c>
      <c r="B89">
        <v>10</v>
      </c>
      <c r="C89" s="2">
        <v>3</v>
      </c>
      <c r="D89" s="2">
        <v>2</v>
      </c>
      <c r="E89">
        <f t="shared" si="2"/>
        <v>40</v>
      </c>
      <c r="G89">
        <f t="shared" si="3"/>
        <v>76</v>
      </c>
    </row>
    <row r="90" spans="1:7" x14ac:dyDescent="0.2">
      <c r="A90">
        <v>6</v>
      </c>
      <c r="B90">
        <v>7</v>
      </c>
      <c r="C90" s="2">
        <v>3</v>
      </c>
      <c r="D90" s="2">
        <v>2</v>
      </c>
      <c r="E90">
        <f t="shared" si="2"/>
        <v>28</v>
      </c>
      <c r="G90">
        <f t="shared" si="3"/>
        <v>64</v>
      </c>
    </row>
    <row r="91" spans="1:7" x14ac:dyDescent="0.2">
      <c r="A91">
        <v>6</v>
      </c>
      <c r="B91">
        <v>8</v>
      </c>
      <c r="C91" s="2">
        <v>2</v>
      </c>
      <c r="D91" s="2">
        <v>2</v>
      </c>
      <c r="E91">
        <f t="shared" si="2"/>
        <v>32</v>
      </c>
      <c r="G91">
        <f t="shared" si="3"/>
        <v>68</v>
      </c>
    </row>
    <row r="92" spans="1:7" x14ac:dyDescent="0.2">
      <c r="A92">
        <v>6</v>
      </c>
      <c r="B92">
        <v>8</v>
      </c>
      <c r="C92" s="2">
        <v>3</v>
      </c>
      <c r="D92" s="2">
        <v>2</v>
      </c>
      <c r="E92">
        <f t="shared" si="2"/>
        <v>32</v>
      </c>
      <c r="G92">
        <f t="shared" si="3"/>
        <v>68</v>
      </c>
    </row>
    <row r="93" spans="1:7" x14ac:dyDescent="0.2">
      <c r="A93">
        <v>6</v>
      </c>
      <c r="B93">
        <v>8</v>
      </c>
      <c r="C93" s="2">
        <v>3</v>
      </c>
      <c r="D93" s="2">
        <v>2</v>
      </c>
      <c r="E93">
        <f t="shared" si="2"/>
        <v>32</v>
      </c>
      <c r="G93">
        <f t="shared" si="3"/>
        <v>68</v>
      </c>
    </row>
    <row r="94" spans="1:7" x14ac:dyDescent="0.2">
      <c r="A94">
        <v>6</v>
      </c>
      <c r="B94">
        <v>11</v>
      </c>
      <c r="C94" s="2">
        <v>3</v>
      </c>
      <c r="D94" s="2">
        <v>2</v>
      </c>
      <c r="E94">
        <f t="shared" ref="E94:E100" si="4">B94*_xlfn.CEILING.MATH(LOG((C94+(A94-1)*D94),2))</f>
        <v>44</v>
      </c>
      <c r="G94">
        <f t="shared" si="3"/>
        <v>80</v>
      </c>
    </row>
    <row r="95" spans="1:7" x14ac:dyDescent="0.2">
      <c r="A95">
        <v>6</v>
      </c>
      <c r="B95">
        <v>10</v>
      </c>
      <c r="C95" s="2">
        <v>2</v>
      </c>
      <c r="D95" s="2">
        <v>2</v>
      </c>
      <c r="E95">
        <f t="shared" si="4"/>
        <v>40</v>
      </c>
      <c r="G95">
        <f t="shared" si="3"/>
        <v>76</v>
      </c>
    </row>
    <row r="96" spans="1:7" x14ac:dyDescent="0.2">
      <c r="A96">
        <v>6</v>
      </c>
      <c r="B96">
        <v>12</v>
      </c>
      <c r="C96" s="2">
        <v>2</v>
      </c>
      <c r="D96" s="2">
        <v>2</v>
      </c>
      <c r="E96">
        <f t="shared" si="4"/>
        <v>48</v>
      </c>
      <c r="G96">
        <f t="shared" si="3"/>
        <v>84</v>
      </c>
    </row>
    <row r="97" spans="1:7" x14ac:dyDescent="0.2">
      <c r="A97">
        <v>6</v>
      </c>
      <c r="B97">
        <v>8</v>
      </c>
      <c r="C97" s="2">
        <v>3</v>
      </c>
      <c r="D97" s="2">
        <v>2</v>
      </c>
      <c r="E97">
        <f t="shared" si="4"/>
        <v>32</v>
      </c>
      <c r="G97">
        <f t="shared" si="3"/>
        <v>68</v>
      </c>
    </row>
    <row r="98" spans="1:7" x14ac:dyDescent="0.2">
      <c r="A98">
        <v>6</v>
      </c>
      <c r="B98">
        <v>9</v>
      </c>
      <c r="C98" s="2">
        <v>3</v>
      </c>
      <c r="D98" s="2">
        <v>2</v>
      </c>
      <c r="E98">
        <f t="shared" si="4"/>
        <v>36</v>
      </c>
      <c r="G98">
        <f t="shared" si="3"/>
        <v>72</v>
      </c>
    </row>
    <row r="99" spans="1:7" x14ac:dyDescent="0.2">
      <c r="A99">
        <v>6</v>
      </c>
      <c r="B99">
        <v>10</v>
      </c>
      <c r="C99" s="2">
        <v>3</v>
      </c>
      <c r="D99" s="2">
        <v>2</v>
      </c>
      <c r="E99">
        <f t="shared" si="4"/>
        <v>40</v>
      </c>
      <c r="G99">
        <f t="shared" si="3"/>
        <v>76</v>
      </c>
    </row>
    <row r="100" spans="1:7" x14ac:dyDescent="0.2">
      <c r="A100">
        <v>6</v>
      </c>
      <c r="B100">
        <v>11</v>
      </c>
      <c r="C100" s="2">
        <v>2</v>
      </c>
      <c r="D100" s="2">
        <v>2</v>
      </c>
      <c r="E100">
        <f t="shared" si="4"/>
        <v>44</v>
      </c>
      <c r="G100">
        <f t="shared" si="3"/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0ACB-029B-9F48-8087-BAB4F8F93379}">
  <dimension ref="A1:M22"/>
  <sheetViews>
    <sheetView showGridLines="0" zoomScale="150" workbookViewId="0">
      <selection activeCell="L18" sqref="L18"/>
    </sheetView>
  </sheetViews>
  <sheetFormatPr baseColWidth="10" defaultRowHeight="16" x14ac:dyDescent="0.2"/>
  <cols>
    <col min="1" max="4" width="10.83203125" style="39"/>
    <col min="8" max="9" width="15.1640625" bestFit="1" customWidth="1"/>
    <col min="11" max="11" width="9.83203125" bestFit="1" customWidth="1"/>
    <col min="12" max="12" width="15.1640625" bestFit="1" customWidth="1"/>
  </cols>
  <sheetData>
    <row r="1" spans="1:13" x14ac:dyDescent="0.2">
      <c r="C1" s="37" t="s">
        <v>8</v>
      </c>
      <c r="D1" s="37" t="s">
        <v>16</v>
      </c>
      <c r="G1" s="51"/>
      <c r="H1" s="5" t="s">
        <v>57</v>
      </c>
      <c r="I1" s="5" t="s">
        <v>58</v>
      </c>
    </row>
    <row r="2" spans="1:13" x14ac:dyDescent="0.2">
      <c r="A2" s="37" t="s">
        <v>2</v>
      </c>
      <c r="B2" s="37" t="s">
        <v>10</v>
      </c>
      <c r="C2" s="36" t="s">
        <v>46</v>
      </c>
      <c r="D2" s="36" t="s">
        <v>46</v>
      </c>
      <c r="G2" s="15" t="s">
        <v>2</v>
      </c>
      <c r="H2" s="16" t="s">
        <v>64</v>
      </c>
      <c r="I2" s="17" t="s">
        <v>63</v>
      </c>
    </row>
    <row r="3" spans="1:13" x14ac:dyDescent="0.2">
      <c r="A3" s="38">
        <v>4</v>
      </c>
      <c r="B3" s="38">
        <v>1000</v>
      </c>
      <c r="C3" s="39">
        <v>66938.51851851854</v>
      </c>
      <c r="D3" s="39">
        <v>39102.185185186034</v>
      </c>
      <c r="G3" s="52">
        <v>4</v>
      </c>
      <c r="H3" s="45">
        <v>66938.51851851854</v>
      </c>
      <c r="I3" s="53">
        <v>39102.185185186034</v>
      </c>
    </row>
    <row r="4" spans="1:13" x14ac:dyDescent="0.2">
      <c r="A4" s="38">
        <v>5</v>
      </c>
      <c r="B4" s="38">
        <v>1000</v>
      </c>
      <c r="C4" s="39">
        <v>220242.78571428571</v>
      </c>
      <c r="D4" s="39">
        <v>118229.47619047652</v>
      </c>
      <c r="G4" s="52">
        <v>5</v>
      </c>
      <c r="H4" s="45">
        <v>220242.78571428571</v>
      </c>
      <c r="I4" s="53">
        <v>118229.47619047652</v>
      </c>
    </row>
    <row r="5" spans="1:13" x14ac:dyDescent="0.2">
      <c r="A5" s="38">
        <v>6</v>
      </c>
      <c r="B5" s="38">
        <v>1000</v>
      </c>
      <c r="C5" s="39">
        <v>1151164.9999999921</v>
      </c>
      <c r="D5" s="39">
        <v>483671.4666666686</v>
      </c>
      <c r="G5" s="52">
        <v>6</v>
      </c>
      <c r="H5" s="45">
        <v>1151164.9999999921</v>
      </c>
      <c r="I5" s="53">
        <v>483671.4666666686</v>
      </c>
    </row>
    <row r="6" spans="1:13" x14ac:dyDescent="0.2">
      <c r="A6" s="38"/>
      <c r="B6" s="38"/>
      <c r="C6" s="38"/>
      <c r="D6" s="38"/>
      <c r="G6" s="52">
        <v>7</v>
      </c>
      <c r="H6" s="45">
        <v>1913402.6333333168</v>
      </c>
      <c r="I6" s="53">
        <v>1915065.7666666422</v>
      </c>
    </row>
    <row r="7" spans="1:13" x14ac:dyDescent="0.2">
      <c r="A7" s="38"/>
      <c r="B7" s="38"/>
      <c r="G7" s="54">
        <v>8</v>
      </c>
      <c r="H7" s="55">
        <v>1118559.4999999769</v>
      </c>
      <c r="I7" s="56">
        <v>1108757.8999999778</v>
      </c>
    </row>
    <row r="8" spans="1:13" x14ac:dyDescent="0.2">
      <c r="A8" s="38"/>
      <c r="B8" s="38"/>
    </row>
    <row r="9" spans="1:13" x14ac:dyDescent="0.2">
      <c r="A9" s="38"/>
      <c r="B9" s="38"/>
    </row>
    <row r="10" spans="1:13" x14ac:dyDescent="0.2">
      <c r="A10" s="38"/>
      <c r="B10" s="38"/>
    </row>
    <row r="11" spans="1:13" x14ac:dyDescent="0.2">
      <c r="A11" s="38"/>
      <c r="B11" s="38"/>
      <c r="C11" s="38"/>
      <c r="D11" s="38"/>
    </row>
    <row r="12" spans="1:13" x14ac:dyDescent="0.2">
      <c r="A12" s="38"/>
      <c r="B12" s="38"/>
    </row>
    <row r="13" spans="1:13" x14ac:dyDescent="0.2">
      <c r="A13" s="38"/>
      <c r="B13" s="38"/>
    </row>
    <row r="14" spans="1:13" x14ac:dyDescent="0.2">
      <c r="A14" s="38"/>
      <c r="B14" s="38"/>
    </row>
    <row r="15" spans="1:13" x14ac:dyDescent="0.2">
      <c r="A15" s="38"/>
      <c r="B15" s="38"/>
      <c r="C15" s="38"/>
      <c r="D15" s="38"/>
    </row>
    <row r="16" spans="1:13" x14ac:dyDescent="0.2">
      <c r="A16" s="38"/>
      <c r="B16" s="38"/>
      <c r="K16" s="57"/>
      <c r="L16" s="5" t="s">
        <v>57</v>
      </c>
      <c r="M16" s="5" t="s">
        <v>58</v>
      </c>
    </row>
    <row r="17" spans="1:13" x14ac:dyDescent="0.2">
      <c r="A17" s="40"/>
      <c r="B17" s="38"/>
      <c r="C17" s="38"/>
      <c r="D17" s="38"/>
      <c r="K17" s="15" t="s">
        <v>2</v>
      </c>
      <c r="L17" s="16" t="s">
        <v>63</v>
      </c>
      <c r="M17" s="17" t="s">
        <v>63</v>
      </c>
    </row>
    <row r="18" spans="1:13" x14ac:dyDescent="0.2">
      <c r="A18" s="41"/>
      <c r="B18" s="41"/>
      <c r="C18" s="41"/>
      <c r="D18" s="41"/>
      <c r="K18" s="60">
        <v>4</v>
      </c>
      <c r="L18" s="50">
        <v>532067.62962962978</v>
      </c>
      <c r="M18" s="61">
        <v>250202.81481482487</v>
      </c>
    </row>
    <row r="19" spans="1:13" x14ac:dyDescent="0.2">
      <c r="A19" s="42"/>
      <c r="B19" s="42"/>
      <c r="C19" s="42"/>
      <c r="D19" s="42"/>
      <c r="K19" s="60">
        <v>5</v>
      </c>
      <c r="L19" s="50">
        <v>1337367.2142857146</v>
      </c>
      <c r="M19" s="61">
        <v>792486.90476190171</v>
      </c>
    </row>
    <row r="20" spans="1:13" x14ac:dyDescent="0.2">
      <c r="K20" s="60">
        <v>6</v>
      </c>
      <c r="L20" s="50">
        <v>5905265.5666666683</v>
      </c>
      <c r="M20" s="61">
        <v>2278585.8999999971</v>
      </c>
    </row>
    <row r="21" spans="1:13" x14ac:dyDescent="0.2">
      <c r="K21" s="60">
        <v>7</v>
      </c>
      <c r="L21" s="50">
        <v>12850378.566666674</v>
      </c>
      <c r="M21" s="61">
        <v>11672604.033333333</v>
      </c>
    </row>
    <row r="22" spans="1:13" x14ac:dyDescent="0.2">
      <c r="K22" s="62">
        <v>8</v>
      </c>
      <c r="L22" s="63">
        <v>14309795.766666641</v>
      </c>
      <c r="M22" s="64">
        <v>15852899.566666668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8010-3FF5-4F4E-9FCB-A1E0A1B39EF8}">
  <dimension ref="A1:E20"/>
  <sheetViews>
    <sheetView zoomScale="166" workbookViewId="0">
      <selection activeCell="E5" sqref="E5"/>
    </sheetView>
  </sheetViews>
  <sheetFormatPr baseColWidth="10" defaultRowHeight="16" x14ac:dyDescent="0.2"/>
  <sheetData>
    <row r="1" spans="1:5" x14ac:dyDescent="0.2">
      <c r="A1" s="5"/>
      <c r="B1" s="5"/>
      <c r="C1" s="5"/>
      <c r="D1" s="5" t="s">
        <v>57</v>
      </c>
      <c r="E1" s="5" t="s">
        <v>58</v>
      </c>
    </row>
    <row r="2" spans="1:5" x14ac:dyDescent="0.2">
      <c r="A2" s="3" t="s">
        <v>2</v>
      </c>
      <c r="B2" s="3" t="s">
        <v>59</v>
      </c>
      <c r="C2" s="3" t="s">
        <v>62</v>
      </c>
      <c r="D2" s="5" t="s">
        <v>48</v>
      </c>
      <c r="E2" s="5" t="s">
        <v>48</v>
      </c>
    </row>
    <row r="3" spans="1:5" x14ac:dyDescent="0.2">
      <c r="A3" s="7">
        <v>4</v>
      </c>
      <c r="B3" s="7">
        <v>1000</v>
      </c>
      <c r="C3">
        <v>300</v>
      </c>
      <c r="D3">
        <v>402794.19222222222</v>
      </c>
      <c r="E3">
        <v>394409.52111111121</v>
      </c>
    </row>
    <row r="4" spans="1:5" x14ac:dyDescent="0.2">
      <c r="A4" s="7"/>
      <c r="B4" s="7"/>
      <c r="C4">
        <v>500</v>
      </c>
      <c r="D4">
        <v>602791.14037037035</v>
      </c>
      <c r="E4">
        <v>594409.92111111106</v>
      </c>
    </row>
    <row r="5" spans="1:5" x14ac:dyDescent="0.2">
      <c r="A5" s="7"/>
      <c r="B5" s="7"/>
      <c r="C5">
        <v>700</v>
      </c>
      <c r="D5">
        <v>802791.1403703707</v>
      </c>
      <c r="E5">
        <v>794409.52111111116</v>
      </c>
    </row>
    <row r="6" spans="1:5" x14ac:dyDescent="0.2">
      <c r="A6" s="7"/>
      <c r="B6" s="7">
        <v>2000</v>
      </c>
      <c r="C6">
        <v>20</v>
      </c>
      <c r="D6">
        <v>229660.82925925925</v>
      </c>
      <c r="E6">
        <v>209592.1581481481</v>
      </c>
    </row>
    <row r="7" spans="1:5" x14ac:dyDescent="0.2">
      <c r="A7" s="7"/>
      <c r="B7" s="7"/>
      <c r="C7">
        <v>100</v>
      </c>
      <c r="D7">
        <v>389663.55518518528</v>
      </c>
      <c r="E7">
        <v>369592.14333333331</v>
      </c>
    </row>
    <row r="8" spans="1:5" x14ac:dyDescent="0.2">
      <c r="A8" s="7"/>
      <c r="B8" s="7"/>
      <c r="C8">
        <v>200</v>
      </c>
      <c r="D8">
        <v>589662.14777777775</v>
      </c>
      <c r="E8">
        <v>569591.7433333334</v>
      </c>
    </row>
    <row r="9" spans="1:5" x14ac:dyDescent="0.2">
      <c r="A9" s="7"/>
      <c r="B9" s="7"/>
      <c r="C9">
        <v>300</v>
      </c>
      <c r="D9">
        <v>789661.88111111126</v>
      </c>
      <c r="E9">
        <v>769591.74333333329</v>
      </c>
    </row>
    <row r="10" spans="1:5" x14ac:dyDescent="0.2">
      <c r="A10" s="7"/>
      <c r="B10" s="7">
        <v>3000</v>
      </c>
      <c r="C10">
        <v>20</v>
      </c>
      <c r="D10">
        <v>336528.23666666669</v>
      </c>
      <c r="E10">
        <v>304774.38037037035</v>
      </c>
    </row>
    <row r="11" spans="1:5" x14ac:dyDescent="0.2">
      <c r="A11" s="7"/>
      <c r="B11" s="7"/>
      <c r="C11">
        <v>100</v>
      </c>
      <c r="D11">
        <v>576530.08851851849</v>
      </c>
      <c r="E11">
        <v>544773.96555555554</v>
      </c>
    </row>
    <row r="12" spans="1:5" x14ac:dyDescent="0.2">
      <c r="A12" s="7"/>
      <c r="B12" s="7">
        <v>4000</v>
      </c>
      <c r="C12">
        <v>60</v>
      </c>
      <c r="D12">
        <v>603398.75518518523</v>
      </c>
      <c r="E12">
        <v>559956.60259259259</v>
      </c>
    </row>
    <row r="13" spans="1:5" x14ac:dyDescent="0.2">
      <c r="A13" s="7"/>
      <c r="B13" s="7">
        <v>5000</v>
      </c>
      <c r="C13">
        <v>20</v>
      </c>
      <c r="D13">
        <v>550263.05148148141</v>
      </c>
      <c r="E13">
        <v>495138.82481481484</v>
      </c>
    </row>
    <row r="14" spans="1:5" x14ac:dyDescent="0.2">
      <c r="A14" s="7">
        <v>5</v>
      </c>
      <c r="B14" s="7">
        <v>1000</v>
      </c>
      <c r="C14">
        <v>500</v>
      </c>
      <c r="D14">
        <v>616847.69380952383</v>
      </c>
      <c r="E14">
        <v>605468.33380952384</v>
      </c>
    </row>
    <row r="15" spans="1:5" x14ac:dyDescent="0.2">
      <c r="A15" s="7"/>
      <c r="B15" s="7"/>
      <c r="C15">
        <v>700</v>
      </c>
      <c r="D15">
        <v>816845.37</v>
      </c>
      <c r="E15">
        <v>805468.32428571419</v>
      </c>
    </row>
    <row r="16" spans="1:5" x14ac:dyDescent="0.2">
      <c r="A16" s="7"/>
      <c r="B16" s="7">
        <v>2000</v>
      </c>
      <c r="C16">
        <v>200</v>
      </c>
      <c r="D16">
        <v>617768.64619047625</v>
      </c>
      <c r="E16">
        <v>591709.28619047615</v>
      </c>
    </row>
    <row r="17" spans="1:5" x14ac:dyDescent="0.2">
      <c r="A17" s="7"/>
      <c r="B17" s="7"/>
      <c r="C17">
        <v>300</v>
      </c>
      <c r="D17">
        <v>817767.75095238094</v>
      </c>
      <c r="E17">
        <v>791709.27666666673</v>
      </c>
    </row>
    <row r="18" spans="1:5" x14ac:dyDescent="0.2">
      <c r="A18" s="7"/>
      <c r="B18" s="7">
        <v>3000</v>
      </c>
      <c r="C18">
        <v>20</v>
      </c>
      <c r="D18">
        <v>378691.76047619048</v>
      </c>
      <c r="E18">
        <v>337950.6385714286</v>
      </c>
    </row>
    <row r="19" spans="1:5" x14ac:dyDescent="0.2">
      <c r="A19" s="7"/>
      <c r="B19" s="7"/>
      <c r="C19">
        <v>100</v>
      </c>
      <c r="D19">
        <v>618689.59857142856</v>
      </c>
      <c r="E19">
        <v>577950.23857142869</v>
      </c>
    </row>
    <row r="20" spans="1:5" x14ac:dyDescent="0.2">
      <c r="A20" s="7"/>
      <c r="B20" s="7">
        <v>5000</v>
      </c>
      <c r="C20">
        <v>20</v>
      </c>
      <c r="D20">
        <v>620532.75095238106</v>
      </c>
      <c r="E20">
        <v>550432.54333333333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8749-FA76-1A4B-BC29-253AA03E10E6}">
  <dimension ref="G9:K40"/>
  <sheetViews>
    <sheetView showGridLines="0" workbookViewId="0">
      <selection activeCell="N14" sqref="N14"/>
    </sheetView>
  </sheetViews>
  <sheetFormatPr baseColWidth="10" defaultRowHeight="16" x14ac:dyDescent="0.2"/>
  <cols>
    <col min="2" max="2" width="10.33203125" bestFit="1" customWidth="1"/>
    <col min="3" max="3" width="14" bestFit="1" customWidth="1"/>
    <col min="4" max="5" width="19.5" bestFit="1" customWidth="1"/>
    <col min="8" max="8" width="10.33203125" bestFit="1" customWidth="1"/>
    <col min="9" max="9" width="14" bestFit="1" customWidth="1"/>
    <col min="10" max="10" width="20.6640625" bestFit="1" customWidth="1"/>
    <col min="11" max="11" width="22.83203125" bestFit="1" customWidth="1"/>
  </cols>
  <sheetData>
    <row r="9" spans="7:11" x14ac:dyDescent="0.2">
      <c r="G9" s="11"/>
      <c r="H9" s="12"/>
      <c r="I9" s="12"/>
      <c r="J9" s="36" t="s">
        <v>57</v>
      </c>
      <c r="K9" s="36" t="s">
        <v>58</v>
      </c>
    </row>
    <row r="10" spans="7:11" x14ac:dyDescent="0.2">
      <c r="G10" s="15" t="s">
        <v>2</v>
      </c>
      <c r="H10" s="16" t="s">
        <v>10</v>
      </c>
      <c r="I10" s="16" t="s">
        <v>12</v>
      </c>
      <c r="J10" s="16" t="s">
        <v>45</v>
      </c>
      <c r="K10" s="17" t="s">
        <v>45</v>
      </c>
    </row>
    <row r="11" spans="7:11" x14ac:dyDescent="0.2">
      <c r="G11" s="43">
        <v>4</v>
      </c>
      <c r="H11" s="44">
        <v>1000</v>
      </c>
      <c r="I11" s="45">
        <v>300</v>
      </c>
      <c r="J11" s="46">
        <v>0.1111111111111111</v>
      </c>
      <c r="K11" s="47">
        <v>0.14814814814814814</v>
      </c>
    </row>
    <row r="12" spans="7:11" x14ac:dyDescent="0.2">
      <c r="G12" s="43"/>
      <c r="H12" s="44"/>
      <c r="I12" s="45">
        <v>500</v>
      </c>
      <c r="J12" s="46">
        <v>0.18518518518518517</v>
      </c>
      <c r="K12" s="47">
        <v>0.22222222222222221</v>
      </c>
    </row>
    <row r="13" spans="7:11" x14ac:dyDescent="0.2">
      <c r="G13" s="43"/>
      <c r="H13" s="44"/>
      <c r="I13" s="45">
        <v>700</v>
      </c>
      <c r="J13" s="46">
        <v>0.14814814814814814</v>
      </c>
      <c r="K13" s="47">
        <v>0.29629629629629628</v>
      </c>
    </row>
    <row r="14" spans="7:11" x14ac:dyDescent="0.2">
      <c r="G14" s="43"/>
      <c r="H14" s="44" t="s">
        <v>22</v>
      </c>
      <c r="I14" s="44"/>
      <c r="J14" s="48">
        <v>0.14814814814814814</v>
      </c>
      <c r="K14" s="49">
        <v>0.22222222222222221</v>
      </c>
    </row>
    <row r="15" spans="7:11" x14ac:dyDescent="0.2">
      <c r="G15" s="43"/>
      <c r="H15" s="44">
        <v>2000</v>
      </c>
      <c r="I15" s="45">
        <v>20</v>
      </c>
      <c r="J15" s="46">
        <v>0.14814814814814814</v>
      </c>
      <c r="K15" s="47">
        <v>0.25925925925925924</v>
      </c>
    </row>
    <row r="16" spans="7:11" x14ac:dyDescent="0.2">
      <c r="G16" s="43"/>
      <c r="H16" s="44"/>
      <c r="I16" s="45">
        <v>100</v>
      </c>
      <c r="J16" s="46">
        <v>0.14814814814814814</v>
      </c>
      <c r="K16" s="47">
        <v>0.33333333333333331</v>
      </c>
    </row>
    <row r="17" spans="7:11" x14ac:dyDescent="0.2">
      <c r="G17" s="43"/>
      <c r="H17" s="44"/>
      <c r="I17" s="45">
        <v>200</v>
      </c>
      <c r="J17" s="46">
        <v>0.1111111111111111</v>
      </c>
      <c r="K17" s="47">
        <v>0.33333333333333331</v>
      </c>
    </row>
    <row r="18" spans="7:11" x14ac:dyDescent="0.2">
      <c r="G18" s="43"/>
      <c r="H18" s="44"/>
      <c r="I18" s="45">
        <v>300</v>
      </c>
      <c r="J18" s="46">
        <v>0.22222222222222221</v>
      </c>
      <c r="K18" s="47">
        <v>0.25925925925925924</v>
      </c>
    </row>
    <row r="19" spans="7:11" x14ac:dyDescent="0.2">
      <c r="G19" s="43"/>
      <c r="H19" s="44" t="s">
        <v>23</v>
      </c>
      <c r="I19" s="44"/>
      <c r="J19" s="48">
        <v>0.15740740740740741</v>
      </c>
      <c r="K19" s="49">
        <v>0.29629629629629628</v>
      </c>
    </row>
    <row r="20" spans="7:11" x14ac:dyDescent="0.2">
      <c r="G20" s="43"/>
      <c r="H20" s="44">
        <v>3000</v>
      </c>
      <c r="I20" s="45">
        <v>20</v>
      </c>
      <c r="J20" s="46">
        <v>0.14814814814814814</v>
      </c>
      <c r="K20" s="47">
        <v>0.25925925925925924</v>
      </c>
    </row>
    <row r="21" spans="7:11" x14ac:dyDescent="0.2">
      <c r="G21" s="43"/>
      <c r="H21" s="44"/>
      <c r="I21" s="45">
        <v>100</v>
      </c>
      <c r="J21" s="46">
        <v>0.25925925925925924</v>
      </c>
      <c r="K21" s="47">
        <v>0.37037037037037035</v>
      </c>
    </row>
    <row r="22" spans="7:11" x14ac:dyDescent="0.2">
      <c r="G22" s="43"/>
      <c r="H22" s="44" t="s">
        <v>24</v>
      </c>
      <c r="I22" s="44"/>
      <c r="J22" s="48">
        <v>0.20370370370370369</v>
      </c>
      <c r="K22" s="49">
        <v>0.31481481481481483</v>
      </c>
    </row>
    <row r="23" spans="7:11" x14ac:dyDescent="0.2">
      <c r="G23" s="43"/>
      <c r="H23" s="44">
        <v>4000</v>
      </c>
      <c r="I23" s="45">
        <v>60</v>
      </c>
      <c r="J23" s="46">
        <v>0.18518518518518517</v>
      </c>
      <c r="K23" s="47">
        <v>0.40740740740740738</v>
      </c>
    </row>
    <row r="24" spans="7:11" x14ac:dyDescent="0.2">
      <c r="G24" s="43"/>
      <c r="H24" s="44" t="s">
        <v>29</v>
      </c>
      <c r="I24" s="44"/>
      <c r="J24" s="48">
        <v>0.18518518518518517</v>
      </c>
      <c r="K24" s="49">
        <v>0.40740740740740738</v>
      </c>
    </row>
    <row r="25" spans="7:11" x14ac:dyDescent="0.2">
      <c r="G25" s="43"/>
      <c r="H25" s="44">
        <v>5000</v>
      </c>
      <c r="I25" s="45">
        <v>20</v>
      </c>
      <c r="J25" s="46">
        <v>0.18518518518518517</v>
      </c>
      <c r="K25" s="47">
        <v>0.29629629629629628</v>
      </c>
    </row>
    <row r="26" spans="7:11" x14ac:dyDescent="0.2">
      <c r="G26" s="43"/>
      <c r="H26" s="44" t="s">
        <v>25</v>
      </c>
      <c r="I26" s="44"/>
      <c r="J26" s="48">
        <v>0.18518518518518517</v>
      </c>
      <c r="K26" s="49">
        <v>0.29629629629629628</v>
      </c>
    </row>
    <row r="27" spans="7:11" x14ac:dyDescent="0.2">
      <c r="G27" s="43" t="s">
        <v>26</v>
      </c>
      <c r="H27" s="44"/>
      <c r="I27" s="44"/>
      <c r="J27" s="48">
        <v>0.16835016835016836</v>
      </c>
      <c r="K27" s="49">
        <v>0.28956228956228958</v>
      </c>
    </row>
    <row r="28" spans="7:11" x14ac:dyDescent="0.2">
      <c r="G28" s="43">
        <v>5</v>
      </c>
      <c r="H28" s="44">
        <v>1000</v>
      </c>
      <c r="I28" s="45">
        <v>500</v>
      </c>
      <c r="J28" s="46">
        <v>0</v>
      </c>
      <c r="K28" s="47">
        <v>0</v>
      </c>
    </row>
    <row r="29" spans="7:11" x14ac:dyDescent="0.2">
      <c r="G29" s="43"/>
      <c r="H29" s="44"/>
      <c r="I29" s="45">
        <v>700</v>
      </c>
      <c r="J29" s="46">
        <v>0</v>
      </c>
      <c r="K29" s="47">
        <v>2.3809523809523808E-2</v>
      </c>
    </row>
    <row r="30" spans="7:11" x14ac:dyDescent="0.2">
      <c r="G30" s="43"/>
      <c r="H30" s="44" t="s">
        <v>22</v>
      </c>
      <c r="I30" s="44"/>
      <c r="J30" s="48">
        <v>0</v>
      </c>
      <c r="K30" s="49">
        <v>1.1904761904761904E-2</v>
      </c>
    </row>
    <row r="31" spans="7:11" x14ac:dyDescent="0.2">
      <c r="G31" s="43"/>
      <c r="H31" s="44">
        <v>2000</v>
      </c>
      <c r="I31" s="45">
        <v>200</v>
      </c>
      <c r="J31" s="46">
        <v>0</v>
      </c>
      <c r="K31" s="47">
        <v>0</v>
      </c>
    </row>
    <row r="32" spans="7:11" x14ac:dyDescent="0.2">
      <c r="G32" s="43"/>
      <c r="H32" s="44"/>
      <c r="I32" s="45">
        <v>300</v>
      </c>
      <c r="J32" s="46">
        <v>0</v>
      </c>
      <c r="K32" s="47">
        <v>2.3809523809523808E-2</v>
      </c>
    </row>
    <row r="33" spans="7:11" x14ac:dyDescent="0.2">
      <c r="G33" s="43"/>
      <c r="H33" s="44" t="s">
        <v>23</v>
      </c>
      <c r="I33" s="44"/>
      <c r="J33" s="48">
        <v>0</v>
      </c>
      <c r="K33" s="49">
        <v>1.1904761904761904E-2</v>
      </c>
    </row>
    <row r="34" spans="7:11" x14ac:dyDescent="0.2">
      <c r="G34" s="43"/>
      <c r="H34" s="44">
        <v>3000</v>
      </c>
      <c r="I34" s="45">
        <v>20</v>
      </c>
      <c r="J34" s="46">
        <v>0</v>
      </c>
      <c r="K34" s="47">
        <v>0</v>
      </c>
    </row>
    <row r="35" spans="7:11" x14ac:dyDescent="0.2">
      <c r="G35" s="43"/>
      <c r="H35" s="44"/>
      <c r="I35" s="45">
        <v>100</v>
      </c>
      <c r="J35" s="46">
        <v>0</v>
      </c>
      <c r="K35" s="47">
        <v>2.3809523809523808E-2</v>
      </c>
    </row>
    <row r="36" spans="7:11" x14ac:dyDescent="0.2">
      <c r="G36" s="43"/>
      <c r="H36" s="44" t="s">
        <v>24</v>
      </c>
      <c r="I36" s="44"/>
      <c r="J36" s="48">
        <v>0</v>
      </c>
      <c r="K36" s="49">
        <v>1.1904761904761904E-2</v>
      </c>
    </row>
    <row r="37" spans="7:11" x14ac:dyDescent="0.2">
      <c r="G37" s="43"/>
      <c r="H37" s="44">
        <v>5000</v>
      </c>
      <c r="I37" s="45">
        <v>20</v>
      </c>
      <c r="J37" s="46">
        <v>0</v>
      </c>
      <c r="K37" s="47">
        <v>0</v>
      </c>
    </row>
    <row r="38" spans="7:11" x14ac:dyDescent="0.2">
      <c r="G38" s="43"/>
      <c r="H38" s="44" t="s">
        <v>25</v>
      </c>
      <c r="I38" s="44"/>
      <c r="J38" s="48">
        <v>0</v>
      </c>
      <c r="K38" s="49">
        <v>0</v>
      </c>
    </row>
    <row r="39" spans="7:11" x14ac:dyDescent="0.2">
      <c r="G39" s="43" t="s">
        <v>27</v>
      </c>
      <c r="H39" s="44"/>
      <c r="I39" s="44"/>
      <c r="J39" s="48">
        <v>0</v>
      </c>
      <c r="K39" s="49">
        <v>1.020408163265306E-2</v>
      </c>
    </row>
    <row r="40" spans="7:11" x14ac:dyDescent="0.2">
      <c r="G40" s="32" t="s">
        <v>21</v>
      </c>
      <c r="H40" s="33"/>
      <c r="I40" s="33"/>
      <c r="J40" s="34">
        <v>8.4602368866328256E-2</v>
      </c>
      <c r="K40" s="35">
        <v>0.15059221658206429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9E5BF-A165-C14F-8CBE-BB0FA1D701BE}">
  <dimension ref="A1:L44"/>
  <sheetViews>
    <sheetView zoomScale="159" workbookViewId="0">
      <selection activeCell="D5" sqref="D5"/>
    </sheetView>
  </sheetViews>
  <sheetFormatPr baseColWidth="10" defaultRowHeight="16" x14ac:dyDescent="0.2"/>
  <sheetData>
    <row r="1" spans="1:12" x14ac:dyDescent="0.2">
      <c r="A1" s="5"/>
      <c r="B1" s="5"/>
      <c r="C1" s="5"/>
      <c r="D1" s="5" t="s">
        <v>57</v>
      </c>
      <c r="E1" s="5" t="s">
        <v>58</v>
      </c>
      <c r="J1" t="s">
        <v>43</v>
      </c>
      <c r="K1" t="s">
        <v>41</v>
      </c>
      <c r="L1" t="s">
        <v>32</v>
      </c>
    </row>
    <row r="2" spans="1:12" x14ac:dyDescent="0.2">
      <c r="A2" s="3" t="s">
        <v>2</v>
      </c>
      <c r="B2" s="3" t="s">
        <v>59</v>
      </c>
      <c r="C2" s="3" t="s">
        <v>62</v>
      </c>
      <c r="D2" s="3" t="s">
        <v>60</v>
      </c>
      <c r="E2" s="3" t="s">
        <v>34</v>
      </c>
    </row>
    <row r="3" spans="1:12" x14ac:dyDescent="0.2">
      <c r="A3" s="7">
        <v>4</v>
      </c>
      <c r="B3" s="7">
        <v>1000</v>
      </c>
      <c r="C3">
        <v>300</v>
      </c>
      <c r="D3">
        <v>584146.43666666665</v>
      </c>
      <c r="E3">
        <v>464232.06000001146</v>
      </c>
    </row>
    <row r="4" spans="1:12" x14ac:dyDescent="0.2">
      <c r="A4" s="7"/>
      <c r="B4" s="7"/>
      <c r="C4">
        <v>500</v>
      </c>
      <c r="D4">
        <v>810143.76999999897</v>
      </c>
      <c r="E4">
        <v>703015.47666667867</v>
      </c>
    </row>
    <row r="5" spans="1:12" x14ac:dyDescent="0.2">
      <c r="A5" s="7"/>
      <c r="B5" s="7"/>
      <c r="C5">
        <v>700</v>
      </c>
      <c r="D5">
        <v>980456.41999999946</v>
      </c>
      <c r="E5">
        <v>910326.21000001405</v>
      </c>
    </row>
    <row r="6" spans="1:12" x14ac:dyDescent="0.2">
      <c r="A6" s="7"/>
      <c r="B6" s="7">
        <v>2000</v>
      </c>
      <c r="C6">
        <v>20</v>
      </c>
      <c r="D6">
        <v>432254.96999999904</v>
      </c>
      <c r="E6">
        <v>285349.03857144236</v>
      </c>
    </row>
    <row r="7" spans="1:12" x14ac:dyDescent="0.2">
      <c r="A7" s="7"/>
      <c r="B7" s="7"/>
      <c r="C7">
        <v>100</v>
      </c>
      <c r="D7">
        <v>592258.36999999906</v>
      </c>
      <c r="E7">
        <v>476208.63222224213</v>
      </c>
    </row>
    <row r="8" spans="1:12" x14ac:dyDescent="0.2">
      <c r="A8" s="7"/>
      <c r="B8" s="7"/>
      <c r="C8">
        <v>200</v>
      </c>
      <c r="D8">
        <v>764978.10333333293</v>
      </c>
      <c r="E8">
        <v>662318.09888890525</v>
      </c>
    </row>
    <row r="9" spans="1:12" x14ac:dyDescent="0.2">
      <c r="A9" s="7"/>
      <c r="B9" s="7"/>
      <c r="C9">
        <v>300</v>
      </c>
      <c r="D9">
        <v>996337.00333333248</v>
      </c>
      <c r="E9">
        <v>866519.75285715389</v>
      </c>
    </row>
    <row r="10" spans="1:12" x14ac:dyDescent="0.2">
      <c r="A10" s="7"/>
      <c r="B10" s="7">
        <v>3000</v>
      </c>
      <c r="C10">
        <v>20</v>
      </c>
      <c r="D10">
        <v>530503.51999999874</v>
      </c>
      <c r="E10">
        <v>404305.35285715893</v>
      </c>
    </row>
    <row r="11" spans="1:12" x14ac:dyDescent="0.2">
      <c r="A11" s="7"/>
      <c r="B11" s="7"/>
      <c r="C11">
        <v>100</v>
      </c>
      <c r="D11">
        <v>780659.42714285676</v>
      </c>
      <c r="E11">
        <v>652405.61000001465</v>
      </c>
    </row>
    <row r="12" spans="1:12" x14ac:dyDescent="0.2">
      <c r="A12" s="7"/>
      <c r="B12" s="7">
        <v>4000</v>
      </c>
      <c r="C12">
        <v>60</v>
      </c>
      <c r="D12">
        <v>825482.64999999921</v>
      </c>
      <c r="E12">
        <v>679815.53727273934</v>
      </c>
    </row>
    <row r="13" spans="1:12" x14ac:dyDescent="0.2">
      <c r="A13" s="7"/>
      <c r="B13" s="7">
        <v>5000</v>
      </c>
      <c r="C13">
        <v>20</v>
      </c>
      <c r="D13">
        <v>777388.72999999917</v>
      </c>
      <c r="E13">
        <v>575224.78500001784</v>
      </c>
    </row>
    <row r="14" spans="1:12" x14ac:dyDescent="0.2">
      <c r="A14" s="7">
        <v>5</v>
      </c>
      <c r="B14" s="7">
        <v>1000</v>
      </c>
      <c r="C14">
        <v>500</v>
      </c>
    </row>
    <row r="15" spans="1:12" x14ac:dyDescent="0.2">
      <c r="A15" s="7"/>
      <c r="B15" s="7"/>
      <c r="C15">
        <v>700</v>
      </c>
      <c r="E15">
        <v>973883.00999998022</v>
      </c>
    </row>
    <row r="16" spans="1:12" x14ac:dyDescent="0.2">
      <c r="A16" s="7"/>
      <c r="B16" s="7">
        <v>2000</v>
      </c>
      <c r="C16">
        <v>200</v>
      </c>
    </row>
    <row r="17" spans="1:11" x14ac:dyDescent="0.2">
      <c r="A17" s="7"/>
      <c r="B17" s="7"/>
      <c r="C17">
        <v>300</v>
      </c>
      <c r="E17">
        <v>938243.00999998022</v>
      </c>
    </row>
    <row r="18" spans="1:11" x14ac:dyDescent="0.2">
      <c r="A18" s="7"/>
      <c r="B18" s="7">
        <v>3000</v>
      </c>
      <c r="C18">
        <v>20</v>
      </c>
    </row>
    <row r="19" spans="1:11" x14ac:dyDescent="0.2">
      <c r="A19" s="7"/>
      <c r="B19" s="7"/>
      <c r="C19">
        <v>100</v>
      </c>
      <c r="E19">
        <v>702603.00999998022</v>
      </c>
    </row>
    <row r="20" spans="1:11" x14ac:dyDescent="0.2">
      <c r="A20" s="7"/>
      <c r="B20" s="7">
        <v>5000</v>
      </c>
      <c r="C20">
        <v>20</v>
      </c>
    </row>
    <row r="25" spans="1:11" x14ac:dyDescent="0.2">
      <c r="G25" s="5"/>
      <c r="H25" s="5"/>
      <c r="I25" s="5"/>
      <c r="J25" s="5" t="s">
        <v>57</v>
      </c>
      <c r="K25" s="5" t="s">
        <v>58</v>
      </c>
    </row>
    <row r="26" spans="1:11" x14ac:dyDescent="0.2">
      <c r="G26" s="3" t="s">
        <v>2</v>
      </c>
      <c r="H26" s="3" t="s">
        <v>59</v>
      </c>
      <c r="I26" s="3" t="s">
        <v>62</v>
      </c>
      <c r="J26" s="3" t="s">
        <v>35</v>
      </c>
      <c r="K26" s="3" t="s">
        <v>35</v>
      </c>
    </row>
    <row r="27" spans="1:11" x14ac:dyDescent="0.2">
      <c r="G27" s="7">
        <v>4</v>
      </c>
      <c r="H27" s="7">
        <v>1000</v>
      </c>
      <c r="I27">
        <v>300</v>
      </c>
      <c r="J27">
        <v>979106.9450000003</v>
      </c>
      <c r="K27">
        <v>676406.15782609675</v>
      </c>
    </row>
    <row r="28" spans="1:11" x14ac:dyDescent="0.2">
      <c r="G28" s="7"/>
      <c r="H28" s="7"/>
      <c r="I28">
        <v>500</v>
      </c>
      <c r="J28">
        <v>1209100.2154545458</v>
      </c>
      <c r="K28">
        <v>885532.75285715237</v>
      </c>
    </row>
    <row r="29" spans="1:11" x14ac:dyDescent="0.2">
      <c r="G29" s="7"/>
      <c r="H29" s="7"/>
      <c r="I29">
        <v>700</v>
      </c>
      <c r="J29">
        <v>1396917.3004347829</v>
      </c>
      <c r="K29">
        <v>1101666.3257894823</v>
      </c>
    </row>
    <row r="30" spans="1:11" x14ac:dyDescent="0.2">
      <c r="G30" s="7"/>
      <c r="H30" s="7">
        <v>2000</v>
      </c>
      <c r="I30">
        <v>20</v>
      </c>
      <c r="J30">
        <v>819451.53521739168</v>
      </c>
      <c r="K30">
        <v>521337.8900000088</v>
      </c>
    </row>
    <row r="31" spans="1:11" x14ac:dyDescent="0.2">
      <c r="G31" s="7"/>
      <c r="H31" s="7"/>
      <c r="I31">
        <v>100</v>
      </c>
      <c r="J31">
        <v>979454.14391304401</v>
      </c>
      <c r="K31">
        <v>692129.0544444496</v>
      </c>
    </row>
    <row r="32" spans="1:11" x14ac:dyDescent="0.2">
      <c r="G32" s="7"/>
      <c r="H32" s="7"/>
      <c r="I32">
        <v>200</v>
      </c>
      <c r="J32">
        <v>1166729.436666667</v>
      </c>
      <c r="K32">
        <v>899073.72111111798</v>
      </c>
    </row>
    <row r="33" spans="7:11" x14ac:dyDescent="0.2">
      <c r="G33" s="7"/>
      <c r="H33" s="7"/>
      <c r="I33">
        <v>300</v>
      </c>
      <c r="J33">
        <v>1415162.4557142863</v>
      </c>
      <c r="K33">
        <v>1073927.5800000099</v>
      </c>
    </row>
    <row r="34" spans="7:11" x14ac:dyDescent="0.2">
      <c r="G34" s="7"/>
      <c r="H34" s="7">
        <v>3000</v>
      </c>
      <c r="I34">
        <v>20</v>
      </c>
      <c r="J34">
        <v>927817.87434782658</v>
      </c>
      <c r="K34">
        <v>608199.18000000797</v>
      </c>
    </row>
    <row r="35" spans="7:11" x14ac:dyDescent="0.2">
      <c r="G35" s="7"/>
      <c r="H35" s="7"/>
      <c r="I35">
        <v>100</v>
      </c>
      <c r="J35">
        <v>1223862.9600000004</v>
      </c>
      <c r="K35">
        <v>879414.9276470663</v>
      </c>
    </row>
    <row r="36" spans="7:11" x14ac:dyDescent="0.2">
      <c r="G36" s="7"/>
      <c r="H36" s="7">
        <v>4000</v>
      </c>
      <c r="I36">
        <v>60</v>
      </c>
      <c r="J36">
        <v>1206359.8154545459</v>
      </c>
      <c r="K36">
        <v>900379.38500000874</v>
      </c>
    </row>
    <row r="37" spans="7:11" x14ac:dyDescent="0.2">
      <c r="G37" s="7"/>
      <c r="H37" s="7">
        <v>5000</v>
      </c>
      <c r="I37">
        <v>20</v>
      </c>
      <c r="J37">
        <v>1152078.2518181822</v>
      </c>
      <c r="K37">
        <v>817482.25210526993</v>
      </c>
    </row>
    <row r="38" spans="7:11" x14ac:dyDescent="0.2">
      <c r="G38" s="7">
        <v>5</v>
      </c>
      <c r="H38" s="7">
        <v>1000</v>
      </c>
      <c r="I38">
        <v>500</v>
      </c>
      <c r="J38">
        <v>1954689.4509523809</v>
      </c>
      <c r="K38">
        <v>1398429.7814285685</v>
      </c>
    </row>
    <row r="39" spans="7:11" x14ac:dyDescent="0.2">
      <c r="G39" s="7"/>
      <c r="H39" s="7"/>
      <c r="I39">
        <v>700</v>
      </c>
      <c r="J39">
        <v>2154687.1271428578</v>
      </c>
      <c r="K39">
        <v>1613662.6197560951</v>
      </c>
    </row>
    <row r="40" spans="7:11" x14ac:dyDescent="0.2">
      <c r="G40" s="7"/>
      <c r="H40" s="7">
        <v>2000</v>
      </c>
      <c r="I40">
        <v>200</v>
      </c>
      <c r="J40">
        <v>1955610.4033333333</v>
      </c>
      <c r="K40">
        <v>1384670.733809521</v>
      </c>
    </row>
    <row r="41" spans="7:11" x14ac:dyDescent="0.2">
      <c r="G41" s="7"/>
      <c r="H41" s="7"/>
      <c r="I41">
        <v>300</v>
      </c>
      <c r="J41">
        <v>2155609.5080952374</v>
      </c>
      <c r="K41">
        <v>1600437.2539024365</v>
      </c>
    </row>
    <row r="42" spans="7:11" x14ac:dyDescent="0.2">
      <c r="G42" s="7"/>
      <c r="H42" s="7">
        <v>3000</v>
      </c>
      <c r="I42">
        <v>20</v>
      </c>
      <c r="J42">
        <v>1716533.5176190471</v>
      </c>
      <c r="K42">
        <v>1130912.0861904731</v>
      </c>
    </row>
    <row r="43" spans="7:11" x14ac:dyDescent="0.2">
      <c r="G43" s="7"/>
      <c r="H43" s="7"/>
      <c r="I43">
        <v>100</v>
      </c>
      <c r="J43">
        <v>1956531.3557142857</v>
      </c>
      <c r="K43">
        <v>1387211.8978048756</v>
      </c>
    </row>
    <row r="44" spans="7:11" x14ac:dyDescent="0.2">
      <c r="G44" s="7"/>
      <c r="H44" s="7">
        <v>5000</v>
      </c>
      <c r="I44">
        <v>20</v>
      </c>
      <c r="J44">
        <v>1958374.5080952381</v>
      </c>
      <c r="K44">
        <v>1343393.9909523779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9D70-9EB7-2E49-9F91-4EDE8D0A33B1}">
  <dimension ref="A1:J20"/>
  <sheetViews>
    <sheetView zoomScale="193" workbookViewId="0">
      <selection activeCell="D4" sqref="D4"/>
    </sheetView>
  </sheetViews>
  <sheetFormatPr baseColWidth="10" defaultRowHeight="16" x14ac:dyDescent="0.2"/>
  <cols>
    <col min="4" max="5" width="26.83203125" bestFit="1" customWidth="1"/>
  </cols>
  <sheetData>
    <row r="1" spans="1:10" x14ac:dyDescent="0.2">
      <c r="A1" s="5"/>
      <c r="B1" s="5"/>
      <c r="C1" s="5"/>
      <c r="D1" s="5" t="s">
        <v>57</v>
      </c>
      <c r="E1" s="5" t="s">
        <v>58</v>
      </c>
    </row>
    <row r="2" spans="1:10" x14ac:dyDescent="0.2">
      <c r="A2" s="3" t="s">
        <v>2</v>
      </c>
      <c r="B2" s="3" t="s">
        <v>59</v>
      </c>
      <c r="C2" s="3" t="s">
        <v>12</v>
      </c>
      <c r="D2" s="3" t="s">
        <v>40</v>
      </c>
      <c r="E2" s="3" t="s">
        <v>40</v>
      </c>
      <c r="H2" s="5" t="s">
        <v>41</v>
      </c>
      <c r="I2" s="5" t="s">
        <v>32</v>
      </c>
      <c r="J2" s="5" t="s">
        <v>42</v>
      </c>
    </row>
    <row r="3" spans="1:10" x14ac:dyDescent="0.2">
      <c r="A3" s="7">
        <v>4</v>
      </c>
      <c r="B3" s="7">
        <v>1000</v>
      </c>
      <c r="C3">
        <v>300</v>
      </c>
      <c r="D3" s="6">
        <v>0.1111111111111111</v>
      </c>
      <c r="E3" s="6">
        <v>0.14814814814814814</v>
      </c>
    </row>
    <row r="4" spans="1:10" x14ac:dyDescent="0.2">
      <c r="A4" s="7"/>
      <c r="B4" s="7"/>
      <c r="C4">
        <v>500</v>
      </c>
      <c r="D4" s="6">
        <v>0.18518518518518517</v>
      </c>
      <c r="E4" s="6">
        <v>0.22222222222222221</v>
      </c>
    </row>
    <row r="5" spans="1:10" x14ac:dyDescent="0.2">
      <c r="A5" s="7"/>
      <c r="B5" s="7"/>
      <c r="C5">
        <v>700</v>
      </c>
      <c r="D5" s="6">
        <v>0.14814814814814814</v>
      </c>
      <c r="E5" s="6">
        <v>0.29629629629629628</v>
      </c>
    </row>
    <row r="6" spans="1:10" x14ac:dyDescent="0.2">
      <c r="A6" s="7"/>
      <c r="B6" s="7">
        <v>2000</v>
      </c>
      <c r="C6">
        <v>20</v>
      </c>
      <c r="D6" s="6">
        <v>0.14814814814814814</v>
      </c>
      <c r="E6" s="6">
        <v>0.25925925925925924</v>
      </c>
    </row>
    <row r="7" spans="1:10" x14ac:dyDescent="0.2">
      <c r="A7" s="7"/>
      <c r="B7" s="7"/>
      <c r="C7">
        <v>100</v>
      </c>
      <c r="D7" s="6">
        <v>0.14814814814814814</v>
      </c>
      <c r="E7" s="6">
        <v>0.33333333333333331</v>
      </c>
    </row>
    <row r="8" spans="1:10" x14ac:dyDescent="0.2">
      <c r="A8" s="7"/>
      <c r="B8" s="7"/>
      <c r="C8">
        <v>200</v>
      </c>
      <c r="D8" s="6">
        <v>0.1111111111111111</v>
      </c>
      <c r="E8" s="6">
        <v>0.33333333333333331</v>
      </c>
    </row>
    <row r="9" spans="1:10" x14ac:dyDescent="0.2">
      <c r="A9" s="7"/>
      <c r="B9" s="7"/>
      <c r="C9">
        <v>300</v>
      </c>
      <c r="D9" s="6">
        <v>0.22222222222222221</v>
      </c>
      <c r="E9" s="6">
        <v>0.25925925925925924</v>
      </c>
    </row>
    <row r="10" spans="1:10" x14ac:dyDescent="0.2">
      <c r="A10" s="7"/>
      <c r="B10" s="7">
        <v>3000</v>
      </c>
      <c r="C10">
        <v>20</v>
      </c>
      <c r="D10" s="6">
        <v>0.14814814814814814</v>
      </c>
      <c r="E10" s="6">
        <v>0.25925925925925924</v>
      </c>
    </row>
    <row r="11" spans="1:10" x14ac:dyDescent="0.2">
      <c r="A11" s="7"/>
      <c r="B11" s="7"/>
      <c r="C11">
        <v>100</v>
      </c>
      <c r="D11" s="6">
        <v>0.25925925925925924</v>
      </c>
      <c r="E11" s="6">
        <v>0.37037037037037035</v>
      </c>
    </row>
    <row r="12" spans="1:10" x14ac:dyDescent="0.2">
      <c r="A12" s="7"/>
      <c r="B12" s="7">
        <v>4000</v>
      </c>
      <c r="C12">
        <v>60</v>
      </c>
      <c r="D12" s="6">
        <v>0.18518518518518517</v>
      </c>
      <c r="E12" s="6">
        <v>0.40740740740740738</v>
      </c>
    </row>
    <row r="13" spans="1:10" x14ac:dyDescent="0.2">
      <c r="A13" s="7"/>
      <c r="B13" s="7">
        <v>5000</v>
      </c>
      <c r="C13">
        <v>20</v>
      </c>
      <c r="D13" s="6">
        <v>0.18518518518518517</v>
      </c>
      <c r="E13" s="6">
        <v>0.29629629629629628</v>
      </c>
    </row>
    <row r="14" spans="1:10" x14ac:dyDescent="0.2">
      <c r="A14" s="7">
        <v>5</v>
      </c>
      <c r="B14" s="7">
        <v>1000</v>
      </c>
      <c r="C14">
        <v>500</v>
      </c>
      <c r="D14" s="6">
        <v>0</v>
      </c>
      <c r="E14" s="6">
        <v>0</v>
      </c>
    </row>
    <row r="15" spans="1:10" x14ac:dyDescent="0.2">
      <c r="A15" s="7"/>
      <c r="B15" s="7"/>
      <c r="C15">
        <v>700</v>
      </c>
      <c r="D15" s="6">
        <v>0</v>
      </c>
      <c r="E15" s="6">
        <v>2.3809523809523808E-2</v>
      </c>
    </row>
    <row r="16" spans="1:10" x14ac:dyDescent="0.2">
      <c r="A16" s="7"/>
      <c r="B16" s="7">
        <v>2000</v>
      </c>
      <c r="C16">
        <v>200</v>
      </c>
      <c r="D16" s="6">
        <v>0</v>
      </c>
      <c r="E16" s="6">
        <v>0</v>
      </c>
    </row>
    <row r="17" spans="1:5" x14ac:dyDescent="0.2">
      <c r="A17" s="7"/>
      <c r="B17" s="7"/>
      <c r="C17">
        <v>300</v>
      </c>
      <c r="D17" s="6">
        <v>0</v>
      </c>
      <c r="E17" s="6">
        <v>2.3809523809523808E-2</v>
      </c>
    </row>
    <row r="18" spans="1:5" x14ac:dyDescent="0.2">
      <c r="A18" s="7"/>
      <c r="B18" s="7">
        <v>3000</v>
      </c>
      <c r="C18">
        <v>20</v>
      </c>
      <c r="D18" s="6">
        <v>0</v>
      </c>
      <c r="E18" s="6">
        <v>0</v>
      </c>
    </row>
    <row r="19" spans="1:5" x14ac:dyDescent="0.2">
      <c r="A19" s="7"/>
      <c r="B19" s="7"/>
      <c r="C19">
        <v>100</v>
      </c>
      <c r="D19" s="6">
        <v>0</v>
      </c>
      <c r="E19" s="6">
        <v>2.3809523809523808E-2</v>
      </c>
    </row>
    <row r="20" spans="1:5" x14ac:dyDescent="0.2">
      <c r="A20" s="7"/>
      <c r="B20" s="7">
        <v>5000</v>
      </c>
      <c r="C20">
        <v>20</v>
      </c>
      <c r="D20" s="6">
        <v>0</v>
      </c>
      <c r="E20" s="6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9920-9599-5A47-BF98-D3649A4D19F1}">
  <dimension ref="F21:J62"/>
  <sheetViews>
    <sheetView showGridLines="0" topLeftCell="A20" zoomScale="85" zoomScaleNormal="85" workbookViewId="0">
      <selection activeCell="M31" sqref="M31"/>
    </sheetView>
  </sheetViews>
  <sheetFormatPr baseColWidth="10" defaultRowHeight="16" x14ac:dyDescent="0.2"/>
  <cols>
    <col min="7" max="7" width="10.33203125" bestFit="1" customWidth="1"/>
    <col min="8" max="8" width="14" bestFit="1" customWidth="1"/>
    <col min="9" max="10" width="20" bestFit="1" customWidth="1"/>
  </cols>
  <sheetData>
    <row r="21" spans="6:10" x14ac:dyDescent="0.2">
      <c r="F21" s="11"/>
      <c r="G21" s="12"/>
      <c r="H21" s="13"/>
      <c r="I21" s="12" t="s">
        <v>53</v>
      </c>
      <c r="J21" s="14" t="s">
        <v>54</v>
      </c>
    </row>
    <row r="22" spans="6:10" x14ac:dyDescent="0.2">
      <c r="F22" s="15" t="s">
        <v>2</v>
      </c>
      <c r="G22" s="16" t="s">
        <v>10</v>
      </c>
      <c r="H22" s="16" t="s">
        <v>12</v>
      </c>
      <c r="I22" s="16" t="s">
        <v>44</v>
      </c>
      <c r="J22" s="17" t="s">
        <v>44</v>
      </c>
    </row>
    <row r="23" spans="6:10" x14ac:dyDescent="0.2">
      <c r="F23" s="18">
        <v>4</v>
      </c>
      <c r="G23" s="19">
        <v>1000</v>
      </c>
      <c r="H23" s="20">
        <v>20</v>
      </c>
      <c r="I23" s="21">
        <v>0.96296296296296291</v>
      </c>
      <c r="J23" s="22">
        <v>0.92592592592592593</v>
      </c>
    </row>
    <row r="24" spans="6:10" x14ac:dyDescent="0.2">
      <c r="F24" s="23"/>
      <c r="G24" s="24" t="s">
        <v>22</v>
      </c>
      <c r="H24" s="24"/>
      <c r="I24" s="25">
        <v>0.96296296296296291</v>
      </c>
      <c r="J24" s="26">
        <v>0.92592592592592593</v>
      </c>
    </row>
    <row r="25" spans="6:10" x14ac:dyDescent="0.2">
      <c r="F25" s="18" t="s">
        <v>26</v>
      </c>
      <c r="G25" s="19"/>
      <c r="H25" s="19"/>
      <c r="I25" s="27">
        <v>0.96296296296296291</v>
      </c>
      <c r="J25" s="28">
        <v>0.92592592592592593</v>
      </c>
    </row>
    <row r="26" spans="6:10" x14ac:dyDescent="0.2">
      <c r="F26" s="23">
        <v>5</v>
      </c>
      <c r="G26" s="24">
        <v>1000</v>
      </c>
      <c r="H26" s="29">
        <v>20</v>
      </c>
      <c r="I26" s="30">
        <v>0.76190476190476186</v>
      </c>
      <c r="J26" s="31">
        <v>0.6428571428571429</v>
      </c>
    </row>
    <row r="27" spans="6:10" x14ac:dyDescent="0.2">
      <c r="F27" s="18"/>
      <c r="G27" s="19"/>
      <c r="H27" s="20">
        <v>100</v>
      </c>
      <c r="I27" s="21">
        <v>0.7857142857142857</v>
      </c>
      <c r="J27" s="22">
        <v>0.66666666666666663</v>
      </c>
    </row>
    <row r="28" spans="6:10" x14ac:dyDescent="0.2">
      <c r="F28" s="23"/>
      <c r="G28" s="24"/>
      <c r="H28" s="29">
        <v>300</v>
      </c>
      <c r="I28" s="30">
        <v>0.7857142857142857</v>
      </c>
      <c r="J28" s="31">
        <v>0.7142857142857143</v>
      </c>
    </row>
    <row r="29" spans="6:10" x14ac:dyDescent="0.2">
      <c r="F29" s="18"/>
      <c r="G29" s="19"/>
      <c r="H29" s="20">
        <v>500</v>
      </c>
      <c r="I29" s="21">
        <v>0.69047619047619047</v>
      </c>
      <c r="J29" s="22">
        <v>0.76190476190476186</v>
      </c>
    </row>
    <row r="30" spans="6:10" x14ac:dyDescent="0.2">
      <c r="F30" s="23"/>
      <c r="G30" s="24"/>
      <c r="H30" s="29">
        <v>700</v>
      </c>
      <c r="I30" s="30">
        <v>0.73809523809523814</v>
      </c>
      <c r="J30" s="31">
        <v>0.7142857142857143</v>
      </c>
    </row>
    <row r="31" spans="6:10" x14ac:dyDescent="0.2">
      <c r="F31" s="18"/>
      <c r="G31" s="19" t="s">
        <v>22</v>
      </c>
      <c r="H31" s="19"/>
      <c r="I31" s="27">
        <v>0.75238095238095237</v>
      </c>
      <c r="J31" s="28">
        <v>0.7</v>
      </c>
    </row>
    <row r="32" spans="6:10" x14ac:dyDescent="0.2">
      <c r="F32" s="23"/>
      <c r="G32" s="24">
        <v>2000</v>
      </c>
      <c r="H32" s="29">
        <v>20</v>
      </c>
      <c r="I32" s="30">
        <v>0.76190476190476186</v>
      </c>
      <c r="J32" s="31">
        <v>0.76190476190476186</v>
      </c>
    </row>
    <row r="33" spans="6:10" x14ac:dyDescent="0.2">
      <c r="F33" s="18"/>
      <c r="G33" s="19"/>
      <c r="H33" s="20">
        <v>100</v>
      </c>
      <c r="I33" s="21">
        <v>0.76190476190476186</v>
      </c>
      <c r="J33" s="22">
        <v>0.7142857142857143</v>
      </c>
    </row>
    <row r="34" spans="6:10" x14ac:dyDescent="0.2">
      <c r="F34" s="23"/>
      <c r="G34" s="24"/>
      <c r="H34" s="29">
        <v>200</v>
      </c>
      <c r="I34" s="30">
        <v>0.83333333333333337</v>
      </c>
      <c r="J34" s="31">
        <v>0.80952380952380953</v>
      </c>
    </row>
    <row r="35" spans="6:10" x14ac:dyDescent="0.2">
      <c r="F35" s="18"/>
      <c r="G35" s="19"/>
      <c r="H35" s="20">
        <v>300</v>
      </c>
      <c r="I35" s="21">
        <v>0.80952380952380953</v>
      </c>
      <c r="J35" s="22">
        <v>0.69047619047619047</v>
      </c>
    </row>
    <row r="36" spans="6:10" x14ac:dyDescent="0.2">
      <c r="F36" s="23"/>
      <c r="G36" s="24" t="s">
        <v>23</v>
      </c>
      <c r="H36" s="24"/>
      <c r="I36" s="25">
        <v>0.79166666666666663</v>
      </c>
      <c r="J36" s="26">
        <v>0.74404761904761907</v>
      </c>
    </row>
    <row r="37" spans="6:10" x14ac:dyDescent="0.2">
      <c r="F37" s="18"/>
      <c r="G37" s="19">
        <v>3000</v>
      </c>
      <c r="H37" s="20">
        <v>20</v>
      </c>
      <c r="I37" s="21">
        <v>0.80952380952380953</v>
      </c>
      <c r="J37" s="22">
        <v>0.73809523809523814</v>
      </c>
    </row>
    <row r="38" spans="6:10" x14ac:dyDescent="0.2">
      <c r="F38" s="23"/>
      <c r="G38" s="24"/>
      <c r="H38" s="29">
        <v>100</v>
      </c>
      <c r="I38" s="30">
        <v>0.83333333333333337</v>
      </c>
      <c r="J38" s="31">
        <v>0.76190476190476186</v>
      </c>
    </row>
    <row r="39" spans="6:10" x14ac:dyDescent="0.2">
      <c r="F39" s="18"/>
      <c r="G39" s="19"/>
      <c r="H39" s="20">
        <v>200</v>
      </c>
      <c r="I39" s="21" t="s">
        <v>39</v>
      </c>
      <c r="J39" s="22">
        <v>0.7142857142857143</v>
      </c>
    </row>
    <row r="40" spans="6:10" x14ac:dyDescent="0.2">
      <c r="F40" s="23"/>
      <c r="G40" s="24" t="s">
        <v>24</v>
      </c>
      <c r="H40" s="24"/>
      <c r="I40" s="25">
        <v>0.8214285714285714</v>
      </c>
      <c r="J40" s="26">
        <v>0.73809523809523814</v>
      </c>
    </row>
    <row r="41" spans="6:10" x14ac:dyDescent="0.2">
      <c r="F41" s="18"/>
      <c r="G41" s="19">
        <v>5000</v>
      </c>
      <c r="H41" s="20">
        <v>20</v>
      </c>
      <c r="I41" s="21">
        <v>0.8571428571428571</v>
      </c>
      <c r="J41" s="22">
        <v>0.7857142857142857</v>
      </c>
    </row>
    <row r="42" spans="6:10" x14ac:dyDescent="0.2">
      <c r="F42" s="23"/>
      <c r="G42" s="24" t="s">
        <v>25</v>
      </c>
      <c r="H42" s="24"/>
      <c r="I42" s="25">
        <v>0.8571428571428571</v>
      </c>
      <c r="J42" s="26">
        <v>0.7857142857142857</v>
      </c>
    </row>
    <row r="43" spans="6:10" x14ac:dyDescent="0.2">
      <c r="F43" s="18" t="s">
        <v>27</v>
      </c>
      <c r="G43" s="19"/>
      <c r="H43" s="19"/>
      <c r="I43" s="27">
        <v>0.7857142857142857</v>
      </c>
      <c r="J43" s="28">
        <v>0.7289377289377289</v>
      </c>
    </row>
    <row r="44" spans="6:10" x14ac:dyDescent="0.2">
      <c r="F44" s="23">
        <v>6</v>
      </c>
      <c r="G44" s="24">
        <v>1000</v>
      </c>
      <c r="H44" s="29">
        <v>20</v>
      </c>
      <c r="I44" s="30">
        <v>0.1</v>
      </c>
      <c r="J44" s="31">
        <v>3.3333333333333333E-2</v>
      </c>
    </row>
    <row r="45" spans="6:10" x14ac:dyDescent="0.2">
      <c r="F45" s="18"/>
      <c r="G45" s="19"/>
      <c r="H45" s="20">
        <v>100</v>
      </c>
      <c r="I45" s="21">
        <v>0</v>
      </c>
      <c r="J45" s="22">
        <v>0</v>
      </c>
    </row>
    <row r="46" spans="6:10" x14ac:dyDescent="0.2">
      <c r="F46" s="23"/>
      <c r="G46" s="24"/>
      <c r="H46" s="29">
        <v>300</v>
      </c>
      <c r="I46" s="30">
        <v>3.3333333333333333E-2</v>
      </c>
      <c r="J46" s="31">
        <v>6.6666666666666666E-2</v>
      </c>
    </row>
    <row r="47" spans="6:10" x14ac:dyDescent="0.2">
      <c r="F47" s="18"/>
      <c r="G47" s="19"/>
      <c r="H47" s="20">
        <v>500</v>
      </c>
      <c r="I47" s="21">
        <v>3.3333333333333333E-2</v>
      </c>
      <c r="J47" s="22">
        <v>0</v>
      </c>
    </row>
    <row r="48" spans="6:10" x14ac:dyDescent="0.2">
      <c r="F48" s="23"/>
      <c r="G48" s="24"/>
      <c r="H48" s="29">
        <v>700</v>
      </c>
      <c r="I48" s="30">
        <v>3.3333333333333333E-2</v>
      </c>
      <c r="J48" s="31">
        <v>0</v>
      </c>
    </row>
    <row r="49" spans="6:10" x14ac:dyDescent="0.2">
      <c r="F49" s="18"/>
      <c r="G49" s="19" t="s">
        <v>22</v>
      </c>
      <c r="H49" s="19"/>
      <c r="I49" s="27">
        <v>0.04</v>
      </c>
      <c r="J49" s="28">
        <v>0.02</v>
      </c>
    </row>
    <row r="50" spans="6:10" x14ac:dyDescent="0.2">
      <c r="F50" s="23"/>
      <c r="G50" s="24">
        <v>2000</v>
      </c>
      <c r="H50" s="29">
        <v>20</v>
      </c>
      <c r="I50" s="30">
        <v>0.1</v>
      </c>
      <c r="J50" s="31">
        <v>3.3333333333333333E-2</v>
      </c>
    </row>
    <row r="51" spans="6:10" x14ac:dyDescent="0.2">
      <c r="F51" s="18"/>
      <c r="G51" s="19"/>
      <c r="H51" s="20">
        <v>100</v>
      </c>
      <c r="I51" s="21">
        <v>0</v>
      </c>
      <c r="J51" s="22">
        <v>3.3333333333333333E-2</v>
      </c>
    </row>
    <row r="52" spans="6:10" x14ac:dyDescent="0.2">
      <c r="F52" s="23"/>
      <c r="G52" s="24"/>
      <c r="H52" s="29">
        <v>200</v>
      </c>
      <c r="I52" s="30">
        <v>6.6666666666666666E-2</v>
      </c>
      <c r="J52" s="31">
        <v>3.3333333333333333E-2</v>
      </c>
    </row>
    <row r="53" spans="6:10" x14ac:dyDescent="0.2">
      <c r="F53" s="18"/>
      <c r="G53" s="19"/>
      <c r="H53" s="20">
        <v>300</v>
      </c>
      <c r="I53" s="21">
        <v>3.3333333333333333E-2</v>
      </c>
      <c r="J53" s="22">
        <v>0.1</v>
      </c>
    </row>
    <row r="54" spans="6:10" x14ac:dyDescent="0.2">
      <c r="F54" s="23"/>
      <c r="G54" s="24" t="s">
        <v>23</v>
      </c>
      <c r="H54" s="24"/>
      <c r="I54" s="25">
        <v>0.05</v>
      </c>
      <c r="J54" s="26">
        <v>0.05</v>
      </c>
    </row>
    <row r="55" spans="6:10" x14ac:dyDescent="0.2">
      <c r="F55" s="18"/>
      <c r="G55" s="19">
        <v>3000</v>
      </c>
      <c r="H55" s="20">
        <v>20</v>
      </c>
      <c r="I55" s="21">
        <v>0.13333333333333333</v>
      </c>
      <c r="J55" s="22">
        <v>6.6666666666666666E-2</v>
      </c>
    </row>
    <row r="56" spans="6:10" x14ac:dyDescent="0.2">
      <c r="F56" s="23"/>
      <c r="G56" s="24"/>
      <c r="H56" s="29">
        <v>100</v>
      </c>
      <c r="I56" s="30">
        <v>3.3333333333333333E-2</v>
      </c>
      <c r="J56" s="31">
        <v>0</v>
      </c>
    </row>
    <row r="57" spans="6:10" x14ac:dyDescent="0.2">
      <c r="F57" s="18"/>
      <c r="G57" s="19"/>
      <c r="H57" s="20">
        <v>200</v>
      </c>
      <c r="I57" s="21" t="s">
        <v>39</v>
      </c>
      <c r="J57" s="22">
        <v>0.1</v>
      </c>
    </row>
    <row r="58" spans="6:10" x14ac:dyDescent="0.2">
      <c r="F58" s="23"/>
      <c r="G58" s="24" t="s">
        <v>24</v>
      </c>
      <c r="H58" s="24"/>
      <c r="I58" s="25">
        <v>8.3333333333333329E-2</v>
      </c>
      <c r="J58" s="26">
        <v>5.5555555555555552E-2</v>
      </c>
    </row>
    <row r="59" spans="6:10" x14ac:dyDescent="0.2">
      <c r="F59" s="18"/>
      <c r="G59" s="19">
        <v>5000</v>
      </c>
      <c r="H59" s="20">
        <v>20</v>
      </c>
      <c r="I59" s="21">
        <v>0.13333333333333333</v>
      </c>
      <c r="J59" s="22">
        <v>0</v>
      </c>
    </row>
    <row r="60" spans="6:10" x14ac:dyDescent="0.2">
      <c r="F60" s="23"/>
      <c r="G60" s="24" t="s">
        <v>25</v>
      </c>
      <c r="H60" s="24"/>
      <c r="I60" s="25">
        <v>0.13333333333333333</v>
      </c>
      <c r="J60" s="26">
        <v>0</v>
      </c>
    </row>
    <row r="61" spans="6:10" x14ac:dyDescent="0.2">
      <c r="F61" s="18" t="s">
        <v>28</v>
      </c>
      <c r="G61" s="19"/>
      <c r="H61" s="19"/>
      <c r="I61" s="27">
        <v>5.8333333333333334E-2</v>
      </c>
      <c r="J61" s="28">
        <v>3.5897435897435895E-2</v>
      </c>
    </row>
    <row r="62" spans="6:10" x14ac:dyDescent="0.2">
      <c r="F62" s="32" t="s">
        <v>21</v>
      </c>
      <c r="G62" s="33"/>
      <c r="H62" s="33"/>
      <c r="I62" s="34">
        <v>0.49719416386083054</v>
      </c>
      <c r="J62" s="35">
        <v>0.45379023883696779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E4E4-0EEE-D74F-9CF7-1175A1920FF8}">
  <dimension ref="A1:AA59"/>
  <sheetViews>
    <sheetView zoomScale="150" workbookViewId="0">
      <selection activeCell="D1" sqref="D1:E1"/>
    </sheetView>
  </sheetViews>
  <sheetFormatPr baseColWidth="10" defaultRowHeight="16" x14ac:dyDescent="0.2"/>
  <sheetData>
    <row r="1" spans="1:27" x14ac:dyDescent="0.2">
      <c r="A1" s="5"/>
      <c r="B1" s="5"/>
      <c r="C1" s="5"/>
      <c r="D1" s="5" t="s">
        <v>57</v>
      </c>
      <c r="E1" s="5" t="s">
        <v>58</v>
      </c>
      <c r="I1" t="s">
        <v>36</v>
      </c>
      <c r="J1" t="s">
        <v>32</v>
      </c>
      <c r="K1" t="s">
        <v>33</v>
      </c>
    </row>
    <row r="2" spans="1:27" x14ac:dyDescent="0.2">
      <c r="A2" s="3" t="s">
        <v>2</v>
      </c>
      <c r="B2" s="3" t="s">
        <v>59</v>
      </c>
      <c r="C2" s="3" t="s">
        <v>62</v>
      </c>
      <c r="D2" s="5" t="s">
        <v>60</v>
      </c>
      <c r="E2" s="5" t="s">
        <v>60</v>
      </c>
    </row>
    <row r="3" spans="1:27" x14ac:dyDescent="0.2">
      <c r="A3" s="7">
        <v>4</v>
      </c>
      <c r="B3" s="7">
        <v>1000</v>
      </c>
      <c r="C3">
        <v>20</v>
      </c>
      <c r="D3">
        <v>177233.30846153852</v>
      </c>
      <c r="E3">
        <v>133261.70600000134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spans="1:27" x14ac:dyDescent="0.2">
      <c r="A4" s="7">
        <v>5</v>
      </c>
      <c r="B4" s="7">
        <v>1000</v>
      </c>
      <c r="C4">
        <v>20</v>
      </c>
      <c r="D4">
        <v>271587.4262499999</v>
      </c>
      <c r="E4">
        <v>163997.23222222173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</row>
    <row r="5" spans="1:27" x14ac:dyDescent="0.2">
      <c r="A5" s="7"/>
      <c r="B5" s="7"/>
      <c r="C5">
        <v>100</v>
      </c>
      <c r="D5">
        <v>363703.0306060607</v>
      </c>
      <c r="E5">
        <v>257402.75999999983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</row>
    <row r="6" spans="1:27" x14ac:dyDescent="0.2">
      <c r="A6" s="7"/>
      <c r="B6" s="7"/>
      <c r="C6">
        <v>300</v>
      </c>
      <c r="D6">
        <v>540593.34575757571</v>
      </c>
      <c r="E6">
        <v>446563.6299999989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</row>
    <row r="7" spans="1:27" x14ac:dyDescent="0.2">
      <c r="A7" s="7"/>
      <c r="B7" s="7"/>
      <c r="C7">
        <v>500</v>
      </c>
      <c r="D7">
        <v>727215.99758620677</v>
      </c>
      <c r="E7">
        <v>650230.03499999957</v>
      </c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</row>
    <row r="8" spans="1:27" x14ac:dyDescent="0.2">
      <c r="A8" s="7"/>
      <c r="B8" s="7"/>
      <c r="C8">
        <v>700</v>
      </c>
      <c r="D8">
        <v>931171.57645161275</v>
      </c>
      <c r="E8">
        <v>846735.72999999975</v>
      </c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27" x14ac:dyDescent="0.2">
      <c r="A9" s="7"/>
      <c r="B9" s="7">
        <v>2000</v>
      </c>
      <c r="C9">
        <v>20</v>
      </c>
      <c r="D9">
        <v>348751.61375000008</v>
      </c>
      <c r="E9">
        <v>272895.92875000031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</row>
    <row r="10" spans="1:27" x14ac:dyDescent="0.2">
      <c r="A10" s="7"/>
      <c r="B10" s="7"/>
      <c r="C10">
        <v>100</v>
      </c>
      <c r="D10">
        <v>512186.76999999996</v>
      </c>
      <c r="E10">
        <v>412530.69666666549</v>
      </c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</row>
    <row r="11" spans="1:27" x14ac:dyDescent="0.2">
      <c r="A11" s="7"/>
      <c r="B11" s="7"/>
      <c r="C11">
        <v>200</v>
      </c>
      <c r="D11">
        <v>747951.90142857132</v>
      </c>
      <c r="E11">
        <v>633784.02176470566</v>
      </c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</row>
    <row r="12" spans="1:27" x14ac:dyDescent="0.2">
      <c r="A12" s="7"/>
      <c r="B12" s="7"/>
      <c r="C12">
        <v>300</v>
      </c>
      <c r="D12">
        <v>926805.35235294106</v>
      </c>
      <c r="E12">
        <v>809637.87206896511</v>
      </c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</row>
    <row r="13" spans="1:27" x14ac:dyDescent="0.2">
      <c r="A13" s="7"/>
      <c r="B13" s="7">
        <v>3000</v>
      </c>
      <c r="C13">
        <v>20</v>
      </c>
      <c r="D13">
        <v>458741.66999999993</v>
      </c>
      <c r="E13">
        <v>352784.64225806424</v>
      </c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</row>
    <row r="14" spans="1:27" x14ac:dyDescent="0.2">
      <c r="A14" s="7"/>
      <c r="B14" s="7"/>
      <c r="C14">
        <v>100</v>
      </c>
      <c r="D14">
        <v>721539.5014285713</v>
      </c>
      <c r="E14">
        <v>593834.92874999996</v>
      </c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</row>
    <row r="15" spans="1:27" x14ac:dyDescent="0.2">
      <c r="A15" s="7"/>
      <c r="B15" s="7"/>
      <c r="C15">
        <v>200</v>
      </c>
      <c r="E15">
        <v>877205.35666666692</v>
      </c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</row>
    <row r="16" spans="1:27" x14ac:dyDescent="0.2">
      <c r="A16" s="7"/>
      <c r="B16" s="7">
        <v>5000</v>
      </c>
      <c r="C16">
        <v>20</v>
      </c>
      <c r="D16">
        <v>671399.6922222221</v>
      </c>
      <c r="E16">
        <v>529891.66454545443</v>
      </c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27" x14ac:dyDescent="0.2">
      <c r="A17" s="7">
        <v>6</v>
      </c>
      <c r="B17" s="7">
        <v>1000</v>
      </c>
      <c r="C17">
        <v>20</v>
      </c>
      <c r="D17">
        <v>459863.70333325956</v>
      </c>
      <c r="E17">
        <v>172046.60999998855</v>
      </c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27" x14ac:dyDescent="0.2">
      <c r="A18" s="7"/>
      <c r="B18" s="7"/>
      <c r="C18">
        <v>100</v>
      </c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</row>
    <row r="19" spans="1:27" x14ac:dyDescent="0.2">
      <c r="A19" s="7"/>
      <c r="B19" s="7"/>
      <c r="C19">
        <v>300</v>
      </c>
      <c r="D19">
        <v>935250.97000008391</v>
      </c>
      <c r="E19">
        <v>768620.9099999927</v>
      </c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</row>
    <row r="20" spans="1:27" x14ac:dyDescent="0.2">
      <c r="A20" s="7"/>
      <c r="B20" s="7"/>
      <c r="C20">
        <v>500</v>
      </c>
      <c r="D20">
        <v>1144193.3700000267</v>
      </c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</row>
    <row r="21" spans="1:27" x14ac:dyDescent="0.2">
      <c r="A21" s="7"/>
      <c r="B21" s="7"/>
      <c r="C21">
        <v>700</v>
      </c>
      <c r="D21">
        <v>1335250.970000084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</row>
    <row r="22" spans="1:27" x14ac:dyDescent="0.2">
      <c r="A22" s="7"/>
      <c r="B22" s="7">
        <v>2000</v>
      </c>
      <c r="C22">
        <v>20</v>
      </c>
      <c r="D22">
        <v>669290.90333329409</v>
      </c>
      <c r="E22">
        <v>541498.01000000606</v>
      </c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</row>
    <row r="23" spans="1:27" x14ac:dyDescent="0.2">
      <c r="A23" s="7"/>
      <c r="B23" s="7"/>
      <c r="C23">
        <v>100</v>
      </c>
      <c r="E23">
        <v>415646.20999998855</v>
      </c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</row>
    <row r="24" spans="1:27" x14ac:dyDescent="0.2">
      <c r="A24" s="7"/>
      <c r="B24" s="7"/>
      <c r="C24">
        <v>200</v>
      </c>
      <c r="D24">
        <v>972217.06999993324</v>
      </c>
      <c r="E24">
        <v>765601.81000001321</v>
      </c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</row>
    <row r="25" spans="1:27" x14ac:dyDescent="0.2">
      <c r="A25" s="7"/>
      <c r="B25" s="7"/>
      <c r="C25">
        <v>300</v>
      </c>
      <c r="D25">
        <v>1036060.9699999122</v>
      </c>
      <c r="E25">
        <v>931065.47666666692</v>
      </c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</row>
    <row r="26" spans="1:27" x14ac:dyDescent="0.2">
      <c r="A26" s="7"/>
      <c r="B26" s="7">
        <v>3000</v>
      </c>
      <c r="C26">
        <v>20</v>
      </c>
      <c r="D26">
        <v>666115.91999994917</v>
      </c>
      <c r="E26">
        <v>424384.41000000091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</row>
    <row r="27" spans="1:27" x14ac:dyDescent="0.2">
      <c r="A27" s="7"/>
      <c r="B27" s="7"/>
      <c r="C27">
        <v>100</v>
      </c>
      <c r="D27">
        <v>818583.37000000209</v>
      </c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27" x14ac:dyDescent="0.2">
      <c r="A28" s="7"/>
      <c r="B28" s="7"/>
      <c r="C28">
        <v>200</v>
      </c>
      <c r="E28">
        <v>1008358.8100000002</v>
      </c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27" x14ac:dyDescent="0.2">
      <c r="A29" s="7"/>
      <c r="B29" s="7">
        <v>5000</v>
      </c>
      <c r="C29">
        <v>20</v>
      </c>
      <c r="D29">
        <v>928327.56999997678</v>
      </c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</row>
    <row r="31" spans="1:27" x14ac:dyDescent="0.2">
      <c r="G31" s="5"/>
      <c r="H31" s="5"/>
      <c r="I31" s="5"/>
      <c r="J31" s="5" t="s">
        <v>57</v>
      </c>
      <c r="K31" s="5" t="s">
        <v>58</v>
      </c>
    </row>
    <row r="32" spans="1:27" x14ac:dyDescent="0.2">
      <c r="G32" s="3" t="s">
        <v>2</v>
      </c>
      <c r="H32" s="3" t="s">
        <v>59</v>
      </c>
      <c r="I32" s="3" t="s">
        <v>62</v>
      </c>
      <c r="J32" s="3" t="s">
        <v>61</v>
      </c>
      <c r="K32" s="3" t="s">
        <v>61</v>
      </c>
    </row>
    <row r="33" spans="7:11" x14ac:dyDescent="0.2">
      <c r="G33" s="7">
        <v>4</v>
      </c>
      <c r="H33" s="7">
        <v>1000</v>
      </c>
      <c r="I33">
        <v>20</v>
      </c>
      <c r="J33">
        <v>204088.77000000031</v>
      </c>
      <c r="K33">
        <v>242285.30999999627</v>
      </c>
    </row>
    <row r="34" spans="7:11" x14ac:dyDescent="0.2">
      <c r="G34" s="7">
        <v>5</v>
      </c>
      <c r="H34" s="7">
        <v>1000</v>
      </c>
      <c r="I34">
        <v>20</v>
      </c>
      <c r="J34">
        <v>544578.04999999993</v>
      </c>
      <c r="K34">
        <v>337510.74333333527</v>
      </c>
    </row>
    <row r="35" spans="7:11" x14ac:dyDescent="0.2">
      <c r="G35" s="7"/>
      <c r="H35" s="7"/>
      <c r="I35">
        <v>100</v>
      </c>
      <c r="J35">
        <v>610495.08111111086</v>
      </c>
      <c r="K35">
        <v>403092.31000000128</v>
      </c>
    </row>
    <row r="36" spans="7:11" x14ac:dyDescent="0.2">
      <c r="G36" s="7"/>
      <c r="H36" s="7"/>
      <c r="I36">
        <v>300</v>
      </c>
      <c r="J36">
        <v>895218.85888888862</v>
      </c>
      <c r="K36">
        <v>654471.69333333732</v>
      </c>
    </row>
    <row r="37" spans="7:11" x14ac:dyDescent="0.2">
      <c r="G37" s="7"/>
      <c r="H37" s="7"/>
      <c r="I37">
        <v>500</v>
      </c>
      <c r="J37">
        <v>1015941.4007692306</v>
      </c>
      <c r="K37">
        <v>884322.49000000278</v>
      </c>
    </row>
    <row r="38" spans="7:11" x14ac:dyDescent="0.2">
      <c r="G38" s="7"/>
      <c r="H38" s="7"/>
      <c r="I38">
        <v>700</v>
      </c>
      <c r="J38">
        <v>1257299.8609090911</v>
      </c>
      <c r="K38">
        <v>1054042.8433333354</v>
      </c>
    </row>
    <row r="39" spans="7:11" x14ac:dyDescent="0.2">
      <c r="G39" s="7"/>
      <c r="H39" s="7">
        <v>2000</v>
      </c>
      <c r="I39">
        <v>20</v>
      </c>
      <c r="J39">
        <v>718263.52999999991</v>
      </c>
      <c r="K39">
        <v>446379.59000000043</v>
      </c>
    </row>
    <row r="40" spans="7:11" x14ac:dyDescent="0.2">
      <c r="G40" s="7"/>
      <c r="H40" s="7"/>
      <c r="I40">
        <v>100</v>
      </c>
      <c r="J40">
        <v>867255.70999999973</v>
      </c>
      <c r="K40">
        <v>628378.76000000408</v>
      </c>
    </row>
    <row r="41" spans="7:11" x14ac:dyDescent="0.2">
      <c r="G41" s="7"/>
      <c r="H41" s="7"/>
      <c r="I41">
        <v>200</v>
      </c>
      <c r="J41">
        <v>1040616.284285714</v>
      </c>
      <c r="K41">
        <v>845976.16000000306</v>
      </c>
    </row>
    <row r="42" spans="7:11" x14ac:dyDescent="0.2">
      <c r="G42" s="7"/>
      <c r="H42" s="7"/>
      <c r="I42">
        <v>300</v>
      </c>
      <c r="J42">
        <v>1293904.6200000001</v>
      </c>
      <c r="K42">
        <v>1018228.2869230787</v>
      </c>
    </row>
    <row r="43" spans="7:11" x14ac:dyDescent="0.2">
      <c r="G43" s="7"/>
      <c r="H43" s="7">
        <v>3000</v>
      </c>
      <c r="I43">
        <v>20</v>
      </c>
      <c r="J43">
        <v>868933.76999999979</v>
      </c>
      <c r="K43">
        <v>542365.61000000208</v>
      </c>
    </row>
    <row r="44" spans="7:11" x14ac:dyDescent="0.2">
      <c r="G44" s="7"/>
      <c r="H44" s="7"/>
      <c r="I44">
        <v>100</v>
      </c>
      <c r="J44">
        <v>1053539.027142857</v>
      </c>
      <c r="K44">
        <v>797961.19000000146</v>
      </c>
    </row>
    <row r="45" spans="7:11" x14ac:dyDescent="0.2">
      <c r="G45" s="7"/>
      <c r="H45" s="7"/>
      <c r="I45">
        <v>200</v>
      </c>
      <c r="K45">
        <v>1105514.0433333341</v>
      </c>
    </row>
    <row r="46" spans="7:11" x14ac:dyDescent="0.2">
      <c r="G46" s="7"/>
      <c r="H46" s="7">
        <v>5000</v>
      </c>
      <c r="I46">
        <v>20</v>
      </c>
      <c r="J46">
        <v>1131690.8033333335</v>
      </c>
      <c r="K46">
        <v>758631.18777777988</v>
      </c>
    </row>
    <row r="47" spans="7:11" x14ac:dyDescent="0.2">
      <c r="G47" s="7">
        <v>6</v>
      </c>
      <c r="H47" s="7">
        <v>1000</v>
      </c>
      <c r="I47">
        <v>20</v>
      </c>
      <c r="J47">
        <v>1369658.7107407402</v>
      </c>
      <c r="K47">
        <v>618295.50655172649</v>
      </c>
    </row>
    <row r="48" spans="7:11" x14ac:dyDescent="0.2">
      <c r="G48" s="7"/>
      <c r="H48" s="7"/>
      <c r="I48">
        <v>100</v>
      </c>
      <c r="J48">
        <v>1358682.0633333256</v>
      </c>
      <c r="K48">
        <v>683420.1300000021</v>
      </c>
    </row>
    <row r="49" spans="7:11" x14ac:dyDescent="0.2">
      <c r="G49" s="7"/>
      <c r="H49" s="7"/>
      <c r="I49">
        <v>300</v>
      </c>
      <c r="J49">
        <v>1580177.2182758516</v>
      </c>
      <c r="K49">
        <v>891620.07428571698</v>
      </c>
    </row>
    <row r="50" spans="7:11" x14ac:dyDescent="0.2">
      <c r="G50" s="7"/>
      <c r="H50" s="7"/>
      <c r="I50">
        <v>500</v>
      </c>
      <c r="J50">
        <v>1779871.3286206811</v>
      </c>
      <c r="K50">
        <v>1083420.130000002</v>
      </c>
    </row>
    <row r="51" spans="7:11" x14ac:dyDescent="0.2">
      <c r="G51" s="7"/>
      <c r="H51" s="7"/>
      <c r="I51">
        <v>700</v>
      </c>
      <c r="J51">
        <v>1980177.2182758516</v>
      </c>
      <c r="K51">
        <v>1283420.130000002</v>
      </c>
    </row>
    <row r="52" spans="7:11" x14ac:dyDescent="0.2">
      <c r="G52" s="7"/>
      <c r="H52" s="7">
        <v>2000</v>
      </c>
      <c r="I52">
        <v>20</v>
      </c>
      <c r="J52">
        <v>1469834.4588888844</v>
      </c>
      <c r="K52">
        <v>812524.06517241569</v>
      </c>
    </row>
    <row r="53" spans="7:11" x14ac:dyDescent="0.2">
      <c r="G53" s="7"/>
      <c r="H53" s="7"/>
      <c r="I53">
        <v>100</v>
      </c>
      <c r="J53">
        <v>1549784.6366666595</v>
      </c>
      <c r="K53">
        <v>878896.472068968</v>
      </c>
    </row>
    <row r="54" spans="7:11" x14ac:dyDescent="0.2">
      <c r="G54" s="7"/>
      <c r="H54" s="7"/>
      <c r="I54">
        <v>200</v>
      </c>
      <c r="J54">
        <v>1805322.7199999967</v>
      </c>
      <c r="K54">
        <v>1073725.5893103464</v>
      </c>
    </row>
    <row r="55" spans="7:11" x14ac:dyDescent="0.2">
      <c r="G55" s="7"/>
      <c r="H55" s="7"/>
      <c r="I55">
        <v>300</v>
      </c>
      <c r="J55">
        <v>1981291.5079310292</v>
      </c>
      <c r="K55">
        <v>1300387.3729629652</v>
      </c>
    </row>
    <row r="56" spans="7:11" x14ac:dyDescent="0.2">
      <c r="G56" s="7"/>
      <c r="H56" s="7">
        <v>3000</v>
      </c>
      <c r="I56">
        <v>20</v>
      </c>
      <c r="J56">
        <v>1629312.7469230751</v>
      </c>
      <c r="K56">
        <v>830568.8242857164</v>
      </c>
    </row>
    <row r="57" spans="7:11" x14ac:dyDescent="0.2">
      <c r="G57" s="7"/>
      <c r="H57" s="7"/>
      <c r="I57">
        <v>100</v>
      </c>
      <c r="J57">
        <v>1772690.8872413717</v>
      </c>
      <c r="K57">
        <v>1043489.4633333354</v>
      </c>
    </row>
    <row r="58" spans="7:11" x14ac:dyDescent="0.2">
      <c r="G58" s="7"/>
      <c r="H58" s="7"/>
      <c r="I58">
        <v>200</v>
      </c>
      <c r="K58">
        <v>1380726.6322222247</v>
      </c>
    </row>
    <row r="59" spans="7:11" x14ac:dyDescent="0.2">
      <c r="G59" s="7"/>
      <c r="H59" s="7">
        <v>5000</v>
      </c>
      <c r="I59">
        <v>20</v>
      </c>
      <c r="J59">
        <v>1845362.1546153794</v>
      </c>
      <c r="K59">
        <v>1003559.1966666688</v>
      </c>
    </row>
  </sheetData>
  <mergeCells count="1">
    <mergeCell ref="F3:AA2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29CB-9ECE-4545-BA45-A4E292821372}">
  <dimension ref="A1:J29"/>
  <sheetViews>
    <sheetView topLeftCell="E1" zoomScale="116" workbookViewId="0">
      <selection activeCell="V18" sqref="V18"/>
    </sheetView>
  </sheetViews>
  <sheetFormatPr baseColWidth="10" defaultRowHeight="16" x14ac:dyDescent="0.2"/>
  <cols>
    <col min="9" max="9" width="17.33203125" bestFit="1" customWidth="1"/>
  </cols>
  <sheetData>
    <row r="1" spans="1:10" x14ac:dyDescent="0.2">
      <c r="A1" s="5"/>
      <c r="B1" s="5"/>
      <c r="C1" s="5"/>
      <c r="D1" s="5" t="s">
        <v>57</v>
      </c>
      <c r="E1" s="5" t="s">
        <v>58</v>
      </c>
    </row>
    <row r="2" spans="1:10" x14ac:dyDescent="0.2">
      <c r="A2" s="3" t="s">
        <v>2</v>
      </c>
      <c r="B2" s="3" t="s">
        <v>59</v>
      </c>
      <c r="C2" s="3" t="s">
        <v>12</v>
      </c>
      <c r="D2" s="3" t="s">
        <v>5</v>
      </c>
      <c r="E2" s="3" t="s">
        <v>5</v>
      </c>
      <c r="H2" s="5" t="s">
        <v>30</v>
      </c>
      <c r="I2" s="5" t="s">
        <v>31</v>
      </c>
      <c r="J2" s="5" t="s">
        <v>32</v>
      </c>
    </row>
    <row r="3" spans="1:10" x14ac:dyDescent="0.2">
      <c r="A3" s="7">
        <v>4</v>
      </c>
      <c r="B3" s="7">
        <v>1000</v>
      </c>
      <c r="C3">
        <v>20</v>
      </c>
      <c r="D3" s="6">
        <v>0.96296296296296291</v>
      </c>
      <c r="E3" s="6">
        <v>0.92592592592592593</v>
      </c>
    </row>
    <row r="4" spans="1:10" x14ac:dyDescent="0.2">
      <c r="A4" s="7">
        <v>5</v>
      </c>
      <c r="B4" s="7">
        <v>1000</v>
      </c>
      <c r="C4">
        <v>20</v>
      </c>
      <c r="D4" s="6">
        <v>0.76190476190476186</v>
      </c>
      <c r="E4" s="6">
        <v>0.6428571428571429</v>
      </c>
    </row>
    <row r="5" spans="1:10" x14ac:dyDescent="0.2">
      <c r="A5" s="7"/>
      <c r="B5" s="7"/>
      <c r="C5">
        <v>100</v>
      </c>
      <c r="D5" s="6">
        <v>0.7857142857142857</v>
      </c>
      <c r="E5" s="6">
        <v>0.66666666666666663</v>
      </c>
    </row>
    <row r="6" spans="1:10" x14ac:dyDescent="0.2">
      <c r="A6" s="7"/>
      <c r="B6" s="7"/>
      <c r="C6">
        <v>300</v>
      </c>
      <c r="D6" s="6">
        <v>0.7857142857142857</v>
      </c>
      <c r="E6" s="6">
        <v>0.7142857142857143</v>
      </c>
    </row>
    <row r="7" spans="1:10" x14ac:dyDescent="0.2">
      <c r="A7" s="7"/>
      <c r="B7" s="7"/>
      <c r="C7">
        <v>500</v>
      </c>
      <c r="D7" s="6">
        <v>0.69047619047619047</v>
      </c>
      <c r="E7" s="6">
        <v>0.76190476190476186</v>
      </c>
    </row>
    <row r="8" spans="1:10" x14ac:dyDescent="0.2">
      <c r="A8" s="7"/>
      <c r="B8" s="7"/>
      <c r="C8">
        <v>700</v>
      </c>
      <c r="D8" s="6">
        <v>0.73809523809523814</v>
      </c>
      <c r="E8" s="6">
        <v>0.7142857142857143</v>
      </c>
    </row>
    <row r="9" spans="1:10" x14ac:dyDescent="0.2">
      <c r="A9" s="7"/>
      <c r="B9" s="7">
        <v>2000</v>
      </c>
      <c r="C9">
        <v>20</v>
      </c>
      <c r="D9" s="6">
        <v>0.76190476190476186</v>
      </c>
      <c r="E9" s="6">
        <v>0.76190476190476186</v>
      </c>
    </row>
    <row r="10" spans="1:10" x14ac:dyDescent="0.2">
      <c r="A10" s="7"/>
      <c r="B10" s="7"/>
      <c r="C10">
        <v>100</v>
      </c>
      <c r="D10" s="6">
        <v>0.76190476190476186</v>
      </c>
      <c r="E10" s="6">
        <v>0.7142857142857143</v>
      </c>
    </row>
    <row r="11" spans="1:10" x14ac:dyDescent="0.2">
      <c r="A11" s="7"/>
      <c r="B11" s="7"/>
      <c r="C11">
        <v>200</v>
      </c>
      <c r="D11" s="6">
        <v>0.83333333333333337</v>
      </c>
      <c r="E11" s="6">
        <v>0.80952380952380953</v>
      </c>
    </row>
    <row r="12" spans="1:10" x14ac:dyDescent="0.2">
      <c r="A12" s="7"/>
      <c r="B12" s="7"/>
      <c r="C12">
        <v>300</v>
      </c>
      <c r="D12" s="6">
        <v>0.80952380952380953</v>
      </c>
      <c r="E12" s="6">
        <v>0.69047619047619047</v>
      </c>
    </row>
    <row r="13" spans="1:10" x14ac:dyDescent="0.2">
      <c r="A13" s="7"/>
      <c r="B13" s="7">
        <v>3000</v>
      </c>
      <c r="C13">
        <v>20</v>
      </c>
      <c r="D13" s="6">
        <v>0.80952380952380953</v>
      </c>
      <c r="E13" s="6">
        <v>0.73809523809523814</v>
      </c>
    </row>
    <row r="14" spans="1:10" x14ac:dyDescent="0.2">
      <c r="A14" s="7"/>
      <c r="B14" s="7"/>
      <c r="C14">
        <v>100</v>
      </c>
      <c r="D14" s="6">
        <v>0.83333333333333337</v>
      </c>
      <c r="E14" s="6">
        <v>0.76190476190476186</v>
      </c>
    </row>
    <row r="15" spans="1:10" x14ac:dyDescent="0.2">
      <c r="A15" s="7"/>
      <c r="B15" s="7"/>
      <c r="C15">
        <v>200</v>
      </c>
      <c r="D15" s="6"/>
      <c r="E15" s="6">
        <v>0.7142857142857143</v>
      </c>
    </row>
    <row r="16" spans="1:10" x14ac:dyDescent="0.2">
      <c r="A16" s="7"/>
      <c r="B16" s="7">
        <v>5000</v>
      </c>
      <c r="C16">
        <v>20</v>
      </c>
      <c r="D16" s="6">
        <v>0.8571428571428571</v>
      </c>
      <c r="E16" s="6">
        <v>0.7857142857142857</v>
      </c>
    </row>
    <row r="17" spans="1:5" x14ac:dyDescent="0.2">
      <c r="A17" s="7">
        <v>6</v>
      </c>
      <c r="B17" s="7">
        <v>1000</v>
      </c>
      <c r="C17">
        <v>20</v>
      </c>
      <c r="D17" s="6">
        <v>0.1</v>
      </c>
      <c r="E17" s="6">
        <v>3.3333333333333333E-2</v>
      </c>
    </row>
    <row r="18" spans="1:5" x14ac:dyDescent="0.2">
      <c r="A18" s="7"/>
      <c r="B18" s="7"/>
      <c r="C18">
        <v>100</v>
      </c>
      <c r="D18" s="6">
        <v>0</v>
      </c>
      <c r="E18" s="6">
        <v>0</v>
      </c>
    </row>
    <row r="19" spans="1:5" x14ac:dyDescent="0.2">
      <c r="A19" s="7"/>
      <c r="B19" s="7"/>
      <c r="C19">
        <v>300</v>
      </c>
      <c r="D19" s="6">
        <v>3.3333333333333333E-2</v>
      </c>
      <c r="E19" s="6">
        <v>6.6666666666666666E-2</v>
      </c>
    </row>
    <row r="20" spans="1:5" x14ac:dyDescent="0.2">
      <c r="A20" s="7"/>
      <c r="B20" s="7"/>
      <c r="C20">
        <v>500</v>
      </c>
      <c r="D20" s="6">
        <v>3.3333333333333333E-2</v>
      </c>
      <c r="E20" s="6">
        <v>0</v>
      </c>
    </row>
    <row r="21" spans="1:5" x14ac:dyDescent="0.2">
      <c r="A21" s="7"/>
      <c r="B21" s="7"/>
      <c r="C21">
        <v>700</v>
      </c>
      <c r="D21" s="6">
        <v>3.3333333333333333E-2</v>
      </c>
      <c r="E21" s="6">
        <v>0</v>
      </c>
    </row>
    <row r="22" spans="1:5" x14ac:dyDescent="0.2">
      <c r="A22" s="7"/>
      <c r="B22" s="7">
        <v>2000</v>
      </c>
      <c r="C22">
        <v>20</v>
      </c>
      <c r="D22" s="6">
        <v>0.1</v>
      </c>
      <c r="E22" s="6">
        <v>3.3333333333333333E-2</v>
      </c>
    </row>
    <row r="23" spans="1:5" x14ac:dyDescent="0.2">
      <c r="A23" s="7"/>
      <c r="B23" s="7"/>
      <c r="C23">
        <v>100</v>
      </c>
      <c r="D23" s="6">
        <v>0</v>
      </c>
      <c r="E23" s="6">
        <v>3.3333333333333333E-2</v>
      </c>
    </row>
    <row r="24" spans="1:5" x14ac:dyDescent="0.2">
      <c r="A24" s="7"/>
      <c r="B24" s="7"/>
      <c r="C24">
        <v>200</v>
      </c>
      <c r="D24" s="6">
        <v>6.6666666666666666E-2</v>
      </c>
      <c r="E24" s="6">
        <v>3.3333333333333333E-2</v>
      </c>
    </row>
    <row r="25" spans="1:5" x14ac:dyDescent="0.2">
      <c r="A25" s="7"/>
      <c r="B25" s="7"/>
      <c r="C25">
        <v>300</v>
      </c>
      <c r="D25" s="6">
        <v>3.3333333333333333E-2</v>
      </c>
      <c r="E25" s="6">
        <v>0.1</v>
      </c>
    </row>
    <row r="26" spans="1:5" x14ac:dyDescent="0.2">
      <c r="A26" s="7"/>
      <c r="B26" s="7">
        <v>3000</v>
      </c>
      <c r="C26">
        <v>20</v>
      </c>
      <c r="D26" s="6">
        <v>0.13333333333333333</v>
      </c>
      <c r="E26" s="6">
        <v>6.6666666666666666E-2</v>
      </c>
    </row>
    <row r="27" spans="1:5" x14ac:dyDescent="0.2">
      <c r="A27" s="7"/>
      <c r="B27" s="7"/>
      <c r="C27">
        <v>100</v>
      </c>
      <c r="D27" s="6">
        <v>3.3333333333333333E-2</v>
      </c>
      <c r="E27" s="6">
        <v>0</v>
      </c>
    </row>
    <row r="28" spans="1:5" x14ac:dyDescent="0.2">
      <c r="A28" s="7"/>
      <c r="B28" s="7"/>
      <c r="C28">
        <v>200</v>
      </c>
      <c r="D28" s="6"/>
      <c r="E28" s="6">
        <v>0.1</v>
      </c>
    </row>
    <row r="29" spans="1:5" x14ac:dyDescent="0.2">
      <c r="A29" s="7"/>
      <c r="B29" s="7">
        <v>5000</v>
      </c>
      <c r="C29">
        <v>20</v>
      </c>
      <c r="D29" s="6">
        <v>0.13333333333333333</v>
      </c>
      <c r="E29" s="6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A0E4-F51B-3743-8388-245BE3BD3622}">
  <dimension ref="A1:N25"/>
  <sheetViews>
    <sheetView topLeftCell="M22" zoomScale="232" workbookViewId="0">
      <selection activeCell="N35" sqref="N35"/>
    </sheetView>
  </sheetViews>
  <sheetFormatPr baseColWidth="10" defaultRowHeight="16" x14ac:dyDescent="0.2"/>
  <sheetData>
    <row r="1" spans="1:14" x14ac:dyDescent="0.2">
      <c r="A1" s="5"/>
      <c r="B1" s="5"/>
      <c r="C1" s="5"/>
      <c r="D1" s="5" t="s">
        <v>8</v>
      </c>
      <c r="E1" s="5" t="s">
        <v>16</v>
      </c>
    </row>
    <row r="2" spans="1:14" x14ac:dyDescent="0.2">
      <c r="A2" s="3" t="s">
        <v>2</v>
      </c>
      <c r="B2" s="3" t="s">
        <v>59</v>
      </c>
      <c r="C2" s="3" t="s">
        <v>12</v>
      </c>
      <c r="D2" s="3" t="s">
        <v>5</v>
      </c>
      <c r="E2" s="3" t="s">
        <v>5</v>
      </c>
      <c r="K2" t="s">
        <v>30</v>
      </c>
      <c r="L2" t="s">
        <v>32</v>
      </c>
      <c r="M2" t="s">
        <v>37</v>
      </c>
      <c r="N2" t="s">
        <v>38</v>
      </c>
    </row>
    <row r="3" spans="1:14" x14ac:dyDescent="0.2">
      <c r="A3" s="7">
        <v>5</v>
      </c>
      <c r="B3" s="7">
        <v>1000</v>
      </c>
      <c r="C3">
        <v>20</v>
      </c>
      <c r="D3" s="6">
        <v>0.76190476190476186</v>
      </c>
      <c r="E3" s="6">
        <v>0.6428571428571429</v>
      </c>
    </row>
    <row r="4" spans="1:14" x14ac:dyDescent="0.2">
      <c r="A4" s="7">
        <v>5</v>
      </c>
      <c r="B4" s="7">
        <v>1000</v>
      </c>
      <c r="C4">
        <v>100</v>
      </c>
      <c r="D4" s="6">
        <v>0.7857142857142857</v>
      </c>
      <c r="E4" s="6">
        <v>0.66666666666666663</v>
      </c>
    </row>
    <row r="5" spans="1:14" x14ac:dyDescent="0.2">
      <c r="A5" s="7">
        <v>5</v>
      </c>
      <c r="B5" s="7">
        <v>2000</v>
      </c>
      <c r="C5">
        <v>20</v>
      </c>
      <c r="D5" s="6">
        <v>0.76190476190476186</v>
      </c>
      <c r="E5" s="6">
        <v>0.76190476190476186</v>
      </c>
    </row>
    <row r="6" spans="1:14" x14ac:dyDescent="0.2">
      <c r="A6" s="7">
        <v>5</v>
      </c>
      <c r="B6" s="7">
        <v>2000</v>
      </c>
      <c r="C6">
        <v>100</v>
      </c>
      <c r="D6" s="6">
        <v>0.76190476190476186</v>
      </c>
      <c r="E6" s="6">
        <v>0.7142857142857143</v>
      </c>
    </row>
    <row r="7" spans="1:14" x14ac:dyDescent="0.2">
      <c r="A7" s="7">
        <v>5</v>
      </c>
      <c r="B7" s="7">
        <v>3000</v>
      </c>
      <c r="C7">
        <v>20</v>
      </c>
      <c r="D7" s="6">
        <v>0.80952380952380953</v>
      </c>
      <c r="E7" s="6">
        <v>0.73809523809523814</v>
      </c>
    </row>
    <row r="8" spans="1:14" x14ac:dyDescent="0.2">
      <c r="A8" s="7">
        <v>5</v>
      </c>
      <c r="B8" s="7">
        <v>3000</v>
      </c>
      <c r="C8">
        <v>100</v>
      </c>
      <c r="D8" s="6">
        <v>0.83333333333333337</v>
      </c>
      <c r="E8" s="6">
        <v>0.76190476190476186</v>
      </c>
    </row>
    <row r="9" spans="1:14" x14ac:dyDescent="0.2">
      <c r="A9" s="7">
        <v>5</v>
      </c>
      <c r="B9" s="7">
        <v>5000</v>
      </c>
      <c r="C9">
        <v>20</v>
      </c>
      <c r="D9" s="6">
        <v>0.8571428571428571</v>
      </c>
      <c r="E9" s="6">
        <v>0.7857142857142857</v>
      </c>
    </row>
    <row r="10" spans="1:14" x14ac:dyDescent="0.2">
      <c r="A10" s="7"/>
      <c r="B10" s="7"/>
      <c r="D10" s="6"/>
      <c r="E10" s="6"/>
    </row>
    <row r="11" spans="1:14" x14ac:dyDescent="0.2">
      <c r="A11" s="7"/>
      <c r="B11" s="7"/>
      <c r="D11" s="6"/>
      <c r="E11" s="6"/>
      <c r="G11" s="5" t="s">
        <v>57</v>
      </c>
      <c r="H11" s="5" t="s">
        <v>58</v>
      </c>
    </row>
    <row r="12" spans="1:14" x14ac:dyDescent="0.2">
      <c r="A12" s="7"/>
      <c r="B12" s="7"/>
      <c r="D12" s="6"/>
      <c r="E12" s="6"/>
    </row>
    <row r="13" spans="1:14" x14ac:dyDescent="0.2">
      <c r="A13" s="7"/>
      <c r="B13" s="7"/>
      <c r="D13" s="6"/>
      <c r="E13" s="6"/>
      <c r="F13">
        <v>1000</v>
      </c>
      <c r="G13" s="6">
        <v>0.7857142857142857</v>
      </c>
      <c r="H13" s="6">
        <v>0.66666666666666663</v>
      </c>
    </row>
    <row r="14" spans="1:14" x14ac:dyDescent="0.2">
      <c r="A14" s="7"/>
      <c r="B14" s="7"/>
      <c r="D14" s="6"/>
      <c r="E14" s="6"/>
      <c r="F14">
        <v>2000</v>
      </c>
      <c r="G14" s="6">
        <v>0.76190476190476186</v>
      </c>
      <c r="H14" s="6">
        <v>0.7142857142857143</v>
      </c>
    </row>
    <row r="15" spans="1:14" x14ac:dyDescent="0.2">
      <c r="A15" s="7"/>
      <c r="B15" s="7"/>
      <c r="D15" s="6"/>
      <c r="E15" s="6"/>
      <c r="F15">
        <v>3000</v>
      </c>
      <c r="G15" s="6">
        <v>0.83333333333333337</v>
      </c>
      <c r="H15" s="6">
        <v>0.76190476190476186</v>
      </c>
    </row>
    <row r="16" spans="1:14" x14ac:dyDescent="0.2">
      <c r="A16" s="7"/>
      <c r="B16" s="7"/>
      <c r="D16" s="6"/>
      <c r="E16" s="6"/>
    </row>
    <row r="17" spans="1:11" x14ac:dyDescent="0.2">
      <c r="A17" s="7"/>
      <c r="B17" s="7"/>
      <c r="D17" s="6"/>
      <c r="E17" s="6"/>
    </row>
    <row r="18" spans="1:11" x14ac:dyDescent="0.2">
      <c r="A18" s="7"/>
      <c r="B18" s="7"/>
      <c r="D18" s="6"/>
      <c r="E18" s="6"/>
    </row>
    <row r="19" spans="1:11" x14ac:dyDescent="0.2">
      <c r="A19" s="7"/>
      <c r="B19" s="7"/>
      <c r="D19" s="6"/>
      <c r="E19" s="6"/>
    </row>
    <row r="20" spans="1:11" x14ac:dyDescent="0.2">
      <c r="A20" s="7"/>
      <c r="B20" s="7"/>
      <c r="D20" s="6"/>
      <c r="E20" s="6"/>
    </row>
    <row r="21" spans="1:11" x14ac:dyDescent="0.2">
      <c r="J21" s="5" t="s">
        <v>57</v>
      </c>
      <c r="K21" s="5" t="s">
        <v>58</v>
      </c>
    </row>
    <row r="22" spans="1:11" x14ac:dyDescent="0.2">
      <c r="I22">
        <v>1000</v>
      </c>
      <c r="J22" s="6">
        <v>0.76190476190476186</v>
      </c>
      <c r="K22" s="6">
        <v>0.6428571428571429</v>
      </c>
    </row>
    <row r="23" spans="1:11" x14ac:dyDescent="0.2">
      <c r="I23">
        <v>2000</v>
      </c>
      <c r="J23" s="6">
        <v>0.76190476190476186</v>
      </c>
      <c r="K23" s="6">
        <v>0.76190476190476186</v>
      </c>
    </row>
    <row r="24" spans="1:11" x14ac:dyDescent="0.2">
      <c r="I24">
        <v>3000</v>
      </c>
      <c r="J24" s="6">
        <v>0.80952380952380953</v>
      </c>
      <c r="K24" s="6">
        <v>0.73809523809523814</v>
      </c>
    </row>
    <row r="25" spans="1:11" x14ac:dyDescent="0.2">
      <c r="I25">
        <v>5000</v>
      </c>
      <c r="J25" s="6">
        <v>0.8571428571428571</v>
      </c>
      <c r="K25" s="6">
        <v>0.7857142857142857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F404-3A56-464B-B0CC-185C53C6D720}">
  <dimension ref="A1:K29"/>
  <sheetViews>
    <sheetView topLeftCell="F2" zoomScale="125" workbookViewId="0">
      <selection activeCell="C3" sqref="C3"/>
    </sheetView>
  </sheetViews>
  <sheetFormatPr baseColWidth="10" defaultRowHeight="16" x14ac:dyDescent="0.2"/>
  <sheetData>
    <row r="1" spans="1:11" x14ac:dyDescent="0.2">
      <c r="A1" s="5"/>
      <c r="B1" s="5"/>
      <c r="C1" s="5"/>
      <c r="D1" s="5" t="s">
        <v>57</v>
      </c>
      <c r="E1" s="5" t="s">
        <v>58</v>
      </c>
    </row>
    <row r="2" spans="1:11" x14ac:dyDescent="0.2">
      <c r="A2" s="3" t="s">
        <v>2</v>
      </c>
      <c r="B2" s="3" t="s">
        <v>59</v>
      </c>
      <c r="C2" s="3" t="s">
        <v>62</v>
      </c>
      <c r="D2" s="5" t="s">
        <v>48</v>
      </c>
      <c r="E2" s="5" t="s">
        <v>48</v>
      </c>
      <c r="I2" t="s">
        <v>47</v>
      </c>
      <c r="J2" t="s">
        <v>49</v>
      </c>
      <c r="K2" t="s">
        <v>32</v>
      </c>
    </row>
    <row r="3" spans="1:11" x14ac:dyDescent="0.2">
      <c r="A3" s="7">
        <v>4</v>
      </c>
      <c r="B3" s="7">
        <v>1000</v>
      </c>
      <c r="C3">
        <v>20</v>
      </c>
      <c r="D3">
        <v>111046.39962962967</v>
      </c>
      <c r="E3">
        <v>101992.3062962963</v>
      </c>
    </row>
    <row r="4" spans="1:11" x14ac:dyDescent="0.2">
      <c r="A4" s="7">
        <v>5</v>
      </c>
      <c r="B4" s="7">
        <v>1000</v>
      </c>
      <c r="C4">
        <v>20</v>
      </c>
      <c r="D4">
        <v>116069.09380952382</v>
      </c>
      <c r="E4">
        <v>107463.55285714283</v>
      </c>
    </row>
    <row r="5" spans="1:11" x14ac:dyDescent="0.2">
      <c r="A5" s="7"/>
      <c r="B5" s="7"/>
      <c r="C5">
        <v>100</v>
      </c>
      <c r="D5">
        <v>196070.94142857136</v>
      </c>
      <c r="E5">
        <v>187463.15285714285</v>
      </c>
    </row>
    <row r="6" spans="1:11" x14ac:dyDescent="0.2">
      <c r="A6" s="7"/>
      <c r="B6" s="7"/>
      <c r="C6">
        <v>300</v>
      </c>
      <c r="D6">
        <v>396068.42714285711</v>
      </c>
      <c r="E6">
        <v>387463.14333333331</v>
      </c>
    </row>
    <row r="7" spans="1:11" x14ac:dyDescent="0.2">
      <c r="A7" s="7"/>
      <c r="B7" s="7"/>
      <c r="C7">
        <v>500</v>
      </c>
      <c r="D7">
        <v>596067.28428571438</v>
      </c>
      <c r="E7">
        <v>587463.54333333333</v>
      </c>
    </row>
    <row r="8" spans="1:11" x14ac:dyDescent="0.2">
      <c r="A8" s="7"/>
      <c r="B8" s="7"/>
      <c r="C8">
        <v>700</v>
      </c>
      <c r="D8">
        <v>796070.0271428572</v>
      </c>
      <c r="E8">
        <v>787463.54333333357</v>
      </c>
    </row>
    <row r="9" spans="1:11" x14ac:dyDescent="0.2">
      <c r="A9" s="7"/>
      <c r="B9" s="7">
        <v>2000</v>
      </c>
      <c r="C9">
        <v>20</v>
      </c>
      <c r="D9">
        <v>216214.54142857139</v>
      </c>
      <c r="E9">
        <v>195698.77190476184</v>
      </c>
    </row>
    <row r="10" spans="1:11" x14ac:dyDescent="0.2">
      <c r="A10" s="7"/>
      <c r="B10" s="7"/>
      <c r="C10">
        <v>100</v>
      </c>
      <c r="D10">
        <v>376210.89380952384</v>
      </c>
      <c r="E10">
        <v>355698.7814285715</v>
      </c>
    </row>
    <row r="11" spans="1:11" x14ac:dyDescent="0.2">
      <c r="A11" s="7"/>
      <c r="B11" s="7"/>
      <c r="C11">
        <v>200</v>
      </c>
      <c r="D11">
        <v>576213.19857142877</v>
      </c>
      <c r="E11">
        <v>555698.78142857156</v>
      </c>
    </row>
    <row r="12" spans="1:11" x14ac:dyDescent="0.2">
      <c r="A12" s="7"/>
      <c r="B12" s="7"/>
      <c r="C12">
        <v>300</v>
      </c>
      <c r="D12">
        <v>776212.92238095251</v>
      </c>
      <c r="E12">
        <v>755698.78142857167</v>
      </c>
    </row>
    <row r="13" spans="1:11" x14ac:dyDescent="0.2">
      <c r="A13" s="7"/>
      <c r="B13" s="7">
        <v>3000</v>
      </c>
      <c r="C13">
        <v>20</v>
      </c>
      <c r="D13">
        <v>316357.39857142855</v>
      </c>
      <c r="E13">
        <v>283934.01000000007</v>
      </c>
    </row>
    <row r="14" spans="1:11" x14ac:dyDescent="0.2">
      <c r="A14" s="7"/>
      <c r="B14" s="7"/>
      <c r="C14">
        <v>100</v>
      </c>
      <c r="D14">
        <v>556356.65571428568</v>
      </c>
      <c r="E14">
        <v>523933.62904761906</v>
      </c>
    </row>
    <row r="15" spans="1:11" x14ac:dyDescent="0.2">
      <c r="A15" s="7"/>
      <c r="B15" s="7"/>
      <c r="C15">
        <v>200</v>
      </c>
      <c r="E15">
        <v>823933.61952380941</v>
      </c>
    </row>
    <row r="16" spans="1:11" x14ac:dyDescent="0.2">
      <c r="A16" s="7"/>
      <c r="B16" s="7">
        <v>5000</v>
      </c>
      <c r="C16">
        <v>20</v>
      </c>
      <c r="D16">
        <v>516639.4652380952</v>
      </c>
      <c r="E16">
        <v>460404.48619047622</v>
      </c>
    </row>
    <row r="17" spans="1:5" x14ac:dyDescent="0.2">
      <c r="A17" s="7">
        <v>6</v>
      </c>
      <c r="B17" s="7">
        <v>1000</v>
      </c>
      <c r="C17">
        <v>20</v>
      </c>
      <c r="D17">
        <v>127028.01000000004</v>
      </c>
      <c r="E17">
        <v>119262.87666666666</v>
      </c>
    </row>
    <row r="18" spans="1:5" x14ac:dyDescent="0.2">
      <c r="A18" s="7"/>
      <c r="B18" s="7"/>
      <c r="C18">
        <v>100</v>
      </c>
      <c r="D18">
        <v>207030.86333333331</v>
      </c>
      <c r="E18">
        <v>199262.46333333335</v>
      </c>
    </row>
    <row r="19" spans="1:5" x14ac:dyDescent="0.2">
      <c r="A19" s="7"/>
      <c r="B19" s="7"/>
      <c r="C19">
        <v>300</v>
      </c>
      <c r="D19">
        <v>407028.47666666663</v>
      </c>
      <c r="E19">
        <v>399262.4633333332</v>
      </c>
    </row>
    <row r="20" spans="1:5" x14ac:dyDescent="0.2">
      <c r="A20" s="7"/>
      <c r="B20" s="7"/>
      <c r="C20">
        <v>500</v>
      </c>
      <c r="D20">
        <v>607030.8633333334</v>
      </c>
      <c r="E20">
        <v>599262.46333333326</v>
      </c>
    </row>
    <row r="21" spans="1:5" x14ac:dyDescent="0.2">
      <c r="A21" s="7"/>
      <c r="B21" s="7"/>
      <c r="C21">
        <v>700</v>
      </c>
      <c r="D21">
        <v>807028.47666666657</v>
      </c>
      <c r="E21">
        <v>799262.46333333326</v>
      </c>
    </row>
    <row r="22" spans="1:5" x14ac:dyDescent="0.2">
      <c r="A22" s="7"/>
      <c r="B22" s="7">
        <v>2000</v>
      </c>
      <c r="C22">
        <v>20</v>
      </c>
      <c r="D22">
        <v>238128.90333333329</v>
      </c>
      <c r="E22">
        <v>319332.1966666666</v>
      </c>
    </row>
    <row r="23" spans="1:5" x14ac:dyDescent="0.2">
      <c r="A23" s="7"/>
      <c r="B23" s="7"/>
      <c r="C23">
        <v>100</v>
      </c>
      <c r="D23">
        <v>398133.43666666659</v>
      </c>
      <c r="E23">
        <v>379297.12999999995</v>
      </c>
    </row>
    <row r="24" spans="1:5" x14ac:dyDescent="0.2">
      <c r="A24" s="7"/>
      <c r="B24" s="7"/>
      <c r="C24">
        <v>200</v>
      </c>
      <c r="D24">
        <v>598131.14333333331</v>
      </c>
      <c r="E24">
        <v>579297.13</v>
      </c>
    </row>
    <row r="25" spans="1:5" x14ac:dyDescent="0.2">
      <c r="A25" s="7"/>
      <c r="B25" s="7"/>
      <c r="C25">
        <v>300</v>
      </c>
      <c r="D25">
        <v>798132.62333333341</v>
      </c>
      <c r="E25">
        <v>779297.51666666684</v>
      </c>
    </row>
    <row r="26" spans="1:5" x14ac:dyDescent="0.2">
      <c r="A26" s="7"/>
      <c r="B26" s="7">
        <v>3000</v>
      </c>
      <c r="C26">
        <v>20</v>
      </c>
      <c r="D26">
        <v>349235.3033333334</v>
      </c>
      <c r="E26">
        <v>319332.1966666666</v>
      </c>
    </row>
    <row r="27" spans="1:5" x14ac:dyDescent="0.2">
      <c r="A27" s="7"/>
      <c r="B27" s="7"/>
      <c r="C27">
        <v>100</v>
      </c>
      <c r="D27">
        <v>589236.10333333327</v>
      </c>
      <c r="E27">
        <v>559331.79666666663</v>
      </c>
    </row>
    <row r="28" spans="1:5" x14ac:dyDescent="0.2">
      <c r="A28" s="7"/>
      <c r="B28" s="7"/>
      <c r="C28">
        <v>200</v>
      </c>
      <c r="E28">
        <v>859332.18333333358</v>
      </c>
    </row>
    <row r="29" spans="1:5" x14ac:dyDescent="0.2">
      <c r="A29" s="7"/>
      <c r="B29" s="7">
        <v>5000</v>
      </c>
      <c r="C29">
        <v>20</v>
      </c>
      <c r="D29">
        <v>571439.67666666664</v>
      </c>
      <c r="E29">
        <v>519401.52999999997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Suggestion1</vt:lpstr>
      <vt:lpstr>logicalqubits</vt:lpstr>
      <vt:lpstr>fe ne</vt:lpstr>
      <vt:lpstr>npzq</vt:lpstr>
      <vt:lpstr>npzw</vt:lpstr>
      <vt:lpstr>npzr</vt:lpstr>
      <vt:lpstr>npzp</vt:lpstr>
      <vt:lpstr>fpzw</vt:lpstr>
      <vt:lpstr>fpzr</vt:lpstr>
      <vt:lpstr>fpzp</vt:lpstr>
      <vt:lpstr>fpzn</vt:lpstr>
      <vt:lpstr>fpzq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Yitong Liu</dc:creator>
  <cp:lastModifiedBy>Yitong Liu</cp:lastModifiedBy>
  <dcterms:created xsi:type="dcterms:W3CDTF">2024-02-24T12:37:22Z</dcterms:created>
  <dcterms:modified xsi:type="dcterms:W3CDTF">2025-04-28T02:58:14Z</dcterms:modified>
</cp:coreProperties>
</file>